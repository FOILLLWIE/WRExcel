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drawings/drawing3.xml" ContentType="application/vnd.openxmlformats-officedocument.drawing+xml"/>
  <Override PartName="/xl/comments3.xml" ContentType="application/vnd.openxmlformats-officedocument.spreadsheetml.comments+xml"/>
  <Override PartName="/xl/drawings/drawing4.xml" ContentType="application/vnd.openxmlformats-officedocument.drawing+xml"/>
  <Override PartName="/xl/comments4.xml" ContentType="application/vnd.openxmlformats-officedocument.spreadsheetml.comments+xml"/>
  <Override PartName="/xl/drawings/drawing5.xml" ContentType="application/vnd.openxmlformats-officedocument.drawing+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현재_통합_문서" defaultThemeVersion="166925"/>
  <mc:AlternateContent xmlns:mc="http://schemas.openxmlformats.org/markup-compatibility/2006">
    <mc:Choice Requires="x15">
      <x15ac:absPath xmlns:x15ac="http://schemas.microsoft.com/office/spreadsheetml/2010/11/ac" url="\\Pc\업무공유_전직원\ASUS 업무참고 폴더\시뮬\이베이\2026\20260506(수)~0519(화) 지마켓 &amp; 옥션 ASUS 노트북\"/>
    </mc:Choice>
  </mc:AlternateContent>
  <xr:revisionPtr revIDLastSave="0" documentId="13_ncr:1_{AE4C2692-0AD1-470D-88CE-76A16B888107}" xr6:coauthVersionLast="47" xr6:coauthVersionMax="47" xr10:uidLastSave="{00000000-0000-0000-0000-000000000000}"/>
  <bookViews>
    <workbookView xWindow="-38520" yWindow="-60" windowWidth="38640" windowHeight="21120" activeTab="2" xr2:uid="{9EAA0717-DF77-4219-A779-2932C03CF1D0}"/>
  </bookViews>
  <sheets>
    <sheet name="1번 랜더스행사 26-0330(월)~0408(목)" sheetId="87" r:id="rId1"/>
    <sheet name="2번 디지털 빡세일 26-0413(월)~0428(일)" sheetId="86" r:id="rId2"/>
    <sheet name="1번 빅스마일데이 26-0506(수)~0519(화)" sheetId="84" r:id="rId3"/>
    <sheet name="테스트(빅스)" sheetId="88" r:id="rId4"/>
    <sheet name="XG 모바일 전용" sheetId="89" r:id="rId5"/>
    <sheet name="테스트" sheetId="71" r:id="rId6"/>
    <sheet name="이든-S72002 결제시뮬" sheetId="74" r:id="rId7"/>
  </sheets>
  <externalReferences>
    <externalReference r:id="rId8"/>
  </externalReferences>
  <definedNames>
    <definedName name="카테고리">[1]스킴!$B$2:$B$4</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E22" i="89" l="1"/>
  <c r="E21" i="89"/>
  <c r="J21" i="89" s="1"/>
  <c r="AD21" i="89" s="1"/>
  <c r="AA20" i="89"/>
  <c r="X20" i="89"/>
  <c r="E17" i="89"/>
  <c r="E16" i="89"/>
  <c r="Y16" i="89" s="1"/>
  <c r="AA15" i="89"/>
  <c r="X15" i="89"/>
  <c r="E200" i="88"/>
  <c r="E199" i="88"/>
  <c r="J199" i="88" s="1"/>
  <c r="AD199" i="88" s="1"/>
  <c r="AA198" i="88"/>
  <c r="X198" i="88"/>
  <c r="E193" i="88"/>
  <c r="AB192" i="88"/>
  <c r="AA192" i="88"/>
  <c r="Z192" i="88"/>
  <c r="J192" i="88"/>
  <c r="AD192" i="88" s="1"/>
  <c r="H192" i="88"/>
  <c r="AC192" i="88" s="1"/>
  <c r="F192" i="88"/>
  <c r="N192" i="88" s="1"/>
  <c r="E192" i="88"/>
  <c r="F193" i="88" s="1"/>
  <c r="AB193" i="88" s="1"/>
  <c r="AA191" i="88"/>
  <c r="X191" i="88"/>
  <c r="X192" i="88" s="1"/>
  <c r="E186" i="88"/>
  <c r="E185" i="88"/>
  <c r="J185" i="88" s="1"/>
  <c r="AD185" i="88" s="1"/>
  <c r="AA184" i="88"/>
  <c r="X184" i="88"/>
  <c r="E181" i="88"/>
  <c r="AB180" i="88"/>
  <c r="AA180" i="88"/>
  <c r="J180" i="88"/>
  <c r="AD180" i="88" s="1"/>
  <c r="H180" i="88"/>
  <c r="AC180" i="88" s="1"/>
  <c r="F180" i="88"/>
  <c r="N180" i="88" s="1"/>
  <c r="E180" i="88"/>
  <c r="F181" i="88" s="1"/>
  <c r="AB181" i="88" s="1"/>
  <c r="AA179" i="88"/>
  <c r="X179" i="88"/>
  <c r="X180" i="88" s="1"/>
  <c r="E174" i="88"/>
  <c r="E173" i="88"/>
  <c r="J173" i="88" s="1"/>
  <c r="AD173" i="88" s="1"/>
  <c r="AA172" i="88"/>
  <c r="X172" i="88"/>
  <c r="E167" i="88"/>
  <c r="AB166" i="88"/>
  <c r="AA166" i="88"/>
  <c r="J166" i="88"/>
  <c r="AD166" i="88" s="1"/>
  <c r="H166" i="88"/>
  <c r="AC166" i="88" s="1"/>
  <c r="F166" i="88"/>
  <c r="N166" i="88" s="1"/>
  <c r="E166" i="88"/>
  <c r="F167" i="88" s="1"/>
  <c r="AB167" i="88" s="1"/>
  <c r="AA165" i="88"/>
  <c r="X165" i="88"/>
  <c r="X166" i="88" s="1"/>
  <c r="E159" i="88"/>
  <c r="E158" i="88"/>
  <c r="J158" i="88" s="1"/>
  <c r="AD158" i="88" s="1"/>
  <c r="AA157" i="88"/>
  <c r="X157" i="88"/>
  <c r="E152" i="88"/>
  <c r="AB151" i="88"/>
  <c r="AA151" i="88"/>
  <c r="J151" i="88"/>
  <c r="AD151" i="88" s="1"/>
  <c r="H151" i="88"/>
  <c r="AC151" i="88" s="1"/>
  <c r="F151" i="88"/>
  <c r="N151" i="88" s="1"/>
  <c r="E151" i="88"/>
  <c r="F152" i="88" s="1"/>
  <c r="AB152" i="88" s="1"/>
  <c r="AA150" i="88"/>
  <c r="X150" i="88"/>
  <c r="X151" i="88" s="1"/>
  <c r="E145" i="88"/>
  <c r="E144" i="88"/>
  <c r="J144" i="88" s="1"/>
  <c r="AD144" i="88" s="1"/>
  <c r="AA143" i="88"/>
  <c r="X143" i="88"/>
  <c r="E138" i="88"/>
  <c r="AB137" i="88"/>
  <c r="AA137" i="88"/>
  <c r="J137" i="88"/>
  <c r="AD137" i="88" s="1"/>
  <c r="H137" i="88"/>
  <c r="AC137" i="88" s="1"/>
  <c r="F137" i="88"/>
  <c r="N137" i="88" s="1"/>
  <c r="E137" i="88"/>
  <c r="F138" i="88" s="1"/>
  <c r="AB138" i="88" s="1"/>
  <c r="AA136" i="88"/>
  <c r="X136" i="88"/>
  <c r="X137" i="88" s="1"/>
  <c r="E130" i="88"/>
  <c r="E129" i="88"/>
  <c r="J129" i="88" s="1"/>
  <c r="AD129" i="88" s="1"/>
  <c r="AA128" i="88"/>
  <c r="X128" i="88"/>
  <c r="E120" i="88"/>
  <c r="E119" i="88"/>
  <c r="AA119" i="88" s="1"/>
  <c r="AA118" i="88"/>
  <c r="X118" i="88"/>
  <c r="E115" i="88"/>
  <c r="E114" i="88"/>
  <c r="AA113" i="88"/>
  <c r="X113" i="88"/>
  <c r="E105" i="88"/>
  <c r="J104" i="88"/>
  <c r="AD104" i="88" s="1"/>
  <c r="H104" i="88"/>
  <c r="AC104" i="88" s="1"/>
  <c r="E104" i="88"/>
  <c r="AA103" i="88"/>
  <c r="X103" i="88"/>
  <c r="X104" i="88" s="1"/>
  <c r="E98" i="88"/>
  <c r="E97" i="88"/>
  <c r="Y97" i="88" s="1"/>
  <c r="AA96" i="88"/>
  <c r="X96" i="88"/>
  <c r="E91" i="88"/>
  <c r="AA90" i="88"/>
  <c r="Y90" i="88"/>
  <c r="J90" i="88"/>
  <c r="AD90" i="88" s="1"/>
  <c r="H90" i="88"/>
  <c r="AC90" i="88" s="1"/>
  <c r="F90" i="88"/>
  <c r="E90" i="88"/>
  <c r="AA89" i="88"/>
  <c r="X89" i="88"/>
  <c r="E84" i="88"/>
  <c r="AD83" i="88"/>
  <c r="Y83" i="88"/>
  <c r="J83" i="88"/>
  <c r="E83" i="88"/>
  <c r="X82" i="88"/>
  <c r="X83" i="88" s="1"/>
  <c r="E77" i="88"/>
  <c r="Y76" i="88"/>
  <c r="E76" i="88"/>
  <c r="X76" i="88" s="1"/>
  <c r="X75" i="88"/>
  <c r="E66" i="88"/>
  <c r="AA65" i="88"/>
  <c r="Z65" i="88"/>
  <c r="J65" i="88"/>
  <c r="AD65" i="88" s="1"/>
  <c r="H65" i="88"/>
  <c r="AC65" i="88" s="1"/>
  <c r="F65" i="88"/>
  <c r="E65" i="88"/>
  <c r="F66" i="88" s="1"/>
  <c r="AB66" i="88" s="1"/>
  <c r="X64" i="88"/>
  <c r="X65" i="88" s="1"/>
  <c r="E56" i="88"/>
  <c r="X55" i="88"/>
  <c r="E55" i="88"/>
  <c r="AA54" i="88"/>
  <c r="X54" i="88"/>
  <c r="E49" i="88"/>
  <c r="AA48" i="88"/>
  <c r="J48" i="88"/>
  <c r="AD48" i="88" s="1"/>
  <c r="H48" i="88"/>
  <c r="AC48" i="88" s="1"/>
  <c r="E48" i="88"/>
  <c r="AA47" i="88"/>
  <c r="X47" i="88"/>
  <c r="X48" i="88" s="1"/>
  <c r="E39" i="88"/>
  <c r="E38" i="88"/>
  <c r="AA37" i="88"/>
  <c r="X37" i="88"/>
  <c r="E29" i="88"/>
  <c r="J28" i="88"/>
  <c r="AD28" i="88" s="1"/>
  <c r="E28" i="88"/>
  <c r="AA27" i="88"/>
  <c r="X27" i="88"/>
  <c r="X28" i="88" s="1"/>
  <c r="E22" i="88"/>
  <c r="AA21" i="88"/>
  <c r="Z21" i="88"/>
  <c r="J21" i="88"/>
  <c r="AD21" i="88" s="1"/>
  <c r="H21" i="88"/>
  <c r="AC21" i="88" s="1"/>
  <c r="F21" i="88"/>
  <c r="E21" i="88"/>
  <c r="Y21" i="88" s="1"/>
  <c r="AA20" i="88"/>
  <c r="X20" i="88"/>
  <c r="X21" i="88" s="1"/>
  <c r="E15" i="88"/>
  <c r="X14" i="88"/>
  <c r="E14" i="88"/>
  <c r="AA13" i="88"/>
  <c r="X13" i="88"/>
  <c r="X21" i="89" l="1"/>
  <c r="Y21" i="89"/>
  <c r="F21" i="89"/>
  <c r="F22" i="89" s="1"/>
  <c r="AB22" i="89" s="1"/>
  <c r="Z21" i="89"/>
  <c r="H21" i="89"/>
  <c r="AC21" i="89" s="1"/>
  <c r="AA21" i="89"/>
  <c r="F16" i="89"/>
  <c r="AB16" i="89" s="1"/>
  <c r="AR16" i="89" s="1"/>
  <c r="H16" i="89"/>
  <c r="AC16" i="89" s="1"/>
  <c r="X16" i="89"/>
  <c r="J16" i="89"/>
  <c r="AD16" i="89" s="1"/>
  <c r="AA16" i="89"/>
  <c r="F17" i="89"/>
  <c r="AB17" i="89" s="1"/>
  <c r="H119" i="88"/>
  <c r="AC119" i="88" s="1"/>
  <c r="J119" i="88"/>
  <c r="AD119" i="88" s="1"/>
  <c r="X119" i="88"/>
  <c r="AH166" i="88"/>
  <c r="AO164" i="88" s="1"/>
  <c r="F84" i="88"/>
  <c r="AB84" i="88" s="1"/>
  <c r="AA38" i="88"/>
  <c r="H38" i="88"/>
  <c r="X38" i="88"/>
  <c r="N38" i="88"/>
  <c r="J38" i="88"/>
  <c r="AD38" i="88" s="1"/>
  <c r="AB65" i="88"/>
  <c r="N65" i="88"/>
  <c r="H66" i="88"/>
  <c r="H22" i="88"/>
  <c r="F14" i="88"/>
  <c r="H15" i="88" s="1"/>
  <c r="F15" i="88"/>
  <c r="AB15" i="88" s="1"/>
  <c r="J14" i="88"/>
  <c r="AD14" i="88" s="1"/>
  <c r="AA14" i="88"/>
  <c r="H14" i="88"/>
  <c r="AC14" i="88" s="1"/>
  <c r="F38" i="88"/>
  <c r="F49" i="88"/>
  <c r="AB49" i="88" s="1"/>
  <c r="Y14" i="88"/>
  <c r="N21" i="88"/>
  <c r="AB21" i="88"/>
  <c r="AR21" i="88" s="1"/>
  <c r="F22" i="88"/>
  <c r="AB22" i="88" s="1"/>
  <c r="Y38" i="88"/>
  <c r="AA76" i="88"/>
  <c r="H76" i="88"/>
  <c r="AC76" i="88" s="1"/>
  <c r="Z76" i="88"/>
  <c r="J76" i="88"/>
  <c r="AD76" i="88" s="1"/>
  <c r="F76" i="88"/>
  <c r="H77" i="88" s="1"/>
  <c r="H91" i="88"/>
  <c r="F91" i="88"/>
  <c r="AB91" i="88" s="1"/>
  <c r="AB90" i="88"/>
  <c r="Y55" i="88"/>
  <c r="Z90" i="88"/>
  <c r="L151" i="88"/>
  <c r="AE151" i="88" s="1"/>
  <c r="T151" i="88"/>
  <c r="R151" i="88"/>
  <c r="P151" i="88"/>
  <c r="P152" i="88" s="1"/>
  <c r="Y28" i="88"/>
  <c r="F28" i="88"/>
  <c r="F29" i="88"/>
  <c r="Y48" i="88"/>
  <c r="H55" i="88"/>
  <c r="AC55" i="88" s="1"/>
  <c r="AA55" i="88"/>
  <c r="H56" i="88"/>
  <c r="F83" i="88"/>
  <c r="J97" i="88"/>
  <c r="AD97" i="88" s="1"/>
  <c r="X97" i="88"/>
  <c r="L180" i="88"/>
  <c r="AE180" i="88" s="1"/>
  <c r="T180" i="88"/>
  <c r="R180" i="88"/>
  <c r="P180" i="88"/>
  <c r="P181" i="88" s="1"/>
  <c r="H28" i="88"/>
  <c r="AC28" i="88" s="1"/>
  <c r="AA28" i="88"/>
  <c r="F48" i="88"/>
  <c r="Z48" i="88"/>
  <c r="J55" i="88"/>
  <c r="AD55" i="88" s="1"/>
  <c r="Y65" i="88"/>
  <c r="H83" i="88"/>
  <c r="AC83" i="88" s="1"/>
  <c r="X90" i="88"/>
  <c r="N90" i="88"/>
  <c r="L192" i="88"/>
  <c r="AE192" i="88" s="1"/>
  <c r="T192" i="88"/>
  <c r="R192" i="88"/>
  <c r="P192" i="88"/>
  <c r="P193" i="88" s="1"/>
  <c r="X114" i="88"/>
  <c r="N114" i="88"/>
  <c r="J114" i="88"/>
  <c r="AD114" i="88" s="1"/>
  <c r="AA114" i="88"/>
  <c r="H114" i="88"/>
  <c r="AC114" i="88" s="1"/>
  <c r="F115" i="88"/>
  <c r="AB115" i="88" s="1"/>
  <c r="F114" i="88"/>
  <c r="AB114" i="88" s="1"/>
  <c r="AR114" i="88" s="1"/>
  <c r="L137" i="88"/>
  <c r="AE137" i="88" s="1"/>
  <c r="T137" i="88"/>
  <c r="R137" i="88"/>
  <c r="P137" i="88"/>
  <c r="P138" i="88" s="1"/>
  <c r="AI192" i="88"/>
  <c r="F55" i="88"/>
  <c r="Z55" i="88"/>
  <c r="AA83" i="88"/>
  <c r="H84" i="88"/>
  <c r="Z83" i="88"/>
  <c r="AA97" i="88"/>
  <c r="H97" i="88"/>
  <c r="AC97" i="88" s="1"/>
  <c r="F97" i="88"/>
  <c r="F98" i="88" s="1"/>
  <c r="AB98" i="88" s="1"/>
  <c r="Y114" i="88"/>
  <c r="L166" i="88"/>
  <c r="AE166" i="88" s="1"/>
  <c r="AI166" i="88" s="1"/>
  <c r="T166" i="88"/>
  <c r="R166" i="88"/>
  <c r="P166" i="88"/>
  <c r="P167" i="88" s="1"/>
  <c r="Z137" i="88"/>
  <c r="AI137" i="88" s="1"/>
  <c r="H138" i="88"/>
  <c r="Z151" i="88"/>
  <c r="AH151" i="88" s="1"/>
  <c r="AO149" i="88" s="1"/>
  <c r="H152" i="88"/>
  <c r="Z166" i="88"/>
  <c r="H167" i="88"/>
  <c r="Z180" i="88"/>
  <c r="AI180" i="88" s="1"/>
  <c r="H181" i="88"/>
  <c r="H193" i="88"/>
  <c r="X129" i="88"/>
  <c r="N144" i="88"/>
  <c r="X144" i="88"/>
  <c r="X158" i="88"/>
  <c r="X173" i="88"/>
  <c r="X185" i="88"/>
  <c r="X199" i="88"/>
  <c r="Y129" i="88"/>
  <c r="Y144" i="88"/>
  <c r="F145" i="88"/>
  <c r="AB145" i="88" s="1"/>
  <c r="Y158" i="88"/>
  <c r="Y173" i="88"/>
  <c r="Y185" i="88"/>
  <c r="F186" i="88"/>
  <c r="AB186" i="88" s="1"/>
  <c r="Y199" i="88"/>
  <c r="Y104" i="88"/>
  <c r="F129" i="88"/>
  <c r="AB129" i="88" s="1"/>
  <c r="F144" i="88"/>
  <c r="AB144" i="88" s="1"/>
  <c r="Z144" i="88"/>
  <c r="F158" i="88"/>
  <c r="AB158" i="88" s="1"/>
  <c r="F173" i="88"/>
  <c r="AB173" i="88" s="1"/>
  <c r="F185" i="88"/>
  <c r="AB185" i="88" s="1"/>
  <c r="F199" i="88"/>
  <c r="AB199" i="88" s="1"/>
  <c r="F104" i="88"/>
  <c r="Z104" i="88"/>
  <c r="Y119" i="88"/>
  <c r="H129" i="88"/>
  <c r="AC129" i="88" s="1"/>
  <c r="AA129" i="88"/>
  <c r="H144" i="88"/>
  <c r="AC144" i="88" s="1"/>
  <c r="AA144" i="88"/>
  <c r="H158" i="88"/>
  <c r="AC158" i="88" s="1"/>
  <c r="AA158" i="88"/>
  <c r="H173" i="88"/>
  <c r="AC173" i="88" s="1"/>
  <c r="AA173" i="88"/>
  <c r="H185" i="88"/>
  <c r="AC185" i="88" s="1"/>
  <c r="AA185" i="88"/>
  <c r="H199" i="88"/>
  <c r="AC199" i="88" s="1"/>
  <c r="AA199" i="88"/>
  <c r="AA104" i="88"/>
  <c r="F119" i="88"/>
  <c r="F120" i="88" s="1"/>
  <c r="AB120" i="88" s="1"/>
  <c r="O137" i="88"/>
  <c r="Y137" i="88"/>
  <c r="AH137" i="88" s="1"/>
  <c r="AO135" i="88" s="1"/>
  <c r="O151" i="88"/>
  <c r="Y151" i="88"/>
  <c r="AI151" i="88" s="1"/>
  <c r="O166" i="88"/>
  <c r="Y166" i="88"/>
  <c r="Y180" i="88"/>
  <c r="AH180" i="88" s="1"/>
  <c r="AO178" i="88" s="1"/>
  <c r="O192" i="88"/>
  <c r="Y192" i="88"/>
  <c r="AH192" i="88" s="1"/>
  <c r="AO190" i="88" s="1"/>
  <c r="E154" i="84"/>
  <c r="E153" i="84"/>
  <c r="AA152" i="84"/>
  <c r="X152" i="84"/>
  <c r="E147" i="84"/>
  <c r="E146" i="84"/>
  <c r="AA145" i="84"/>
  <c r="X145" i="84"/>
  <c r="F214" i="87"/>
  <c r="G214" i="87" s="1"/>
  <c r="X214" i="87" s="1"/>
  <c r="U213" i="87"/>
  <c r="T213" i="87"/>
  <c r="I213" i="87"/>
  <c r="Y213" i="87" s="1"/>
  <c r="F213" i="87"/>
  <c r="W212" i="87"/>
  <c r="T212" i="87"/>
  <c r="F207" i="87"/>
  <c r="G207" i="87" s="1"/>
  <c r="X207" i="87" s="1"/>
  <c r="W206" i="87"/>
  <c r="U206" i="87"/>
  <c r="T206" i="87"/>
  <c r="O206" i="87"/>
  <c r="I206" i="87"/>
  <c r="Y206" i="87" s="1"/>
  <c r="G206" i="87"/>
  <c r="X206" i="87" s="1"/>
  <c r="F206" i="87"/>
  <c r="J207" i="87" s="1"/>
  <c r="W205" i="87"/>
  <c r="T205" i="87"/>
  <c r="J200" i="87"/>
  <c r="F200" i="87"/>
  <c r="G200" i="87" s="1"/>
  <c r="X200" i="87" s="1"/>
  <c r="T199" i="87"/>
  <c r="O199" i="87"/>
  <c r="F199" i="87"/>
  <c r="K199" i="87" s="1"/>
  <c r="Z199" i="87" s="1"/>
  <c r="W198" i="87"/>
  <c r="T198" i="87"/>
  <c r="J195" i="87"/>
  <c r="G195" i="87"/>
  <c r="X195" i="87" s="1"/>
  <c r="F195" i="87"/>
  <c r="W194" i="87"/>
  <c r="T194" i="87"/>
  <c r="O194" i="87"/>
  <c r="K194" i="87"/>
  <c r="Z194" i="87" s="1"/>
  <c r="F194" i="87"/>
  <c r="I194" i="87" s="1"/>
  <c r="Y194" i="87" s="1"/>
  <c r="W193" i="87"/>
  <c r="T193" i="87"/>
  <c r="J188" i="87"/>
  <c r="G188" i="87"/>
  <c r="X188" i="87" s="1"/>
  <c r="F188" i="87"/>
  <c r="T187" i="87"/>
  <c r="O187" i="87"/>
  <c r="K187" i="87"/>
  <c r="Z187" i="87" s="1"/>
  <c r="I187" i="87"/>
  <c r="Y187" i="87" s="1"/>
  <c r="F187" i="87"/>
  <c r="G187" i="87" s="1"/>
  <c r="W186" i="87"/>
  <c r="W187" i="87" s="1"/>
  <c r="T186" i="87"/>
  <c r="J181" i="87"/>
  <c r="F181" i="87"/>
  <c r="G181" i="87" s="1"/>
  <c r="X181" i="87" s="1"/>
  <c r="Z180" i="87"/>
  <c r="U180" i="87"/>
  <c r="O180" i="87"/>
  <c r="K180" i="87"/>
  <c r="I180" i="87"/>
  <c r="V180" i="87" s="1"/>
  <c r="G180" i="87"/>
  <c r="X180" i="87" s="1"/>
  <c r="F180" i="87"/>
  <c r="W180" i="87" s="1"/>
  <c r="W179" i="87"/>
  <c r="T179" i="87"/>
  <c r="T180" i="87" s="1"/>
  <c r="F174" i="87"/>
  <c r="G174" i="87" s="1"/>
  <c r="X174" i="87" s="1"/>
  <c r="G173" i="87"/>
  <c r="X173" i="87" s="1"/>
  <c r="F173" i="87"/>
  <c r="W173" i="87" s="1"/>
  <c r="W172" i="87"/>
  <c r="T172" i="87"/>
  <c r="F167" i="87"/>
  <c r="G167" i="87" s="1"/>
  <c r="X167" i="87" s="1"/>
  <c r="F166" i="87"/>
  <c r="W165" i="87"/>
  <c r="T165" i="87"/>
  <c r="F160" i="87"/>
  <c r="G160" i="87" s="1"/>
  <c r="X160" i="87" s="1"/>
  <c r="W159" i="87"/>
  <c r="F159" i="87"/>
  <c r="U159" i="87" s="1"/>
  <c r="W158" i="87"/>
  <c r="T158" i="87"/>
  <c r="F153" i="87"/>
  <c r="G153" i="87" s="1"/>
  <c r="X153" i="87" s="1"/>
  <c r="U152" i="87"/>
  <c r="F152" i="87"/>
  <c r="T152" i="87" s="1"/>
  <c r="W151" i="87"/>
  <c r="W152" i="87" s="1"/>
  <c r="T151" i="87"/>
  <c r="F146" i="87"/>
  <c r="G146" i="87" s="1"/>
  <c r="X146" i="87" s="1"/>
  <c r="U145" i="87"/>
  <c r="F145" i="87"/>
  <c r="W144" i="87"/>
  <c r="W145" i="87" s="1"/>
  <c r="T144" i="87"/>
  <c r="T145" i="87" s="1"/>
  <c r="F139" i="87"/>
  <c r="G139" i="87" s="1"/>
  <c r="X139" i="87" s="1"/>
  <c r="U138" i="87"/>
  <c r="T138" i="87"/>
  <c r="F138" i="87"/>
  <c r="W137" i="87"/>
  <c r="W138" i="87" s="1"/>
  <c r="T137" i="87"/>
  <c r="F132" i="87"/>
  <c r="G132" i="87" s="1"/>
  <c r="X132" i="87" s="1"/>
  <c r="V131" i="87"/>
  <c r="U131" i="87"/>
  <c r="T131" i="87"/>
  <c r="I131" i="87"/>
  <c r="Y131" i="87" s="1"/>
  <c r="F131" i="87"/>
  <c r="W130" i="87"/>
  <c r="W131" i="87" s="1"/>
  <c r="T130" i="87"/>
  <c r="F122" i="87"/>
  <c r="G122" i="87" s="1"/>
  <c r="X122" i="87" s="1"/>
  <c r="V121" i="87"/>
  <c r="U121" i="87"/>
  <c r="T121" i="87"/>
  <c r="K121" i="87"/>
  <c r="Z121" i="87" s="1"/>
  <c r="I121" i="87"/>
  <c r="Y121" i="87" s="1"/>
  <c r="F121" i="87"/>
  <c r="J122" i="87" s="1"/>
  <c r="W120" i="87"/>
  <c r="W121" i="87" s="1"/>
  <c r="T120" i="87"/>
  <c r="F112" i="87"/>
  <c r="G112" i="87" s="1"/>
  <c r="X112" i="87" s="1"/>
  <c r="U111" i="87"/>
  <c r="T111" i="87"/>
  <c r="O111" i="87"/>
  <c r="I111" i="87"/>
  <c r="Y111" i="87" s="1"/>
  <c r="G111" i="87"/>
  <c r="X111" i="87" s="1"/>
  <c r="F111" i="87"/>
  <c r="J112" i="87" s="1"/>
  <c r="W110" i="87"/>
  <c r="T110" i="87"/>
  <c r="J105" i="87"/>
  <c r="F105" i="87"/>
  <c r="G105" i="87" s="1"/>
  <c r="X105" i="87" s="1"/>
  <c r="T104" i="87"/>
  <c r="O104" i="87"/>
  <c r="F104" i="87"/>
  <c r="K104" i="87" s="1"/>
  <c r="Z104" i="87" s="1"/>
  <c r="W103" i="87"/>
  <c r="T103" i="87"/>
  <c r="J98" i="87"/>
  <c r="G98" i="87"/>
  <c r="X98" i="87" s="1"/>
  <c r="F98" i="87"/>
  <c r="O97" i="87"/>
  <c r="K97" i="87"/>
  <c r="Z97" i="87" s="1"/>
  <c r="F97" i="87"/>
  <c r="I97" i="87" s="1"/>
  <c r="Y97" i="87" s="1"/>
  <c r="T96" i="87"/>
  <c r="J91" i="87"/>
  <c r="F91" i="87"/>
  <c r="G91" i="87" s="1"/>
  <c r="X91" i="87" s="1"/>
  <c r="Z90" i="87"/>
  <c r="O90" i="87"/>
  <c r="K90" i="87"/>
  <c r="I90" i="87"/>
  <c r="Y90" i="87" s="1"/>
  <c r="G90" i="87"/>
  <c r="X90" i="87" s="1"/>
  <c r="F90" i="87"/>
  <c r="W90" i="87" s="1"/>
  <c r="T89" i="87"/>
  <c r="F81" i="87"/>
  <c r="G81" i="87" s="1"/>
  <c r="X81" i="87" s="1"/>
  <c r="F80" i="87"/>
  <c r="T79" i="87"/>
  <c r="F76" i="87"/>
  <c r="G76" i="87" s="1"/>
  <c r="X76" i="87" s="1"/>
  <c r="W75" i="87"/>
  <c r="U75" i="87"/>
  <c r="F75" i="87"/>
  <c r="T75" i="87" s="1"/>
  <c r="T74" i="87"/>
  <c r="F66" i="87"/>
  <c r="G66" i="87" s="1"/>
  <c r="X66" i="87" s="1"/>
  <c r="U65" i="87"/>
  <c r="F65" i="87"/>
  <c r="W64" i="87"/>
  <c r="W65" i="87" s="1"/>
  <c r="T64" i="87"/>
  <c r="T65" i="87" s="1"/>
  <c r="F59" i="87"/>
  <c r="G59" i="87" s="1"/>
  <c r="X59" i="87" s="1"/>
  <c r="U58" i="87"/>
  <c r="F58" i="87"/>
  <c r="W57" i="87"/>
  <c r="W58" i="87" s="1"/>
  <c r="T57" i="87"/>
  <c r="T58" i="87" s="1"/>
  <c r="F49" i="87"/>
  <c r="G49" i="87" s="1"/>
  <c r="X49" i="87" s="1"/>
  <c r="U48" i="87"/>
  <c r="F48" i="87"/>
  <c r="W47" i="87"/>
  <c r="W48" i="87" s="1"/>
  <c r="T47" i="87"/>
  <c r="T48" i="87" s="1"/>
  <c r="F39" i="87"/>
  <c r="G39" i="87" s="1"/>
  <c r="U38" i="87"/>
  <c r="T38" i="87"/>
  <c r="K38" i="87"/>
  <c r="Z38" i="87" s="1"/>
  <c r="I38" i="87"/>
  <c r="Y38" i="87" s="1"/>
  <c r="F38" i="87"/>
  <c r="W37" i="87"/>
  <c r="W38" i="87" s="1"/>
  <c r="T37" i="87"/>
  <c r="F34" i="87"/>
  <c r="G34" i="87" s="1"/>
  <c r="U33" i="87"/>
  <c r="T33" i="87"/>
  <c r="Q33" i="87"/>
  <c r="M33" i="87" s="1"/>
  <c r="K33" i="87"/>
  <c r="Z33" i="87" s="1"/>
  <c r="I33" i="87"/>
  <c r="Y33" i="87" s="1"/>
  <c r="G33" i="87"/>
  <c r="X33" i="87" s="1"/>
  <c r="AN33" i="87" s="1"/>
  <c r="F33" i="87"/>
  <c r="J34" i="87" s="1"/>
  <c r="W32" i="87"/>
  <c r="T32" i="87"/>
  <c r="J29" i="87"/>
  <c r="F29" i="87"/>
  <c r="G29" i="87" s="1"/>
  <c r="O28" i="87"/>
  <c r="F28" i="87"/>
  <c r="W27" i="87"/>
  <c r="T27" i="87"/>
  <c r="J22" i="87"/>
  <c r="F22" i="87"/>
  <c r="G22" i="87" s="1"/>
  <c r="X22" i="87" s="1"/>
  <c r="O21" i="87"/>
  <c r="F21" i="87"/>
  <c r="W20" i="87"/>
  <c r="T20" i="87"/>
  <c r="J15" i="87"/>
  <c r="F15" i="87"/>
  <c r="G15" i="87" s="1"/>
  <c r="X15" i="87" s="1"/>
  <c r="O14" i="87"/>
  <c r="F14" i="87"/>
  <c r="W13" i="87"/>
  <c r="T13" i="87"/>
  <c r="G326" i="86"/>
  <c r="X326" i="86" s="1"/>
  <c r="F326" i="86"/>
  <c r="V325" i="86"/>
  <c r="U325" i="86"/>
  <c r="K325" i="86"/>
  <c r="Z325" i="86" s="1"/>
  <c r="I325" i="86"/>
  <c r="Y325" i="86" s="1"/>
  <c r="F325" i="86"/>
  <c r="W324" i="86"/>
  <c r="W325" i="86" s="1"/>
  <c r="T324" i="86"/>
  <c r="T325" i="86" s="1"/>
  <c r="X321" i="86"/>
  <c r="F321" i="86"/>
  <c r="G321" i="86" s="1"/>
  <c r="U320" i="86"/>
  <c r="O320" i="86"/>
  <c r="I320" i="86"/>
  <c r="Y320" i="86" s="1"/>
  <c r="G320" i="86"/>
  <c r="X320" i="86" s="1"/>
  <c r="F320" i="86"/>
  <c r="J321" i="86" s="1"/>
  <c r="W319" i="86"/>
  <c r="T319" i="86"/>
  <c r="T320" i="86" s="1"/>
  <c r="J314" i="86"/>
  <c r="F314" i="86"/>
  <c r="G314" i="86" s="1"/>
  <c r="X314" i="86" s="1"/>
  <c r="T313" i="86"/>
  <c r="O313" i="86"/>
  <c r="G313" i="86"/>
  <c r="X313" i="86" s="1"/>
  <c r="F313" i="86"/>
  <c r="K313" i="86" s="1"/>
  <c r="Z313" i="86" s="1"/>
  <c r="W312" i="86"/>
  <c r="T312" i="86"/>
  <c r="J309" i="86"/>
  <c r="G309" i="86"/>
  <c r="X309" i="86" s="1"/>
  <c r="F309" i="86"/>
  <c r="K308" i="86"/>
  <c r="Z308" i="86" s="1"/>
  <c r="F308" i="86"/>
  <c r="I308" i="86" s="1"/>
  <c r="Y308" i="86" s="1"/>
  <c r="W307" i="86"/>
  <c r="T307" i="86"/>
  <c r="J302" i="86"/>
  <c r="F302" i="86"/>
  <c r="G302" i="86" s="1"/>
  <c r="X302" i="86" s="1"/>
  <c r="Z301" i="86"/>
  <c r="W301" i="86"/>
  <c r="U301" i="86"/>
  <c r="O301" i="86"/>
  <c r="K301" i="86"/>
  <c r="I301" i="86"/>
  <c r="F301" i="86"/>
  <c r="G301" i="86" s="1"/>
  <c r="W300" i="86"/>
  <c r="T300" i="86"/>
  <c r="T301" i="86" s="1"/>
  <c r="J297" i="86"/>
  <c r="F297" i="86"/>
  <c r="G297" i="86" s="1"/>
  <c r="X297" i="86" s="1"/>
  <c r="Z296" i="86"/>
  <c r="Y296" i="86"/>
  <c r="U296" i="86"/>
  <c r="O296" i="86"/>
  <c r="K296" i="86"/>
  <c r="I296" i="86"/>
  <c r="V296" i="86" s="1"/>
  <c r="G296" i="86"/>
  <c r="F296" i="86"/>
  <c r="W295" i="86"/>
  <c r="W296" i="86" s="1"/>
  <c r="T295" i="86"/>
  <c r="T296" i="86" s="1"/>
  <c r="G292" i="86"/>
  <c r="X292" i="86" s="1"/>
  <c r="F292" i="86"/>
  <c r="F291" i="86"/>
  <c r="W290" i="86"/>
  <c r="T290" i="86"/>
  <c r="G285" i="86"/>
  <c r="X285" i="86" s="1"/>
  <c r="F285" i="86"/>
  <c r="W284" i="86"/>
  <c r="F284" i="86"/>
  <c r="W283" i="86"/>
  <c r="T283" i="86"/>
  <c r="F280" i="86"/>
  <c r="G280" i="86" s="1"/>
  <c r="X280" i="86" s="1"/>
  <c r="V279" i="86"/>
  <c r="I279" i="86"/>
  <c r="G279" i="86"/>
  <c r="X279" i="86" s="1"/>
  <c r="F279" i="86"/>
  <c r="U279" i="86" s="1"/>
  <c r="W278" i="86"/>
  <c r="W279" i="86" s="1"/>
  <c r="T278" i="86"/>
  <c r="F273" i="86"/>
  <c r="G273" i="86" s="1"/>
  <c r="X273" i="86" s="1"/>
  <c r="U272" i="86"/>
  <c r="G272" i="86"/>
  <c r="F272" i="86"/>
  <c r="W271" i="86"/>
  <c r="T271" i="86"/>
  <c r="F268" i="86"/>
  <c r="G268" i="86" s="1"/>
  <c r="X268" i="86" s="1"/>
  <c r="U267" i="86"/>
  <c r="T267" i="86"/>
  <c r="F267" i="86"/>
  <c r="W266" i="86"/>
  <c r="T266" i="86"/>
  <c r="J261" i="86"/>
  <c r="G261" i="86"/>
  <c r="X261" i="86" s="1"/>
  <c r="F261" i="86"/>
  <c r="W260" i="86"/>
  <c r="U260" i="86"/>
  <c r="T260" i="86"/>
  <c r="K260" i="86"/>
  <c r="Z260" i="86" s="1"/>
  <c r="F260" i="86"/>
  <c r="W259" i="86"/>
  <c r="T259" i="86"/>
  <c r="G256" i="86"/>
  <c r="X256" i="86" s="1"/>
  <c r="F256" i="86"/>
  <c r="V255" i="86"/>
  <c r="U255" i="86"/>
  <c r="Q255" i="86"/>
  <c r="M255" i="86" s="1"/>
  <c r="K255" i="86"/>
  <c r="Z255" i="86" s="1"/>
  <c r="I255" i="86"/>
  <c r="Y255" i="86" s="1"/>
  <c r="G255" i="86"/>
  <c r="X255" i="86" s="1"/>
  <c r="F255" i="86"/>
  <c r="W254" i="86"/>
  <c r="W255" i="86" s="1"/>
  <c r="T254" i="86"/>
  <c r="T255" i="86" s="1"/>
  <c r="F249" i="86"/>
  <c r="G249" i="86" s="1"/>
  <c r="X249" i="86" s="1"/>
  <c r="U248" i="86"/>
  <c r="O248" i="86"/>
  <c r="I248" i="86"/>
  <c r="Y248" i="86" s="1"/>
  <c r="G248" i="86"/>
  <c r="X248" i="86" s="1"/>
  <c r="F248" i="86"/>
  <c r="J249" i="86" s="1"/>
  <c r="W247" i="86"/>
  <c r="T247" i="86"/>
  <c r="T248" i="86" s="1"/>
  <c r="J244" i="86"/>
  <c r="F244" i="86"/>
  <c r="G244" i="86" s="1"/>
  <c r="X244" i="86" s="1"/>
  <c r="T243" i="86"/>
  <c r="O243" i="86"/>
  <c r="G243" i="86"/>
  <c r="X243" i="86" s="1"/>
  <c r="F243" i="86"/>
  <c r="K243" i="86" s="1"/>
  <c r="Z243" i="86" s="1"/>
  <c r="W242" i="86"/>
  <c r="T242" i="86"/>
  <c r="J237" i="86"/>
  <c r="G237" i="86"/>
  <c r="X237" i="86" s="1"/>
  <c r="F237" i="86"/>
  <c r="K236" i="86"/>
  <c r="Z236" i="86" s="1"/>
  <c r="F236" i="86"/>
  <c r="I236" i="86" s="1"/>
  <c r="Y236" i="86" s="1"/>
  <c r="W235" i="86"/>
  <c r="T235" i="86"/>
  <c r="J232" i="86"/>
  <c r="F232" i="86"/>
  <c r="G232" i="86" s="1"/>
  <c r="X232" i="86" s="1"/>
  <c r="Z231" i="86"/>
  <c r="W231" i="86"/>
  <c r="U231" i="86"/>
  <c r="O231" i="86"/>
  <c r="K231" i="86"/>
  <c r="I231" i="86"/>
  <c r="F231" i="86"/>
  <c r="G231" i="86" s="1"/>
  <c r="W230" i="86"/>
  <c r="T230" i="86"/>
  <c r="T231" i="86" s="1"/>
  <c r="J225" i="86"/>
  <c r="F225" i="86"/>
  <c r="G225" i="86" s="1"/>
  <c r="X225" i="86" s="1"/>
  <c r="Z224" i="86"/>
  <c r="Y224" i="86"/>
  <c r="U224" i="86"/>
  <c r="O224" i="86"/>
  <c r="K224" i="86"/>
  <c r="I224" i="86"/>
  <c r="V224" i="86" s="1"/>
  <c r="G224" i="86"/>
  <c r="F224" i="86"/>
  <c r="W224" i="86" s="1"/>
  <c r="W223" i="86"/>
  <c r="T223" i="86"/>
  <c r="T224" i="86" s="1"/>
  <c r="G220" i="86"/>
  <c r="X220" i="86" s="1"/>
  <c r="F220" i="86"/>
  <c r="F219" i="86"/>
  <c r="W218" i="86"/>
  <c r="T218" i="86"/>
  <c r="G213" i="86"/>
  <c r="X213" i="86" s="1"/>
  <c r="F213" i="86"/>
  <c r="W212" i="86"/>
  <c r="F212" i="86"/>
  <c r="W211" i="86"/>
  <c r="T211" i="86"/>
  <c r="F208" i="86"/>
  <c r="G208" i="86" s="1"/>
  <c r="X208" i="86" s="1"/>
  <c r="V207" i="86"/>
  <c r="I207" i="86"/>
  <c r="G207" i="86"/>
  <c r="X207" i="86" s="1"/>
  <c r="F207" i="86"/>
  <c r="U207" i="86" s="1"/>
  <c r="W206" i="86"/>
  <c r="W207" i="86" s="1"/>
  <c r="T206" i="86"/>
  <c r="F201" i="86"/>
  <c r="G201" i="86" s="1"/>
  <c r="X201" i="86" s="1"/>
  <c r="U200" i="86"/>
  <c r="G200" i="86"/>
  <c r="F200" i="86"/>
  <c r="T200" i="86" s="1"/>
  <c r="W199" i="86"/>
  <c r="T199" i="86"/>
  <c r="F196" i="86"/>
  <c r="G196" i="86" s="1"/>
  <c r="X196" i="86" s="1"/>
  <c r="F195" i="86"/>
  <c r="W194" i="86"/>
  <c r="T194" i="86"/>
  <c r="T195" i="86" s="1"/>
  <c r="J189" i="86"/>
  <c r="G189" i="86"/>
  <c r="X189" i="86" s="1"/>
  <c r="F189" i="86"/>
  <c r="W188" i="86"/>
  <c r="U188" i="86"/>
  <c r="T188" i="86"/>
  <c r="K188" i="86"/>
  <c r="Z188" i="86" s="1"/>
  <c r="F188" i="86"/>
  <c r="W187" i="86"/>
  <c r="T187" i="86"/>
  <c r="G183" i="86"/>
  <c r="X183" i="86" s="1"/>
  <c r="F183" i="86"/>
  <c r="V182" i="86"/>
  <c r="U182" i="86"/>
  <c r="K182" i="86"/>
  <c r="Z182" i="86" s="1"/>
  <c r="I182" i="86"/>
  <c r="Y182" i="86" s="1"/>
  <c r="F182" i="86"/>
  <c r="W181" i="86"/>
  <c r="W182" i="86" s="1"/>
  <c r="T181" i="86"/>
  <c r="T182" i="86" s="1"/>
  <c r="F174" i="86"/>
  <c r="G174" i="86" s="1"/>
  <c r="X174" i="86" s="1"/>
  <c r="V173" i="86"/>
  <c r="U173" i="86"/>
  <c r="K173" i="86"/>
  <c r="Z173" i="86" s="1"/>
  <c r="I173" i="86"/>
  <c r="Y173" i="86" s="1"/>
  <c r="F173" i="86"/>
  <c r="J174" i="86" s="1"/>
  <c r="W172" i="86"/>
  <c r="W173" i="86" s="1"/>
  <c r="T172" i="86"/>
  <c r="T173" i="86" s="1"/>
  <c r="F168" i="86"/>
  <c r="G168" i="86" s="1"/>
  <c r="X168" i="86" s="1"/>
  <c r="V167" i="86"/>
  <c r="U167" i="86"/>
  <c r="K167" i="86"/>
  <c r="Z167" i="86" s="1"/>
  <c r="I167" i="86"/>
  <c r="Y167" i="86" s="1"/>
  <c r="F167" i="86"/>
  <c r="J168" i="86" s="1"/>
  <c r="W166" i="86"/>
  <c r="W167" i="86" s="1"/>
  <c r="T166" i="86"/>
  <c r="T167" i="86" s="1"/>
  <c r="X158" i="86"/>
  <c r="F158" i="86"/>
  <c r="G158" i="86" s="1"/>
  <c r="U157" i="86"/>
  <c r="T157" i="86"/>
  <c r="O157" i="86"/>
  <c r="I157" i="86"/>
  <c r="V157" i="86" s="1"/>
  <c r="G157" i="86"/>
  <c r="F157" i="86"/>
  <c r="J158" i="86" s="1"/>
  <c r="W156" i="86"/>
  <c r="T156" i="86"/>
  <c r="F153" i="86"/>
  <c r="G153" i="86" s="1"/>
  <c r="X153" i="86" s="1"/>
  <c r="F152" i="86"/>
  <c r="G152" i="86" s="1"/>
  <c r="X152" i="86" s="1"/>
  <c r="W151" i="86"/>
  <c r="T151" i="86"/>
  <c r="G148" i="86"/>
  <c r="X148" i="86" s="1"/>
  <c r="F148" i="86"/>
  <c r="K147" i="86"/>
  <c r="Z147" i="86" s="1"/>
  <c r="F147" i="86"/>
  <c r="W146" i="86"/>
  <c r="T146" i="86"/>
  <c r="J141" i="86"/>
  <c r="F141" i="86"/>
  <c r="G141" i="86" s="1"/>
  <c r="X141" i="86" s="1"/>
  <c r="Z140" i="86"/>
  <c r="V140" i="86"/>
  <c r="O140" i="86"/>
  <c r="K140" i="86"/>
  <c r="I140" i="86"/>
  <c r="Y140" i="86" s="1"/>
  <c r="F140" i="86"/>
  <c r="G140" i="86" s="1"/>
  <c r="X140" i="86" s="1"/>
  <c r="W139" i="86"/>
  <c r="W140" i="86" s="1"/>
  <c r="T139" i="86"/>
  <c r="X136" i="86"/>
  <c r="J136" i="86"/>
  <c r="G136" i="86"/>
  <c r="F136" i="86"/>
  <c r="Z135" i="86"/>
  <c r="Y135" i="86"/>
  <c r="V135" i="86"/>
  <c r="U135" i="86"/>
  <c r="O135" i="86"/>
  <c r="K135" i="86"/>
  <c r="I135" i="86"/>
  <c r="G135" i="86"/>
  <c r="X135" i="86" s="1"/>
  <c r="F135" i="86"/>
  <c r="W134" i="86"/>
  <c r="T134" i="86"/>
  <c r="J129" i="86"/>
  <c r="G129" i="86"/>
  <c r="X129" i="86" s="1"/>
  <c r="F129" i="86"/>
  <c r="Y128" i="86"/>
  <c r="W128" i="86"/>
  <c r="V128" i="86"/>
  <c r="U128" i="86"/>
  <c r="O128" i="86"/>
  <c r="I128" i="86"/>
  <c r="G128" i="86"/>
  <c r="X128" i="86" s="1"/>
  <c r="F128" i="86"/>
  <c r="T127" i="86"/>
  <c r="X124" i="86"/>
  <c r="G124" i="86"/>
  <c r="F124" i="86"/>
  <c r="W123" i="86"/>
  <c r="U123" i="86"/>
  <c r="T123" i="86"/>
  <c r="O123" i="86"/>
  <c r="K123" i="86"/>
  <c r="Z123" i="86" s="1"/>
  <c r="F123" i="86"/>
  <c r="J124" i="86" s="1"/>
  <c r="T122" i="86"/>
  <c r="X117" i="86"/>
  <c r="J117" i="86"/>
  <c r="G117" i="86"/>
  <c r="F117" i="86"/>
  <c r="W116" i="86"/>
  <c r="U116" i="86"/>
  <c r="O116" i="86"/>
  <c r="K116" i="86"/>
  <c r="Z116" i="86" s="1"/>
  <c r="G116" i="86"/>
  <c r="X116" i="86" s="1"/>
  <c r="F116" i="86"/>
  <c r="I116" i="86" s="1"/>
  <c r="T115" i="86"/>
  <c r="T116" i="86" s="1"/>
  <c r="J112" i="86"/>
  <c r="F112" i="86"/>
  <c r="G112" i="86" s="1"/>
  <c r="X112" i="86" s="1"/>
  <c r="Z111" i="86"/>
  <c r="W111" i="86"/>
  <c r="U111" i="86"/>
  <c r="T111" i="86"/>
  <c r="O111" i="86"/>
  <c r="K111" i="86"/>
  <c r="I111" i="86"/>
  <c r="Y111" i="86" s="1"/>
  <c r="G111" i="86"/>
  <c r="X111" i="86" s="1"/>
  <c r="F111" i="86"/>
  <c r="V111" i="86" s="1"/>
  <c r="T110" i="86"/>
  <c r="G102" i="86"/>
  <c r="X102" i="86" s="1"/>
  <c r="F102" i="86"/>
  <c r="F101" i="86"/>
  <c r="T100" i="86"/>
  <c r="G96" i="86"/>
  <c r="X96" i="86" s="1"/>
  <c r="F96" i="86"/>
  <c r="W95" i="86"/>
  <c r="U95" i="86"/>
  <c r="K95" i="86"/>
  <c r="Z95" i="86" s="1"/>
  <c r="G95" i="86"/>
  <c r="F95" i="86"/>
  <c r="T95" i="86" s="1"/>
  <c r="T94" i="86"/>
  <c r="F86" i="86"/>
  <c r="G86" i="86" s="1"/>
  <c r="X86" i="86" s="1"/>
  <c r="U85" i="86"/>
  <c r="F85" i="86"/>
  <c r="W84" i="86"/>
  <c r="T84" i="86"/>
  <c r="T85" i="86" s="1"/>
  <c r="F81" i="86"/>
  <c r="G81" i="86" s="1"/>
  <c r="X81" i="86" s="1"/>
  <c r="U80" i="86"/>
  <c r="F80" i="86"/>
  <c r="W79" i="86"/>
  <c r="T79" i="86"/>
  <c r="T80" i="86" s="1"/>
  <c r="F74" i="86"/>
  <c r="G74" i="86" s="1"/>
  <c r="X74" i="86" s="1"/>
  <c r="U73" i="86"/>
  <c r="F73" i="86"/>
  <c r="W72" i="86"/>
  <c r="T72" i="86"/>
  <c r="T73" i="86" s="1"/>
  <c r="F69" i="86"/>
  <c r="G69" i="86" s="1"/>
  <c r="X69" i="86" s="1"/>
  <c r="U68" i="86"/>
  <c r="F68" i="86"/>
  <c r="W67" i="86"/>
  <c r="T67" i="86"/>
  <c r="T68" i="86" s="1"/>
  <c r="F59" i="86"/>
  <c r="G59" i="86" s="1"/>
  <c r="X59" i="86" s="1"/>
  <c r="U58" i="86"/>
  <c r="F58" i="86"/>
  <c r="W57" i="86"/>
  <c r="T57" i="86"/>
  <c r="T58" i="86" s="1"/>
  <c r="F54" i="86"/>
  <c r="G54" i="86" s="1"/>
  <c r="X54" i="86" s="1"/>
  <c r="U53" i="86"/>
  <c r="F53" i="86"/>
  <c r="W52" i="86"/>
  <c r="T52" i="86"/>
  <c r="T53" i="86" s="1"/>
  <c r="J44" i="86"/>
  <c r="F44" i="86"/>
  <c r="G44" i="86" s="1"/>
  <c r="Y43" i="86"/>
  <c r="W43" i="86"/>
  <c r="U43" i="86"/>
  <c r="T43" i="86"/>
  <c r="O43" i="86"/>
  <c r="I43" i="86"/>
  <c r="V43" i="86" s="1"/>
  <c r="G43" i="86"/>
  <c r="X43" i="86" s="1"/>
  <c r="AN43" i="86" s="1"/>
  <c r="F43" i="86"/>
  <c r="W42" i="86"/>
  <c r="T42" i="86"/>
  <c r="G39" i="86"/>
  <c r="F39" i="86"/>
  <c r="T38" i="86"/>
  <c r="F38" i="86"/>
  <c r="J39" i="86" s="1"/>
  <c r="W37" i="86"/>
  <c r="T37" i="86"/>
  <c r="X32" i="86"/>
  <c r="G32" i="86"/>
  <c r="F32" i="86"/>
  <c r="T31" i="86"/>
  <c r="F31" i="86"/>
  <c r="J32" i="86" s="1"/>
  <c r="W30" i="86"/>
  <c r="T30" i="86"/>
  <c r="X27" i="86"/>
  <c r="G27" i="86"/>
  <c r="F27" i="86"/>
  <c r="T26" i="86"/>
  <c r="F26" i="86"/>
  <c r="J27" i="86" s="1"/>
  <c r="W25" i="86"/>
  <c r="T25" i="86"/>
  <c r="X20" i="86"/>
  <c r="G20" i="86"/>
  <c r="F20" i="86"/>
  <c r="T19" i="86"/>
  <c r="F19" i="86"/>
  <c r="J20" i="86" s="1"/>
  <c r="W18" i="86"/>
  <c r="T18" i="86"/>
  <c r="X15" i="86"/>
  <c r="G15" i="86"/>
  <c r="F15" i="86"/>
  <c r="T14" i="86"/>
  <c r="F14" i="86"/>
  <c r="J15" i="86" s="1"/>
  <c r="W13" i="86"/>
  <c r="T13" i="86"/>
  <c r="E181" i="84"/>
  <c r="E180" i="84"/>
  <c r="AA179" i="84"/>
  <c r="X179" i="84"/>
  <c r="H22" i="89" l="1"/>
  <c r="AB21" i="89"/>
  <c r="AR21" i="89" s="1"/>
  <c r="N21" i="89"/>
  <c r="H17" i="89"/>
  <c r="Z16" i="89"/>
  <c r="N16" i="89"/>
  <c r="Z119" i="88"/>
  <c r="AJ180" i="88"/>
  <c r="AL180" i="88" s="1"/>
  <c r="AU180" i="88"/>
  <c r="AJ151" i="88"/>
  <c r="AL151" i="88" s="1"/>
  <c r="AU151" i="88"/>
  <c r="AJ166" i="88"/>
  <c r="AL166" i="88" s="1"/>
  <c r="AU166" i="88"/>
  <c r="AJ137" i="88"/>
  <c r="AL137" i="88" s="1"/>
  <c r="AU137" i="88"/>
  <c r="AN151" i="88"/>
  <c r="AM151" i="88"/>
  <c r="V151" i="88"/>
  <c r="AN149" i="88"/>
  <c r="AO150" i="88" s="1"/>
  <c r="L90" i="88"/>
  <c r="R90" i="88"/>
  <c r="P90" i="88"/>
  <c r="T90" i="88"/>
  <c r="AB38" i="88"/>
  <c r="AR38" i="88" s="1"/>
  <c r="F39" i="88"/>
  <c r="AB39" i="88" s="1"/>
  <c r="O38" i="88"/>
  <c r="AN166" i="88"/>
  <c r="AM166" i="88"/>
  <c r="V166" i="88"/>
  <c r="AN164" i="88"/>
  <c r="AO165" i="88" s="1"/>
  <c r="F200" i="88"/>
  <c r="AB200" i="88" s="1"/>
  <c r="F174" i="88"/>
  <c r="AB174" i="88" s="1"/>
  <c r="AJ192" i="88"/>
  <c r="AL192" i="88" s="1"/>
  <c r="AU192" i="88"/>
  <c r="L114" i="88"/>
  <c r="AE114" i="88" s="1"/>
  <c r="T114" i="88"/>
  <c r="R114" i="88"/>
  <c r="P114" i="88"/>
  <c r="H39" i="88"/>
  <c r="N119" i="88"/>
  <c r="AB119" i="88"/>
  <c r="AR119" i="88" s="1"/>
  <c r="H120" i="88"/>
  <c r="H186" i="88"/>
  <c r="Z173" i="88"/>
  <c r="H145" i="88"/>
  <c r="Z129" i="88"/>
  <c r="N199" i="88"/>
  <c r="N158" i="88"/>
  <c r="O114" i="88"/>
  <c r="N83" i="88"/>
  <c r="AB83" i="88"/>
  <c r="T21" i="88"/>
  <c r="L21" i="88"/>
  <c r="R21" i="88"/>
  <c r="P21" i="88"/>
  <c r="N104" i="88"/>
  <c r="AB104" i="88"/>
  <c r="T38" i="88"/>
  <c r="L38" i="88"/>
  <c r="AE38" i="88" s="1"/>
  <c r="R38" i="88"/>
  <c r="P38" i="88"/>
  <c r="Z185" i="88"/>
  <c r="H159" i="88"/>
  <c r="F105" i="88"/>
  <c r="AB105" i="88" s="1"/>
  <c r="F159" i="88"/>
  <c r="AB159" i="88" s="1"/>
  <c r="Z97" i="88"/>
  <c r="AB14" i="88"/>
  <c r="AR14" i="88" s="1"/>
  <c r="O180" i="88"/>
  <c r="AN137" i="88"/>
  <c r="AM137" i="88"/>
  <c r="V137" i="88"/>
  <c r="AN135" i="88"/>
  <c r="AO136" i="88" s="1"/>
  <c r="AB55" i="88"/>
  <c r="AR55" i="88" s="1"/>
  <c r="N55" i="88"/>
  <c r="Z114" i="88"/>
  <c r="AI114" i="88" s="1"/>
  <c r="H115" i="88"/>
  <c r="N48" i="88"/>
  <c r="H49" i="88"/>
  <c r="AB48" i="88"/>
  <c r="AR48" i="88" s="1"/>
  <c r="Z28" i="88"/>
  <c r="F56" i="88"/>
  <c r="AB56" i="88" s="1"/>
  <c r="Z14" i="88"/>
  <c r="AC38" i="88"/>
  <c r="Z38" i="88"/>
  <c r="AH38" i="88" s="1"/>
  <c r="AO36" i="88" s="1"/>
  <c r="AN192" i="88"/>
  <c r="AM192" i="88"/>
  <c r="V192" i="88"/>
  <c r="AN190" i="88"/>
  <c r="AO191" i="88" s="1"/>
  <c r="N97" i="88"/>
  <c r="AB97" i="88"/>
  <c r="AB76" i="88"/>
  <c r="F77" i="88"/>
  <c r="AB77" i="88" s="1"/>
  <c r="N76" i="88"/>
  <c r="H200" i="88"/>
  <c r="F130" i="88"/>
  <c r="AB130" i="88" s="1"/>
  <c r="N185" i="88"/>
  <c r="T144" i="88"/>
  <c r="R144" i="88"/>
  <c r="P144" i="88"/>
  <c r="L144" i="88"/>
  <c r="N14" i="88"/>
  <c r="L65" i="88"/>
  <c r="T65" i="88"/>
  <c r="R65" i="88"/>
  <c r="P65" i="88"/>
  <c r="H105" i="88"/>
  <c r="Z199" i="88"/>
  <c r="H174" i="88"/>
  <c r="Z158" i="88"/>
  <c r="H130" i="88"/>
  <c r="N173" i="88"/>
  <c r="N129" i="88"/>
  <c r="H98" i="88"/>
  <c r="N28" i="88"/>
  <c r="AB28" i="88"/>
  <c r="AR28" i="88" s="1"/>
  <c r="H29" i="88"/>
  <c r="Y180" i="84"/>
  <c r="X153" i="84"/>
  <c r="F153" i="84"/>
  <c r="AB153" i="84" s="1"/>
  <c r="Y153" i="84"/>
  <c r="H153" i="84"/>
  <c r="AC153" i="84" s="1"/>
  <c r="AA153" i="84"/>
  <c r="J153" i="84"/>
  <c r="AD153" i="84" s="1"/>
  <c r="X146" i="84"/>
  <c r="Y146" i="84"/>
  <c r="F146" i="84"/>
  <c r="H146" i="84"/>
  <c r="AC146" i="84" s="1"/>
  <c r="AA146" i="84"/>
  <c r="J146" i="84"/>
  <c r="AD146" i="84" s="1"/>
  <c r="X180" i="84"/>
  <c r="X187" i="87"/>
  <c r="Q187" i="87"/>
  <c r="M187" i="87" s="1"/>
  <c r="AA187" i="87" s="1"/>
  <c r="AA33" i="87"/>
  <c r="W80" i="87"/>
  <c r="W166" i="87"/>
  <c r="Y180" i="87"/>
  <c r="AE180" i="87" s="1"/>
  <c r="G80" i="87"/>
  <c r="X80" i="87" s="1"/>
  <c r="G166" i="87"/>
  <c r="X166" i="87" s="1"/>
  <c r="I173" i="87"/>
  <c r="Y173" i="87" s="1"/>
  <c r="T14" i="87"/>
  <c r="T21" i="87"/>
  <c r="T28" i="87"/>
  <c r="V38" i="87"/>
  <c r="I80" i="87"/>
  <c r="Y80" i="87" s="1"/>
  <c r="G159" i="87"/>
  <c r="X159" i="87" s="1"/>
  <c r="I166" i="87"/>
  <c r="Y166" i="87" s="1"/>
  <c r="K173" i="87"/>
  <c r="Z173" i="87" s="1"/>
  <c r="U14" i="87"/>
  <c r="U21" i="87"/>
  <c r="U28" i="87"/>
  <c r="V33" i="87"/>
  <c r="G75" i="87"/>
  <c r="X75" i="87" s="1"/>
  <c r="K80" i="87"/>
  <c r="Z80" i="87" s="1"/>
  <c r="G152" i="87"/>
  <c r="X152" i="87" s="1"/>
  <c r="I159" i="87"/>
  <c r="K166" i="87"/>
  <c r="Z166" i="87" s="1"/>
  <c r="J174" i="87"/>
  <c r="V213" i="87"/>
  <c r="V14" i="87"/>
  <c r="W33" i="87"/>
  <c r="G48" i="87"/>
  <c r="X48" i="87" s="1"/>
  <c r="AN48" i="87" s="1"/>
  <c r="G58" i="87"/>
  <c r="X58" i="87" s="1"/>
  <c r="AN58" i="87" s="1"/>
  <c r="G65" i="87"/>
  <c r="X65" i="87" s="1"/>
  <c r="AN65" i="87" s="1"/>
  <c r="I75" i="87"/>
  <c r="J81" i="87"/>
  <c r="Q90" i="87"/>
  <c r="M90" i="87" s="1"/>
  <c r="AA90" i="87" s="1"/>
  <c r="T97" i="87"/>
  <c r="U104" i="87"/>
  <c r="V111" i="87"/>
  <c r="G145" i="87"/>
  <c r="X145" i="87" s="1"/>
  <c r="I152" i="87"/>
  <c r="K159" i="87"/>
  <c r="Z159" i="87" s="1"/>
  <c r="J167" i="87"/>
  <c r="O173" i="87"/>
  <c r="Q180" i="87"/>
  <c r="M180" i="87" s="1"/>
  <c r="AA180" i="87" s="1"/>
  <c r="AD180" i="87" s="1"/>
  <c r="AK178" i="87" s="1"/>
  <c r="U199" i="87"/>
  <c r="V206" i="87"/>
  <c r="W213" i="87"/>
  <c r="W14" i="87"/>
  <c r="W21" i="87"/>
  <c r="W28" i="87"/>
  <c r="G38" i="87"/>
  <c r="Q38" i="87" s="1"/>
  <c r="M38" i="87" s="1"/>
  <c r="AA38" i="87" s="1"/>
  <c r="I48" i="87"/>
  <c r="I58" i="87"/>
  <c r="I65" i="87"/>
  <c r="K75" i="87"/>
  <c r="Z75" i="87" s="1"/>
  <c r="O80" i="87"/>
  <c r="U97" i="87"/>
  <c r="V104" i="87"/>
  <c r="W111" i="87"/>
  <c r="G138" i="87"/>
  <c r="Q138" i="87" s="1"/>
  <c r="M138" i="87" s="1"/>
  <c r="AA138" i="87" s="1"/>
  <c r="I145" i="87"/>
  <c r="K152" i="87"/>
  <c r="Z152" i="87" s="1"/>
  <c r="J160" i="87"/>
  <c r="O166" i="87"/>
  <c r="Q173" i="87"/>
  <c r="M173" i="87" s="1"/>
  <c r="AA173" i="87" s="1"/>
  <c r="R180" i="87"/>
  <c r="U194" i="87"/>
  <c r="V199" i="87"/>
  <c r="K48" i="87"/>
  <c r="Z48" i="87" s="1"/>
  <c r="K58" i="87"/>
  <c r="Z58" i="87" s="1"/>
  <c r="K65" i="87"/>
  <c r="Z65" i="87" s="1"/>
  <c r="J76" i="87"/>
  <c r="T90" i="87"/>
  <c r="V97" i="87"/>
  <c r="W104" i="87"/>
  <c r="G121" i="87"/>
  <c r="G131" i="87"/>
  <c r="I138" i="87"/>
  <c r="K145" i="87"/>
  <c r="Z145" i="87" s="1"/>
  <c r="J153" i="87"/>
  <c r="O159" i="87"/>
  <c r="U187" i="87"/>
  <c r="V194" i="87"/>
  <c r="W199" i="87"/>
  <c r="G213" i="87"/>
  <c r="G14" i="87"/>
  <c r="G21" i="87"/>
  <c r="G28" i="87"/>
  <c r="O75" i="87"/>
  <c r="U90" i="87"/>
  <c r="W97" i="87"/>
  <c r="K138" i="87"/>
  <c r="Z138" i="87" s="1"/>
  <c r="J146" i="87"/>
  <c r="O152" i="87"/>
  <c r="T173" i="87"/>
  <c r="AE173" i="87" s="1"/>
  <c r="V187" i="87"/>
  <c r="I14" i="87"/>
  <c r="Y14" i="87" s="1"/>
  <c r="I21" i="87"/>
  <c r="Y21" i="87" s="1"/>
  <c r="I28" i="87"/>
  <c r="Y28" i="87" s="1"/>
  <c r="O48" i="87"/>
  <c r="J49" i="87"/>
  <c r="O58" i="87"/>
  <c r="J59" i="87"/>
  <c r="O65" i="87"/>
  <c r="J66" i="87"/>
  <c r="Q75" i="87"/>
  <c r="M75" i="87" s="1"/>
  <c r="AA75" i="87" s="1"/>
  <c r="T80" i="87"/>
  <c r="V90" i="87"/>
  <c r="G104" i="87"/>
  <c r="K131" i="87"/>
  <c r="Z131" i="87" s="1"/>
  <c r="J139" i="87"/>
  <c r="O145" i="87"/>
  <c r="Q152" i="87"/>
  <c r="M152" i="87" s="1"/>
  <c r="AA152" i="87" s="1"/>
  <c r="T166" i="87"/>
  <c r="U173" i="87"/>
  <c r="AD173" i="87" s="1"/>
  <c r="AK171" i="87" s="1"/>
  <c r="G199" i="87"/>
  <c r="K213" i="87"/>
  <c r="Z213" i="87" s="1"/>
  <c r="K14" i="87"/>
  <c r="Z14" i="87" s="1"/>
  <c r="K21" i="87"/>
  <c r="Z21" i="87" s="1"/>
  <c r="K28" i="87"/>
  <c r="Z28" i="87" s="1"/>
  <c r="AD33" i="87"/>
  <c r="AK31" i="87" s="1"/>
  <c r="O38" i="87"/>
  <c r="J39" i="87"/>
  <c r="Q48" i="87"/>
  <c r="M48" i="87" s="1"/>
  <c r="AA48" i="87" s="1"/>
  <c r="Q58" i="87"/>
  <c r="M58" i="87" s="1"/>
  <c r="AA58" i="87" s="1"/>
  <c r="Q65" i="87"/>
  <c r="M65" i="87" s="1"/>
  <c r="AA65" i="87" s="1"/>
  <c r="R75" i="87"/>
  <c r="U80" i="87"/>
  <c r="G97" i="87"/>
  <c r="I104" i="87"/>
  <c r="Y104" i="87" s="1"/>
  <c r="K111" i="87"/>
  <c r="J132" i="87"/>
  <c r="O138" i="87"/>
  <c r="Q145" i="87"/>
  <c r="M145" i="87" s="1"/>
  <c r="AA145" i="87" s="1"/>
  <c r="R152" i="87"/>
  <c r="T159" i="87"/>
  <c r="U166" i="87"/>
  <c r="V173" i="87"/>
  <c r="G194" i="87"/>
  <c r="I199" i="87"/>
  <c r="Y199" i="87" s="1"/>
  <c r="K206" i="87"/>
  <c r="J214" i="87"/>
  <c r="O33" i="87"/>
  <c r="R33" i="87" s="1"/>
  <c r="AE33" i="87"/>
  <c r="O121" i="87"/>
  <c r="O131" i="87"/>
  <c r="O213" i="87"/>
  <c r="AE116" i="86"/>
  <c r="AD116" i="86"/>
  <c r="AK114" i="86" s="1"/>
  <c r="Y116" i="86"/>
  <c r="V116" i="86"/>
  <c r="R80" i="86"/>
  <c r="AE224" i="86"/>
  <c r="W101" i="86"/>
  <c r="AA255" i="86"/>
  <c r="X296" i="86"/>
  <c r="Q296" i="86"/>
  <c r="M296" i="86" s="1"/>
  <c r="AA296" i="86" s="1"/>
  <c r="AE296" i="86" s="1"/>
  <c r="X301" i="86"/>
  <c r="R301" i="86"/>
  <c r="Q301" i="86"/>
  <c r="M301" i="86" s="1"/>
  <c r="AA301" i="86" s="1"/>
  <c r="U14" i="86"/>
  <c r="U19" i="86"/>
  <c r="U26" i="86"/>
  <c r="U31" i="86"/>
  <c r="U38" i="86"/>
  <c r="W53" i="86"/>
  <c r="W58" i="86"/>
  <c r="W68" i="86"/>
  <c r="W73" i="86"/>
  <c r="W80" i="86"/>
  <c r="W85" i="86"/>
  <c r="X95" i="86"/>
  <c r="I101" i="86"/>
  <c r="Y101" i="86" s="1"/>
  <c r="Q116" i="86"/>
  <c r="M116" i="86" s="1"/>
  <c r="AA116" i="86" s="1"/>
  <c r="I147" i="86"/>
  <c r="Y147" i="86" s="1"/>
  <c r="G147" i="86"/>
  <c r="X147" i="86" s="1"/>
  <c r="V147" i="86"/>
  <c r="U147" i="86"/>
  <c r="T147" i="86"/>
  <c r="Q195" i="86"/>
  <c r="M195" i="86" s="1"/>
  <c r="AA195" i="86" s="1"/>
  <c r="AE195" i="86" s="1"/>
  <c r="O195" i="86"/>
  <c r="J196" i="86"/>
  <c r="K195" i="86"/>
  <c r="Z195" i="86" s="1"/>
  <c r="I195" i="86"/>
  <c r="Y195" i="86" s="1"/>
  <c r="G195" i="86"/>
  <c r="X195" i="86" s="1"/>
  <c r="W195" i="86"/>
  <c r="V195" i="86"/>
  <c r="K101" i="86"/>
  <c r="Z101" i="86" s="1"/>
  <c r="W291" i="86"/>
  <c r="V291" i="86"/>
  <c r="U291" i="86"/>
  <c r="T291" i="86"/>
  <c r="O291" i="86"/>
  <c r="J292" i="86"/>
  <c r="K291" i="86"/>
  <c r="Z291" i="86" s="1"/>
  <c r="I291" i="86"/>
  <c r="Y291" i="86" s="1"/>
  <c r="G291" i="86"/>
  <c r="X291" i="86" s="1"/>
  <c r="G101" i="86"/>
  <c r="X101" i="86" s="1"/>
  <c r="K152" i="86"/>
  <c r="Z152" i="86" s="1"/>
  <c r="I152" i="86"/>
  <c r="Y152" i="86" s="1"/>
  <c r="W152" i="86"/>
  <c r="V152" i="86"/>
  <c r="U152" i="86"/>
  <c r="W14" i="86"/>
  <c r="W19" i="86"/>
  <c r="W26" i="86"/>
  <c r="W31" i="86"/>
  <c r="W38" i="86"/>
  <c r="G53" i="86"/>
  <c r="X53" i="86" s="1"/>
  <c r="AN53" i="86" s="1"/>
  <c r="G58" i="86"/>
  <c r="X58" i="86" s="1"/>
  <c r="AN58" i="86" s="1"/>
  <c r="G68" i="86"/>
  <c r="X68" i="86" s="1"/>
  <c r="AN68" i="86" s="1"/>
  <c r="G73" i="86"/>
  <c r="X73" i="86" s="1"/>
  <c r="AN73" i="86" s="1"/>
  <c r="G80" i="86"/>
  <c r="X80" i="86" s="1"/>
  <c r="AN80" i="86" s="1"/>
  <c r="G85" i="86"/>
  <c r="X85" i="86" s="1"/>
  <c r="AN85" i="86" s="1"/>
  <c r="I95" i="86"/>
  <c r="J102" i="86"/>
  <c r="Q111" i="86"/>
  <c r="M111" i="86" s="1"/>
  <c r="AA111" i="86" s="1"/>
  <c r="AE111" i="86" s="1"/>
  <c r="V123" i="86"/>
  <c r="W135" i="86"/>
  <c r="O152" i="86"/>
  <c r="U195" i="86"/>
  <c r="AD195" i="86" s="1"/>
  <c r="AK193" i="86" s="1"/>
  <c r="X224" i="86"/>
  <c r="Q224" i="86"/>
  <c r="M224" i="86" s="1"/>
  <c r="AA224" i="86" s="1"/>
  <c r="AD224" i="86" s="1"/>
  <c r="AK222" i="86" s="1"/>
  <c r="X231" i="86"/>
  <c r="AD231" i="86" s="1"/>
  <c r="AK229" i="86" s="1"/>
  <c r="R231" i="86"/>
  <c r="Q231" i="86"/>
  <c r="M231" i="86" s="1"/>
  <c r="AA231" i="86" s="1"/>
  <c r="T272" i="86"/>
  <c r="I53" i="86"/>
  <c r="I58" i="86"/>
  <c r="I68" i="86"/>
  <c r="I73" i="86"/>
  <c r="I80" i="86"/>
  <c r="I85" i="86"/>
  <c r="O101" i="86"/>
  <c r="O147" i="86"/>
  <c r="Q152" i="86"/>
  <c r="M152" i="86" s="1"/>
  <c r="AA152" i="86" s="1"/>
  <c r="Y231" i="86"/>
  <c r="V231" i="86"/>
  <c r="X157" i="86"/>
  <c r="G14" i="86"/>
  <c r="G19" i="86"/>
  <c r="G26" i="86"/>
  <c r="G31" i="86"/>
  <c r="G38" i="86"/>
  <c r="K53" i="86"/>
  <c r="Z53" i="86" s="1"/>
  <c r="K58" i="86"/>
  <c r="Z58" i="86" s="1"/>
  <c r="K68" i="86"/>
  <c r="Z68" i="86" s="1"/>
  <c r="K73" i="86"/>
  <c r="Z73" i="86" s="1"/>
  <c r="K80" i="86"/>
  <c r="Z80" i="86" s="1"/>
  <c r="K85" i="86"/>
  <c r="Z85" i="86" s="1"/>
  <c r="J96" i="86"/>
  <c r="Q147" i="86"/>
  <c r="M147" i="86" s="1"/>
  <c r="AA147" i="86" s="1"/>
  <c r="R152" i="86"/>
  <c r="J153" i="86"/>
  <c r="I14" i="86"/>
  <c r="I19" i="86"/>
  <c r="I26" i="86"/>
  <c r="I31" i="86"/>
  <c r="I38" i="86"/>
  <c r="K43" i="86"/>
  <c r="O95" i="86"/>
  <c r="G123" i="86"/>
  <c r="K128" i="86"/>
  <c r="Z128" i="86" s="1"/>
  <c r="J148" i="86"/>
  <c r="T152" i="86"/>
  <c r="AE152" i="86" s="1"/>
  <c r="Y157" i="86"/>
  <c r="AE255" i="86"/>
  <c r="K14" i="86"/>
  <c r="Z14" i="86" s="1"/>
  <c r="K19" i="86"/>
  <c r="Z19" i="86" s="1"/>
  <c r="K26" i="86"/>
  <c r="Z26" i="86" s="1"/>
  <c r="K31" i="86"/>
  <c r="Z31" i="86" s="1"/>
  <c r="K38" i="86"/>
  <c r="Z38" i="86" s="1"/>
  <c r="O53" i="86"/>
  <c r="J54" i="86"/>
  <c r="O58" i="86"/>
  <c r="J59" i="86"/>
  <c r="O68" i="86"/>
  <c r="J69" i="86"/>
  <c r="O73" i="86"/>
  <c r="J74" i="86"/>
  <c r="O80" i="86"/>
  <c r="J81" i="86"/>
  <c r="O85" i="86"/>
  <c r="J86" i="86"/>
  <c r="Q95" i="86"/>
  <c r="M95" i="86" s="1"/>
  <c r="AA95" i="86" s="1"/>
  <c r="T101" i="86"/>
  <c r="I123" i="86"/>
  <c r="Y123" i="86" s="1"/>
  <c r="Q140" i="86"/>
  <c r="M140" i="86" s="1"/>
  <c r="AA140" i="86" s="1"/>
  <c r="W147" i="86"/>
  <c r="W219" i="86"/>
  <c r="V219" i="86"/>
  <c r="U219" i="86"/>
  <c r="T219" i="86"/>
  <c r="AD219" i="86" s="1"/>
  <c r="AK217" i="86" s="1"/>
  <c r="Q219" i="86"/>
  <c r="M219" i="86" s="1"/>
  <c r="AA219" i="86" s="1"/>
  <c r="AE219" i="86"/>
  <c r="O219" i="86"/>
  <c r="J220" i="86"/>
  <c r="K219" i="86"/>
  <c r="Z219" i="86" s="1"/>
  <c r="I219" i="86"/>
  <c r="Y219" i="86" s="1"/>
  <c r="G219" i="86"/>
  <c r="X219" i="86" s="1"/>
  <c r="Y301" i="86"/>
  <c r="V301" i="86"/>
  <c r="AE301" i="86" s="1"/>
  <c r="V212" i="86"/>
  <c r="Q53" i="86"/>
  <c r="M53" i="86" s="1"/>
  <c r="AA53" i="86" s="1"/>
  <c r="Q58" i="86"/>
  <c r="M58" i="86" s="1"/>
  <c r="AA58" i="86" s="1"/>
  <c r="Q68" i="86"/>
  <c r="M68" i="86" s="1"/>
  <c r="AA68" i="86" s="1"/>
  <c r="Q73" i="86"/>
  <c r="M73" i="86" s="1"/>
  <c r="AA73" i="86" s="1"/>
  <c r="Q80" i="86"/>
  <c r="M80" i="86" s="1"/>
  <c r="AA80" i="86" s="1"/>
  <c r="Q85" i="86"/>
  <c r="M85" i="86" s="1"/>
  <c r="AA85" i="86" s="1"/>
  <c r="U101" i="86"/>
  <c r="O14" i="86"/>
  <c r="O19" i="86"/>
  <c r="O26" i="86"/>
  <c r="O31" i="86"/>
  <c r="O38" i="86"/>
  <c r="T128" i="86"/>
  <c r="AD152" i="86"/>
  <c r="AK150" i="86" s="1"/>
  <c r="Q200" i="86"/>
  <c r="M200" i="86" s="1"/>
  <c r="AA200" i="86" s="1"/>
  <c r="W200" i="86"/>
  <c r="G212" i="86"/>
  <c r="X212" i="86" s="1"/>
  <c r="O236" i="86"/>
  <c r="W272" i="86"/>
  <c r="G284" i="86"/>
  <c r="X284" i="86" s="1"/>
  <c r="O308" i="86"/>
  <c r="Q313" i="86"/>
  <c r="M313" i="86" s="1"/>
  <c r="AA313" i="86" s="1"/>
  <c r="X200" i="86"/>
  <c r="Y207" i="86"/>
  <c r="I212" i="86"/>
  <c r="Y212" i="86" s="1"/>
  <c r="W267" i="86"/>
  <c r="X272" i="86"/>
  <c r="Y279" i="86"/>
  <c r="I284" i="86"/>
  <c r="Y284" i="86" s="1"/>
  <c r="Q308" i="86"/>
  <c r="M308" i="86" s="1"/>
  <c r="AA308" i="86" s="1"/>
  <c r="AE308" i="86" s="1"/>
  <c r="K212" i="86"/>
  <c r="Z212" i="86" s="1"/>
  <c r="K284" i="86"/>
  <c r="Z284" i="86" s="1"/>
  <c r="Q135" i="86"/>
  <c r="M135" i="86" s="1"/>
  <c r="AA135" i="86" s="1"/>
  <c r="R140" i="86"/>
  <c r="I200" i="86"/>
  <c r="K207" i="86"/>
  <c r="Z207" i="86" s="1"/>
  <c r="J213" i="86"/>
  <c r="T236" i="86"/>
  <c r="U243" i="86"/>
  <c r="V248" i="86"/>
  <c r="G267" i="86"/>
  <c r="X267" i="86" s="1"/>
  <c r="I272" i="86"/>
  <c r="Q272" i="86" s="1"/>
  <c r="M272" i="86" s="1"/>
  <c r="AA272" i="86" s="1"/>
  <c r="K279" i="86"/>
  <c r="Z279" i="86" s="1"/>
  <c r="J285" i="86"/>
  <c r="T308" i="86"/>
  <c r="U313" i="86"/>
  <c r="V320" i="86"/>
  <c r="R135" i="86"/>
  <c r="T140" i="86"/>
  <c r="W157" i="86"/>
  <c r="G188" i="86"/>
  <c r="K200" i="86"/>
  <c r="Z200" i="86" s="1"/>
  <c r="J208" i="86"/>
  <c r="O212" i="86"/>
  <c r="U236" i="86"/>
  <c r="W248" i="86"/>
  <c r="G260" i="86"/>
  <c r="I267" i="86"/>
  <c r="Y267" i="86" s="1"/>
  <c r="K272" i="86"/>
  <c r="Z272" i="86" s="1"/>
  <c r="AD279" i="86"/>
  <c r="AK277" i="86" s="1"/>
  <c r="J280" i="86"/>
  <c r="O284" i="86"/>
  <c r="U308" i="86"/>
  <c r="W320" i="86"/>
  <c r="T135" i="86"/>
  <c r="U140" i="86"/>
  <c r="G167" i="86"/>
  <c r="G173" i="86"/>
  <c r="G182" i="86"/>
  <c r="I188" i="86"/>
  <c r="J201" i="86"/>
  <c r="O207" i="86"/>
  <c r="V236" i="86"/>
  <c r="W243" i="86"/>
  <c r="I260" i="86"/>
  <c r="K267" i="86"/>
  <c r="Z267" i="86" s="1"/>
  <c r="J273" i="86"/>
  <c r="O279" i="86"/>
  <c r="V308" i="86"/>
  <c r="W313" i="86"/>
  <c r="G325" i="86"/>
  <c r="O200" i="86"/>
  <c r="Q207" i="86"/>
  <c r="M207" i="86" s="1"/>
  <c r="AA207" i="86" s="1"/>
  <c r="W236" i="86"/>
  <c r="J268" i="86"/>
  <c r="O272" i="86"/>
  <c r="Q279" i="86"/>
  <c r="M279" i="86" s="1"/>
  <c r="AA279" i="86" s="1"/>
  <c r="W308" i="86"/>
  <c r="T212" i="86"/>
  <c r="O267" i="86"/>
  <c r="T284" i="86"/>
  <c r="K157" i="86"/>
  <c r="Z157" i="86" s="1"/>
  <c r="J183" i="86"/>
  <c r="O188" i="86"/>
  <c r="T207" i="86"/>
  <c r="AD207" i="86" s="1"/>
  <c r="AK205" i="86" s="1"/>
  <c r="U212" i="86"/>
  <c r="G236" i="86"/>
  <c r="X236" i="86" s="1"/>
  <c r="I243" i="86"/>
  <c r="Y243" i="86" s="1"/>
  <c r="K248" i="86"/>
  <c r="AD255" i="86"/>
  <c r="AK253" i="86" s="1"/>
  <c r="J256" i="86"/>
  <c r="O260" i="86"/>
  <c r="T279" i="86"/>
  <c r="AE279" i="86" s="1"/>
  <c r="U284" i="86"/>
  <c r="G308" i="86"/>
  <c r="X308" i="86" s="1"/>
  <c r="I313" i="86"/>
  <c r="Y313" i="86" s="1"/>
  <c r="K320" i="86"/>
  <c r="J326" i="86"/>
  <c r="O167" i="86"/>
  <c r="O173" i="86"/>
  <c r="O182" i="86"/>
  <c r="O255" i="86"/>
  <c r="R255" i="86" s="1"/>
  <c r="O325" i="86"/>
  <c r="AA180" i="84"/>
  <c r="F180" i="84"/>
  <c r="H180" i="84"/>
  <c r="J180" i="84"/>
  <c r="AD180" i="84" s="1"/>
  <c r="L21" i="89" l="1"/>
  <c r="T21" i="89"/>
  <c r="R21" i="89"/>
  <c r="P21" i="89"/>
  <c r="T16" i="89"/>
  <c r="P16" i="89"/>
  <c r="L16" i="89"/>
  <c r="R16" i="89"/>
  <c r="AZ192" i="88"/>
  <c r="BA192" i="88" s="1"/>
  <c r="AV192" i="88"/>
  <c r="T173" i="88"/>
  <c r="R173" i="88"/>
  <c r="P173" i="88"/>
  <c r="P174" i="88" s="1"/>
  <c r="L173" i="88"/>
  <c r="L48" i="88"/>
  <c r="P48" i="88"/>
  <c r="T48" i="88"/>
  <c r="R48" i="88"/>
  <c r="AM114" i="88"/>
  <c r="V114" i="88"/>
  <c r="AN112" i="88"/>
  <c r="P91" i="88"/>
  <c r="AZ137" i="88"/>
  <c r="BA137" i="88" s="1"/>
  <c r="AV137" i="88"/>
  <c r="R14" i="88"/>
  <c r="P14" i="88"/>
  <c r="L14" i="88"/>
  <c r="T14" i="88"/>
  <c r="AM38" i="88"/>
  <c r="V38" i="88"/>
  <c r="AN36" i="88"/>
  <c r="AO37" i="88" s="1"/>
  <c r="AN38" i="88"/>
  <c r="AZ166" i="88"/>
  <c r="BA166" i="88" s="1"/>
  <c r="AV166" i="88"/>
  <c r="T129" i="88"/>
  <c r="R129" i="88"/>
  <c r="P129" i="88"/>
  <c r="L129" i="88"/>
  <c r="P22" i="88"/>
  <c r="R28" i="88"/>
  <c r="P28" i="88"/>
  <c r="L28" i="88"/>
  <c r="T28" i="88"/>
  <c r="AE65" i="88"/>
  <c r="O65" i="88"/>
  <c r="T185" i="88"/>
  <c r="R185" i="88"/>
  <c r="P185" i="88"/>
  <c r="L185" i="88"/>
  <c r="AE21" i="88"/>
  <c r="O21" i="88"/>
  <c r="P115" i="88"/>
  <c r="AI38" i="88"/>
  <c r="AJ114" i="88"/>
  <c r="AL114" i="88" s="1"/>
  <c r="AU114" i="88"/>
  <c r="T158" i="88"/>
  <c r="R158" i="88"/>
  <c r="P158" i="88"/>
  <c r="L158" i="88"/>
  <c r="AE90" i="88"/>
  <c r="O90" i="88"/>
  <c r="AZ151" i="88"/>
  <c r="BA151" i="88" s="1"/>
  <c r="AV151" i="88"/>
  <c r="AE144" i="88"/>
  <c r="O144" i="88"/>
  <c r="R97" i="88"/>
  <c r="P97" i="88"/>
  <c r="P98" i="88" s="1"/>
  <c r="L97" i="88"/>
  <c r="T97" i="88"/>
  <c r="P55" i="88"/>
  <c r="T55" i="88"/>
  <c r="R55" i="88"/>
  <c r="L55" i="88"/>
  <c r="R104" i="88"/>
  <c r="P104" i="88"/>
  <c r="L104" i="88"/>
  <c r="T104" i="88"/>
  <c r="T199" i="88"/>
  <c r="R199" i="88"/>
  <c r="P199" i="88"/>
  <c r="L199" i="88"/>
  <c r="P66" i="88"/>
  <c r="P145" i="88"/>
  <c r="R76" i="88"/>
  <c r="P76" i="88"/>
  <c r="L76" i="88"/>
  <c r="T76" i="88"/>
  <c r="AN180" i="88"/>
  <c r="AM180" i="88"/>
  <c r="V180" i="88"/>
  <c r="AN178" i="88"/>
  <c r="AO179" i="88" s="1"/>
  <c r="P39" i="88"/>
  <c r="P119" i="88"/>
  <c r="L119" i="88"/>
  <c r="T119" i="88"/>
  <c r="R119" i="88"/>
  <c r="AZ180" i="88"/>
  <c r="BA180" i="88" s="1"/>
  <c r="AV180" i="88"/>
  <c r="R83" i="88"/>
  <c r="T83" i="88"/>
  <c r="P83" i="88"/>
  <c r="P84" i="88" s="1"/>
  <c r="L83" i="88"/>
  <c r="AH114" i="88"/>
  <c r="AO112" i="88" s="1"/>
  <c r="N180" i="84"/>
  <c r="P180" i="84" s="1"/>
  <c r="N146" i="84"/>
  <c r="N153" i="84"/>
  <c r="F154" i="84"/>
  <c r="AB154" i="84" s="1"/>
  <c r="Z153" i="84"/>
  <c r="H154" i="84"/>
  <c r="AB146" i="84"/>
  <c r="H181" i="84"/>
  <c r="F147" i="84"/>
  <c r="AB147" i="84" s="1"/>
  <c r="H147" i="84"/>
  <c r="Z146" i="84"/>
  <c r="F181" i="84"/>
  <c r="AB181" i="84" s="1"/>
  <c r="AQ180" i="87"/>
  <c r="AF180" i="87"/>
  <c r="AH180" i="87" s="1"/>
  <c r="AQ173" i="87"/>
  <c r="AF173" i="87"/>
  <c r="AH173" i="87" s="1"/>
  <c r="AJ31" i="87"/>
  <c r="AI33" i="87"/>
  <c r="AE213" i="87"/>
  <c r="AI75" i="87"/>
  <c r="AJ73" i="87"/>
  <c r="X97" i="87"/>
  <c r="AE97" i="87" s="1"/>
  <c r="R97" i="87"/>
  <c r="Q97" i="87"/>
  <c r="M97" i="87" s="1"/>
  <c r="AA97" i="87" s="1"/>
  <c r="AD97" i="87" s="1"/>
  <c r="AK95" i="87" s="1"/>
  <c r="X104" i="87"/>
  <c r="Q104" i="87"/>
  <c r="M104" i="87" s="1"/>
  <c r="AA104" i="87" s="1"/>
  <c r="AE104" i="87" s="1"/>
  <c r="Q14" i="87"/>
  <c r="M14" i="87" s="1"/>
  <c r="AA14" i="87" s="1"/>
  <c r="AE14" i="87" s="1"/>
  <c r="X14" i="87"/>
  <c r="AN14" i="87" s="1"/>
  <c r="Y138" i="87"/>
  <c r="V138" i="87"/>
  <c r="V21" i="87"/>
  <c r="R145" i="87"/>
  <c r="AJ180" i="87"/>
  <c r="AI180" i="87"/>
  <c r="AJ178" i="87"/>
  <c r="AK179" i="87" s="1"/>
  <c r="R90" i="87"/>
  <c r="AE187" i="87"/>
  <c r="AD187" i="87"/>
  <c r="AK185" i="87" s="1"/>
  <c r="AE166" i="87"/>
  <c r="R65" i="87"/>
  <c r="AI152" i="87"/>
  <c r="AJ150" i="87"/>
  <c r="AQ33" i="87"/>
  <c r="AF33" i="87"/>
  <c r="AH33" i="87" s="1"/>
  <c r="R173" i="87"/>
  <c r="AE90" i="87"/>
  <c r="AD90" i="87"/>
  <c r="AK88" i="87" s="1"/>
  <c r="R187" i="87"/>
  <c r="Q166" i="87"/>
  <c r="M166" i="87" s="1"/>
  <c r="AA166" i="87" s="1"/>
  <c r="Q80" i="87"/>
  <c r="M80" i="87" s="1"/>
  <c r="Y65" i="87"/>
  <c r="V65" i="87"/>
  <c r="Y75" i="87"/>
  <c r="V75" i="87"/>
  <c r="Y159" i="87"/>
  <c r="V159" i="87"/>
  <c r="AD159" i="87" s="1"/>
  <c r="AK157" i="87" s="1"/>
  <c r="X199" i="87"/>
  <c r="Q199" i="87"/>
  <c r="M199" i="87" s="1"/>
  <c r="AA199" i="87" s="1"/>
  <c r="AD199" i="87" s="1"/>
  <c r="AK197" i="87" s="1"/>
  <c r="R166" i="87"/>
  <c r="Y58" i="87"/>
  <c r="V58" i="87"/>
  <c r="R58" i="87"/>
  <c r="X131" i="87"/>
  <c r="Q131" i="87"/>
  <c r="M131" i="87" s="1"/>
  <c r="AA131" i="87" s="1"/>
  <c r="AD131" i="87" s="1"/>
  <c r="AK129" i="87" s="1"/>
  <c r="X121" i="87"/>
  <c r="Q121" i="87"/>
  <c r="M121" i="87" s="1"/>
  <c r="AA121" i="87" s="1"/>
  <c r="AD121" i="87" s="1"/>
  <c r="AK119" i="87" s="1"/>
  <c r="AE199" i="87"/>
  <c r="Q159" i="87"/>
  <c r="M159" i="87" s="1"/>
  <c r="AA159" i="87" s="1"/>
  <c r="AE159" i="87" s="1"/>
  <c r="Y48" i="87"/>
  <c r="V48" i="87"/>
  <c r="V166" i="87"/>
  <c r="AD166" i="87" s="1"/>
  <c r="AK164" i="87" s="1"/>
  <c r="X213" i="87"/>
  <c r="Q213" i="87"/>
  <c r="M213" i="87" s="1"/>
  <c r="AA213" i="87" s="1"/>
  <c r="AD213" i="87" s="1"/>
  <c r="AK211" i="87" s="1"/>
  <c r="Q206" i="87"/>
  <c r="M206" i="87" s="1"/>
  <c r="AA206" i="87" s="1"/>
  <c r="AD206" i="87" s="1"/>
  <c r="AK204" i="87" s="1"/>
  <c r="Z206" i="87"/>
  <c r="AE206" i="87" s="1"/>
  <c r="Y145" i="87"/>
  <c r="V145" i="87"/>
  <c r="X38" i="87"/>
  <c r="AD38" i="87" s="1"/>
  <c r="AK36" i="87" s="1"/>
  <c r="R38" i="87"/>
  <c r="R48" i="87"/>
  <c r="Z111" i="87"/>
  <c r="AE111" i="87" s="1"/>
  <c r="Q111" i="87"/>
  <c r="M111" i="87" s="1"/>
  <c r="AA111" i="87" s="1"/>
  <c r="Q28" i="87"/>
  <c r="M28" i="87" s="1"/>
  <c r="AA28" i="87" s="1"/>
  <c r="X28" i="87"/>
  <c r="AN28" i="87" s="1"/>
  <c r="X138" i="87"/>
  <c r="R138" i="87"/>
  <c r="V152" i="87"/>
  <c r="Y152" i="87"/>
  <c r="V80" i="87"/>
  <c r="X194" i="87"/>
  <c r="AE194" i="87" s="1"/>
  <c r="Q194" i="87"/>
  <c r="M194" i="87" s="1"/>
  <c r="AA194" i="87" s="1"/>
  <c r="AD194" i="87" s="1"/>
  <c r="AK192" i="87" s="1"/>
  <c r="X21" i="87"/>
  <c r="AN21" i="87" s="1"/>
  <c r="Q21" i="87"/>
  <c r="M21" i="87" s="1"/>
  <c r="AA21" i="87" s="1"/>
  <c r="V28" i="87"/>
  <c r="AD28" i="87" s="1"/>
  <c r="AK26" i="87" s="1"/>
  <c r="AF195" i="86"/>
  <c r="AH195" i="86" s="1"/>
  <c r="AQ195" i="86"/>
  <c r="AQ296" i="86"/>
  <c r="AF296" i="86"/>
  <c r="AH296" i="86" s="1"/>
  <c r="AF279" i="86"/>
  <c r="AH279" i="86" s="1"/>
  <c r="AQ279" i="86"/>
  <c r="AQ308" i="86"/>
  <c r="AF308" i="86"/>
  <c r="AH308" i="86" s="1"/>
  <c r="R320" i="86"/>
  <c r="AQ111" i="86"/>
  <c r="AF111" i="86"/>
  <c r="AH111" i="86" s="1"/>
  <c r="AQ301" i="86"/>
  <c r="AF301" i="86"/>
  <c r="AH301" i="86" s="1"/>
  <c r="AQ152" i="86"/>
  <c r="AF152" i="86"/>
  <c r="AH152" i="86" s="1"/>
  <c r="AJ255" i="86"/>
  <c r="AI255" i="86"/>
  <c r="AJ253" i="86"/>
  <c r="AK254" i="86" s="1"/>
  <c r="AD26" i="86"/>
  <c r="AK24" i="86" s="1"/>
  <c r="R248" i="86"/>
  <c r="Y188" i="86"/>
  <c r="V188" i="86"/>
  <c r="X188" i="86"/>
  <c r="R207" i="86"/>
  <c r="AE123" i="86"/>
  <c r="AJ301" i="86"/>
  <c r="AI301" i="86"/>
  <c r="AJ299" i="86"/>
  <c r="X31" i="86"/>
  <c r="AN31" i="86" s="1"/>
  <c r="Q31" i="86"/>
  <c r="M31" i="86" s="1"/>
  <c r="AA31" i="86" s="1"/>
  <c r="X167" i="86"/>
  <c r="Q167" i="86"/>
  <c r="M167" i="86" s="1"/>
  <c r="AA167" i="86" s="1"/>
  <c r="AD167" i="86" s="1"/>
  <c r="AK165" i="86" s="1"/>
  <c r="X260" i="86"/>
  <c r="AI135" i="86"/>
  <c r="AJ133" i="86"/>
  <c r="AK134" i="86" s="1"/>
  <c r="AJ135" i="86"/>
  <c r="AD301" i="86"/>
  <c r="AK299" i="86" s="1"/>
  <c r="X26" i="86"/>
  <c r="AN26" i="86" s="1"/>
  <c r="Q26" i="86"/>
  <c r="M26" i="86" s="1"/>
  <c r="AA26" i="86" s="1"/>
  <c r="AE231" i="86"/>
  <c r="R296" i="86"/>
  <c r="AJ152" i="86"/>
  <c r="AJ150" i="86"/>
  <c r="AK151" i="86" s="1"/>
  <c r="AI152" i="86"/>
  <c r="Z320" i="86"/>
  <c r="Q320" i="86"/>
  <c r="M320" i="86" s="1"/>
  <c r="AA320" i="86" s="1"/>
  <c r="AD320" i="86" s="1"/>
  <c r="AK318" i="86" s="1"/>
  <c r="Y260" i="86"/>
  <c r="V260" i="86"/>
  <c r="AE320" i="86"/>
  <c r="AD296" i="86"/>
  <c r="AK294" i="86" s="1"/>
  <c r="R219" i="86"/>
  <c r="Q101" i="86"/>
  <c r="M101" i="86" s="1"/>
  <c r="AA101" i="86" s="1"/>
  <c r="X19" i="86"/>
  <c r="AN19" i="86" s="1"/>
  <c r="R19" i="86"/>
  <c r="Q19" i="86"/>
  <c r="M19" i="86" s="1"/>
  <c r="AA19" i="86" s="1"/>
  <c r="R224" i="86"/>
  <c r="Y95" i="86"/>
  <c r="V95" i="86"/>
  <c r="AE147" i="86"/>
  <c r="AD147" i="86"/>
  <c r="AK145" i="86" s="1"/>
  <c r="R95" i="86"/>
  <c r="Q157" i="86"/>
  <c r="M157" i="86" s="1"/>
  <c r="AA157" i="86" s="1"/>
  <c r="AE157" i="86" s="1"/>
  <c r="AE135" i="86"/>
  <c r="AD135" i="86"/>
  <c r="AK133" i="86" s="1"/>
  <c r="V243" i="86"/>
  <c r="AE243" i="86" s="1"/>
  <c r="AE313" i="86"/>
  <c r="X14" i="86"/>
  <c r="AN14" i="86" s="1"/>
  <c r="Q14" i="86"/>
  <c r="M14" i="86" s="1"/>
  <c r="AA14" i="86" s="1"/>
  <c r="V85" i="86"/>
  <c r="Y85" i="86"/>
  <c r="Q291" i="86"/>
  <c r="M291" i="86" s="1"/>
  <c r="AA291" i="86" s="1"/>
  <c r="AD291" i="86" s="1"/>
  <c r="AK289" i="86" s="1"/>
  <c r="R73" i="86"/>
  <c r="AQ255" i="86"/>
  <c r="AF255" i="86"/>
  <c r="AH255" i="86" s="1"/>
  <c r="AQ116" i="86"/>
  <c r="AF116" i="86"/>
  <c r="AH116" i="86" s="1"/>
  <c r="AD308" i="86"/>
  <c r="AK306" i="86" s="1"/>
  <c r="Y200" i="86"/>
  <c r="V200" i="86"/>
  <c r="V267" i="86"/>
  <c r="V284" i="86"/>
  <c r="AE284" i="86" s="1"/>
  <c r="R147" i="86"/>
  <c r="Z43" i="86"/>
  <c r="AE43" i="86" s="1"/>
  <c r="R43" i="86"/>
  <c r="R157" i="86"/>
  <c r="Y80" i="86"/>
  <c r="V80" i="86"/>
  <c r="X182" i="86"/>
  <c r="Q182" i="86"/>
  <c r="M182" i="86" s="1"/>
  <c r="AA182" i="86" s="1"/>
  <c r="AD182" i="86" s="1"/>
  <c r="AK180" i="86" s="1"/>
  <c r="AJ231" i="86"/>
  <c r="AI231" i="86"/>
  <c r="AJ229" i="86"/>
  <c r="AK230" i="86" s="1"/>
  <c r="R200" i="86"/>
  <c r="X325" i="86"/>
  <c r="Q325" i="86"/>
  <c r="M325" i="86" s="1"/>
  <c r="AA325" i="86" s="1"/>
  <c r="AD325" i="86" s="1"/>
  <c r="AK323" i="86" s="1"/>
  <c r="Q212" i="86"/>
  <c r="M212" i="86" s="1"/>
  <c r="V313" i="86"/>
  <c r="AD313" i="86" s="1"/>
  <c r="AK311" i="86" s="1"/>
  <c r="AI140" i="86"/>
  <c r="AJ138" i="86"/>
  <c r="Q260" i="86"/>
  <c r="M260" i="86" s="1"/>
  <c r="AA260" i="86" s="1"/>
  <c r="Y38" i="86"/>
  <c r="V38" i="86"/>
  <c r="V73" i="86"/>
  <c r="Y73" i="86"/>
  <c r="AD111" i="86"/>
  <c r="AK109" i="86" s="1"/>
  <c r="Q43" i="86"/>
  <c r="M43" i="86" s="1"/>
  <c r="AA43" i="86" s="1"/>
  <c r="AJ78" i="86"/>
  <c r="AI80" i="86"/>
  <c r="R272" i="86"/>
  <c r="AE207" i="86"/>
  <c r="Q236" i="86"/>
  <c r="M236" i="86" s="1"/>
  <c r="AA236" i="86" s="1"/>
  <c r="AD236" i="86" s="1"/>
  <c r="AK234" i="86" s="1"/>
  <c r="Q243" i="86"/>
  <c r="M243" i="86" s="1"/>
  <c r="AA243" i="86" s="1"/>
  <c r="R123" i="86"/>
  <c r="X123" i="86"/>
  <c r="Q123" i="86"/>
  <c r="M123" i="86" s="1"/>
  <c r="AA123" i="86" s="1"/>
  <c r="Y31" i="86"/>
  <c r="V31" i="86"/>
  <c r="V68" i="86"/>
  <c r="Y68" i="86"/>
  <c r="Q188" i="86"/>
  <c r="M188" i="86" s="1"/>
  <c r="AA188" i="86" s="1"/>
  <c r="V101" i="86"/>
  <c r="AE101" i="86" s="1"/>
  <c r="R313" i="86"/>
  <c r="X38" i="86"/>
  <c r="AN38" i="86" s="1"/>
  <c r="Q38" i="86"/>
  <c r="M38" i="86" s="1"/>
  <c r="AA38" i="86" s="1"/>
  <c r="AQ219" i="86"/>
  <c r="AF219" i="86"/>
  <c r="AH219" i="86" s="1"/>
  <c r="R111" i="86"/>
  <c r="Q267" i="86"/>
  <c r="M267" i="86" s="1"/>
  <c r="AA267" i="86" s="1"/>
  <c r="R308" i="86"/>
  <c r="R101" i="86"/>
  <c r="Y26" i="86"/>
  <c r="V26" i="86"/>
  <c r="Y58" i="86"/>
  <c r="V58" i="86"/>
  <c r="AE128" i="86"/>
  <c r="R58" i="86"/>
  <c r="R85" i="86"/>
  <c r="AQ224" i="86"/>
  <c r="AF224" i="86"/>
  <c r="AH224" i="86" s="1"/>
  <c r="X173" i="86"/>
  <c r="Q173" i="86"/>
  <c r="M173" i="86" s="1"/>
  <c r="AA173" i="86" s="1"/>
  <c r="AD173" i="86" s="1"/>
  <c r="AK171" i="86" s="1"/>
  <c r="Q284" i="86"/>
  <c r="M284" i="86" s="1"/>
  <c r="AA284" i="86" s="1"/>
  <c r="AD284" i="86" s="1"/>
  <c r="AK282" i="86" s="1"/>
  <c r="Y272" i="86"/>
  <c r="V272" i="86"/>
  <c r="Y19" i="86"/>
  <c r="V19" i="86"/>
  <c r="AE19" i="86" s="1"/>
  <c r="Y53" i="86"/>
  <c r="V53" i="86"/>
  <c r="Q128" i="86"/>
  <c r="M128" i="86" s="1"/>
  <c r="AA128" i="86" s="1"/>
  <c r="AD128" i="86" s="1"/>
  <c r="AK126" i="86" s="1"/>
  <c r="R68" i="86"/>
  <c r="Z248" i="86"/>
  <c r="AE248" i="86" s="1"/>
  <c r="Q248" i="86"/>
  <c r="M248" i="86" s="1"/>
  <c r="AA248" i="86" s="1"/>
  <c r="AD248" i="86" s="1"/>
  <c r="AK246" i="86" s="1"/>
  <c r="AD140" i="86"/>
  <c r="AK138" i="86" s="1"/>
  <c r="AE140" i="86"/>
  <c r="R195" i="86"/>
  <c r="Y14" i="86"/>
  <c r="V14" i="86"/>
  <c r="R116" i="86"/>
  <c r="R279" i="86"/>
  <c r="R53" i="86"/>
  <c r="AC180" i="84"/>
  <c r="Z180" i="84"/>
  <c r="AB180" i="84"/>
  <c r="P22" i="89" l="1"/>
  <c r="AE21" i="89"/>
  <c r="O21" i="89"/>
  <c r="AE16" i="89"/>
  <c r="O16" i="89"/>
  <c r="P17" i="89"/>
  <c r="P120" i="88"/>
  <c r="AE185" i="88"/>
  <c r="O185" i="88"/>
  <c r="AM90" i="88"/>
  <c r="V90" i="88"/>
  <c r="AN88" i="88"/>
  <c r="AH21" i="88"/>
  <c r="AO19" i="88" s="1"/>
  <c r="AI21" i="88"/>
  <c r="AE83" i="88"/>
  <c r="O83" i="88"/>
  <c r="AZ114" i="88"/>
  <c r="BA114" i="88" s="1"/>
  <c r="AV114" i="88"/>
  <c r="AH65" i="88"/>
  <c r="AO63" i="88" s="1"/>
  <c r="AI65" i="88"/>
  <c r="AE14" i="88"/>
  <c r="O14" i="88"/>
  <c r="AE158" i="88"/>
  <c r="O158" i="88"/>
  <c r="AE129" i="88"/>
  <c r="O129" i="88"/>
  <c r="P15" i="88"/>
  <c r="AE199" i="88"/>
  <c r="O199" i="88"/>
  <c r="P105" i="88"/>
  <c r="P56" i="88"/>
  <c r="AH144" i="88"/>
  <c r="AO142" i="88" s="1"/>
  <c r="AI144" i="88"/>
  <c r="P159" i="88"/>
  <c r="AU38" i="88"/>
  <c r="AJ38" i="88"/>
  <c r="AL38" i="88" s="1"/>
  <c r="P186" i="88"/>
  <c r="AE28" i="88"/>
  <c r="O28" i="88"/>
  <c r="P130" i="88"/>
  <c r="V65" i="88"/>
  <c r="AM65" i="88"/>
  <c r="AN63" i="88"/>
  <c r="AO64" i="88" s="1"/>
  <c r="AI90" i="88"/>
  <c r="AH90" i="88"/>
  <c r="AO88" i="88" s="1"/>
  <c r="AE104" i="88"/>
  <c r="O104" i="88"/>
  <c r="AN142" i="88"/>
  <c r="AN144" i="88"/>
  <c r="AM144" i="88"/>
  <c r="V144" i="88"/>
  <c r="AE119" i="88"/>
  <c r="O119" i="88"/>
  <c r="AE76" i="88"/>
  <c r="O76" i="88"/>
  <c r="P200" i="88"/>
  <c r="P29" i="88"/>
  <c r="AN114" i="88"/>
  <c r="P49" i="88"/>
  <c r="AE55" i="88"/>
  <c r="O55" i="88"/>
  <c r="AE173" i="88"/>
  <c r="O173" i="88"/>
  <c r="P77" i="88"/>
  <c r="AE97" i="88"/>
  <c r="O97" i="88"/>
  <c r="V21" i="88"/>
  <c r="AN21" i="88"/>
  <c r="AM21" i="88"/>
  <c r="AN19" i="88"/>
  <c r="AO113" i="88"/>
  <c r="AE48" i="88"/>
  <c r="O48" i="88"/>
  <c r="T180" i="84"/>
  <c r="R180" i="84"/>
  <c r="P181" i="84" s="1"/>
  <c r="R153" i="84"/>
  <c r="P153" i="84"/>
  <c r="T153" i="84"/>
  <c r="T146" i="84"/>
  <c r="P146" i="84"/>
  <c r="R146" i="84"/>
  <c r="L153" i="84"/>
  <c r="L146" i="84"/>
  <c r="O146" i="84" s="1"/>
  <c r="L180" i="84"/>
  <c r="O180" i="84" s="1"/>
  <c r="AQ97" i="87"/>
  <c r="AF97" i="87"/>
  <c r="AH97" i="87" s="1"/>
  <c r="AF159" i="87"/>
  <c r="AH159" i="87" s="1"/>
  <c r="AQ159" i="87"/>
  <c r="AF111" i="87"/>
  <c r="AH111" i="87" s="1"/>
  <c r="AQ111" i="87"/>
  <c r="AQ194" i="87"/>
  <c r="AF194" i="87"/>
  <c r="AH194" i="87" s="1"/>
  <c r="AQ206" i="87"/>
  <c r="AF206" i="87"/>
  <c r="AH206" i="87" s="1"/>
  <c r="AF14" i="87"/>
  <c r="AH14" i="87" s="1"/>
  <c r="AQ14" i="87"/>
  <c r="AQ104" i="87"/>
  <c r="AF104" i="87"/>
  <c r="AH104" i="87" s="1"/>
  <c r="AV33" i="87"/>
  <c r="AW33" i="87" s="1"/>
  <c r="AR33" i="87"/>
  <c r="AJ90" i="87"/>
  <c r="AI90" i="87"/>
  <c r="AJ88" i="87"/>
  <c r="AK89" i="87" s="1"/>
  <c r="AE48" i="87"/>
  <c r="AD48" i="87"/>
  <c r="AK46" i="87" s="1"/>
  <c r="AQ213" i="87"/>
  <c r="AF213" i="87"/>
  <c r="AH213" i="87" s="1"/>
  <c r="AD152" i="87"/>
  <c r="AE152" i="87"/>
  <c r="AE28" i="87"/>
  <c r="AD65" i="87"/>
  <c r="AK63" i="87" s="1"/>
  <c r="AE65" i="87"/>
  <c r="AD14" i="87"/>
  <c r="AK12" i="87" s="1"/>
  <c r="AI138" i="87"/>
  <c r="AJ136" i="87"/>
  <c r="AK137" i="87" s="1"/>
  <c r="AE145" i="87"/>
  <c r="AD145" i="87"/>
  <c r="AK143" i="87" s="1"/>
  <c r="AD58" i="87"/>
  <c r="AK56" i="87" s="1"/>
  <c r="AE58" i="87"/>
  <c r="R104" i="87"/>
  <c r="AJ56" i="87"/>
  <c r="AI58" i="87"/>
  <c r="AA80" i="87"/>
  <c r="AD80" i="87" s="1"/>
  <c r="AK78" i="87" s="1"/>
  <c r="R80" i="87"/>
  <c r="AK32" i="87"/>
  <c r="AJ33" i="87"/>
  <c r="AJ36" i="87"/>
  <c r="AI38" i="87"/>
  <c r="AN38" i="87"/>
  <c r="AE38" i="87"/>
  <c r="R21" i="87"/>
  <c r="R28" i="87"/>
  <c r="R206" i="87"/>
  <c r="AJ63" i="87"/>
  <c r="AK64" i="87" s="1"/>
  <c r="AJ65" i="87"/>
  <c r="AI65" i="87"/>
  <c r="AQ166" i="87"/>
  <c r="AF166" i="87"/>
  <c r="AH166" i="87" s="1"/>
  <c r="AD111" i="87"/>
  <c r="AK109" i="87" s="1"/>
  <c r="R121" i="87"/>
  <c r="R199" i="87"/>
  <c r="AQ187" i="87"/>
  <c r="AF187" i="87"/>
  <c r="AH187" i="87" s="1"/>
  <c r="AJ166" i="87"/>
  <c r="AI166" i="87"/>
  <c r="AJ164" i="87"/>
  <c r="AK165" i="87" s="1"/>
  <c r="AR173" i="87"/>
  <c r="AV173" i="87"/>
  <c r="AW173" i="87" s="1"/>
  <c r="R194" i="87"/>
  <c r="R111" i="87"/>
  <c r="R213" i="87"/>
  <c r="AN121" i="87"/>
  <c r="AE121" i="87"/>
  <c r="AQ90" i="87"/>
  <c r="AF90" i="87"/>
  <c r="AH90" i="87" s="1"/>
  <c r="AD104" i="87"/>
  <c r="AK102" i="87" s="1"/>
  <c r="AD138" i="87"/>
  <c r="AK136" i="87" s="1"/>
  <c r="AE138" i="87"/>
  <c r="AV180" i="87"/>
  <c r="AW180" i="87" s="1"/>
  <c r="AR180" i="87"/>
  <c r="AJ143" i="87"/>
  <c r="AI145" i="87"/>
  <c r="AJ173" i="87"/>
  <c r="AI173" i="87"/>
  <c r="AJ171" i="87"/>
  <c r="AK172" i="87" s="1"/>
  <c r="AQ199" i="87"/>
  <c r="AF199" i="87"/>
  <c r="AH199" i="87" s="1"/>
  <c r="AJ97" i="87"/>
  <c r="AI97" i="87"/>
  <c r="AJ95" i="87"/>
  <c r="AK96" i="87" s="1"/>
  <c r="AD21" i="87"/>
  <c r="AK19" i="87" s="1"/>
  <c r="AJ46" i="87"/>
  <c r="AK47" i="87" s="1"/>
  <c r="AJ48" i="87"/>
  <c r="AI48" i="87"/>
  <c r="AE131" i="87"/>
  <c r="R159" i="87"/>
  <c r="R14" i="87"/>
  <c r="AJ187" i="87"/>
  <c r="AI187" i="87"/>
  <c r="AJ185" i="87"/>
  <c r="AK186" i="87" s="1"/>
  <c r="AE21" i="87"/>
  <c r="R131" i="87"/>
  <c r="AD75" i="87"/>
  <c r="AE75" i="87"/>
  <c r="AQ284" i="86"/>
  <c r="AF284" i="86"/>
  <c r="AH284" i="86" s="1"/>
  <c r="AQ248" i="86"/>
  <c r="AF248" i="86"/>
  <c r="AH248" i="86" s="1"/>
  <c r="AQ243" i="86"/>
  <c r="AF243" i="86"/>
  <c r="AH243" i="86" s="1"/>
  <c r="AQ157" i="86"/>
  <c r="AF157" i="86"/>
  <c r="AH157" i="86" s="1"/>
  <c r="AQ101" i="86"/>
  <c r="AF101" i="86"/>
  <c r="AH101" i="86" s="1"/>
  <c r="AV116" i="86"/>
  <c r="AW116" i="86" s="1"/>
  <c r="AR116" i="86"/>
  <c r="AJ155" i="86"/>
  <c r="AI157" i="86"/>
  <c r="R236" i="86"/>
  <c r="AE272" i="86"/>
  <c r="AD272" i="86"/>
  <c r="AK270" i="86" s="1"/>
  <c r="R38" i="86"/>
  <c r="AE73" i="86"/>
  <c r="AD73" i="86"/>
  <c r="AK71" i="86" s="1"/>
  <c r="AE325" i="86"/>
  <c r="AI43" i="86"/>
  <c r="AJ41" i="86"/>
  <c r="AV255" i="86"/>
  <c r="AW255" i="86" s="1"/>
  <c r="AR255" i="86"/>
  <c r="AD243" i="86"/>
  <c r="AK241" i="86" s="1"/>
  <c r="AF123" i="86"/>
  <c r="AH123" i="86" s="1"/>
  <c r="AQ123" i="86"/>
  <c r="AV308" i="86"/>
  <c r="AW308" i="86" s="1"/>
  <c r="AR308" i="86"/>
  <c r="AQ128" i="86"/>
  <c r="AF128" i="86"/>
  <c r="AH128" i="86" s="1"/>
  <c r="AJ193" i="86"/>
  <c r="AK194" i="86" s="1"/>
  <c r="AJ195" i="86"/>
  <c r="AI195" i="86"/>
  <c r="AE26" i="86"/>
  <c r="AJ313" i="86"/>
  <c r="AI313" i="86"/>
  <c r="AJ311" i="86"/>
  <c r="AK312" i="86" s="1"/>
  <c r="AE38" i="86"/>
  <c r="AD38" i="86"/>
  <c r="AK36" i="86" s="1"/>
  <c r="AI200" i="86"/>
  <c r="AJ198" i="86"/>
  <c r="AF43" i="86"/>
  <c r="AH43" i="86" s="1"/>
  <c r="AQ43" i="86"/>
  <c r="AJ71" i="86"/>
  <c r="AK72" i="86" s="1"/>
  <c r="AI73" i="86"/>
  <c r="AF135" i="86"/>
  <c r="AH135" i="86" s="1"/>
  <c r="AQ135" i="86"/>
  <c r="AJ219" i="86"/>
  <c r="AI219" i="86"/>
  <c r="AJ217" i="86"/>
  <c r="AK218" i="86" s="1"/>
  <c r="R260" i="86"/>
  <c r="AJ207" i="86"/>
  <c r="AI207" i="86"/>
  <c r="AJ205" i="86"/>
  <c r="AK206" i="86" s="1"/>
  <c r="AD101" i="86"/>
  <c r="AK99" i="86" s="1"/>
  <c r="AJ320" i="86"/>
  <c r="AI320" i="86"/>
  <c r="AJ318" i="86"/>
  <c r="AK319" i="86" s="1"/>
  <c r="AD58" i="86"/>
  <c r="AK56" i="86" s="1"/>
  <c r="AE58" i="86"/>
  <c r="AQ140" i="86"/>
  <c r="AF140" i="86"/>
  <c r="AH140" i="86" s="1"/>
  <c r="AF207" i="86"/>
  <c r="AH207" i="86" s="1"/>
  <c r="AQ207" i="86"/>
  <c r="AJ147" i="86"/>
  <c r="AI147" i="86"/>
  <c r="AJ145" i="86"/>
  <c r="AK146" i="86" s="1"/>
  <c r="AJ296" i="86"/>
  <c r="AI296" i="86"/>
  <c r="AJ294" i="86"/>
  <c r="AK295" i="86" s="1"/>
  <c r="AQ19" i="86"/>
  <c r="AF19" i="86"/>
  <c r="AH19" i="86" s="1"/>
  <c r="R325" i="86"/>
  <c r="AI101" i="86"/>
  <c r="AJ99" i="86"/>
  <c r="AK100" i="86" s="1"/>
  <c r="R284" i="86"/>
  <c r="AI95" i="86"/>
  <c r="AJ93" i="86"/>
  <c r="AQ231" i="86"/>
  <c r="AF231" i="86"/>
  <c r="AH231" i="86" s="1"/>
  <c r="R167" i="86"/>
  <c r="R188" i="86"/>
  <c r="AV279" i="86"/>
  <c r="AW279" i="86" s="1"/>
  <c r="AR279" i="86"/>
  <c r="AI123" i="86"/>
  <c r="AJ121" i="86"/>
  <c r="AK122" i="86" s="1"/>
  <c r="AJ248" i="86"/>
  <c r="AI248" i="86"/>
  <c r="AJ246" i="86"/>
  <c r="AK247" i="86" s="1"/>
  <c r="R173" i="86"/>
  <c r="AE236" i="86"/>
  <c r="AI272" i="86"/>
  <c r="AJ270" i="86"/>
  <c r="AK271" i="86" s="1"/>
  <c r="AJ272" i="86"/>
  <c r="R243" i="86"/>
  <c r="AE267" i="86"/>
  <c r="AD267" i="86"/>
  <c r="AK265" i="86" s="1"/>
  <c r="AE85" i="86"/>
  <c r="AD85" i="86"/>
  <c r="AK83" i="86" s="1"/>
  <c r="AQ320" i="86"/>
  <c r="AF320" i="86"/>
  <c r="AH320" i="86" s="1"/>
  <c r="AR152" i="86"/>
  <c r="AV152" i="86"/>
  <c r="AW152" i="86" s="1"/>
  <c r="AN173" i="86"/>
  <c r="AE173" i="86"/>
  <c r="AJ308" i="86"/>
  <c r="AI308" i="86"/>
  <c r="AJ306" i="86"/>
  <c r="AK307" i="86" s="1"/>
  <c r="AD68" i="86"/>
  <c r="AK66" i="86" s="1"/>
  <c r="AE68" i="86"/>
  <c r="AK139" i="86"/>
  <c r="AD200" i="86"/>
  <c r="AK198" i="86" s="1"/>
  <c r="AE200" i="86"/>
  <c r="AQ147" i="86"/>
  <c r="AF147" i="86"/>
  <c r="AH147" i="86" s="1"/>
  <c r="AE260" i="86"/>
  <c r="AD260" i="86"/>
  <c r="AK258" i="86" s="1"/>
  <c r="AN167" i="86"/>
  <c r="AE167" i="86"/>
  <c r="AE188" i="86"/>
  <c r="AD188" i="86"/>
  <c r="AK186" i="86" s="1"/>
  <c r="AQ313" i="86"/>
  <c r="AF313" i="86"/>
  <c r="AH313" i="86" s="1"/>
  <c r="AJ51" i="86"/>
  <c r="AK52" i="86" s="1"/>
  <c r="AI53" i="86"/>
  <c r="AJ66" i="86"/>
  <c r="AI68" i="86"/>
  <c r="AE31" i="86"/>
  <c r="AD31" i="86"/>
  <c r="AK29" i="86" s="1"/>
  <c r="R182" i="86"/>
  <c r="AE95" i="86"/>
  <c r="AD95" i="86"/>
  <c r="AK93" i="86" s="1"/>
  <c r="AV301" i="86"/>
  <c r="AW301" i="86" s="1"/>
  <c r="AR301" i="86"/>
  <c r="AV296" i="86"/>
  <c r="AW296" i="86" s="1"/>
  <c r="AR296" i="86"/>
  <c r="AD14" i="86"/>
  <c r="AK12" i="86" s="1"/>
  <c r="AE14" i="86"/>
  <c r="AJ279" i="86"/>
  <c r="AI279" i="86"/>
  <c r="AJ277" i="86"/>
  <c r="AK278" i="86" s="1"/>
  <c r="AV224" i="86"/>
  <c r="AW224" i="86" s="1"/>
  <c r="AR224" i="86"/>
  <c r="AJ111" i="86"/>
  <c r="AI111" i="86"/>
  <c r="AJ109" i="86"/>
  <c r="AK110" i="86" s="1"/>
  <c r="AJ140" i="86"/>
  <c r="AE182" i="86"/>
  <c r="R14" i="86"/>
  <c r="R26" i="86"/>
  <c r="AD157" i="86"/>
  <c r="AK155" i="86" s="1"/>
  <c r="AV195" i="86"/>
  <c r="AW195" i="86" s="1"/>
  <c r="AR195" i="86"/>
  <c r="AI19" i="86"/>
  <c r="AJ17" i="86"/>
  <c r="AK18" i="86" s="1"/>
  <c r="AJ19" i="86"/>
  <c r="AJ116" i="86"/>
  <c r="AI116" i="86"/>
  <c r="AJ114" i="86"/>
  <c r="AK115" i="86" s="1"/>
  <c r="AE53" i="86"/>
  <c r="AD53" i="86"/>
  <c r="AK51" i="86" s="1"/>
  <c r="AJ83" i="86"/>
  <c r="AI85" i="86"/>
  <c r="AD123" i="86"/>
  <c r="AK121" i="86" s="1"/>
  <c r="R291" i="86"/>
  <c r="R267" i="86"/>
  <c r="AJ224" i="86"/>
  <c r="AI224" i="86"/>
  <c r="AJ222" i="86"/>
  <c r="AK223" i="86" s="1"/>
  <c r="R31" i="86"/>
  <c r="R128" i="86"/>
  <c r="AJ56" i="86"/>
  <c r="AK57" i="86" s="1"/>
  <c r="AJ58" i="86"/>
  <c r="AI58" i="86"/>
  <c r="AR219" i="86"/>
  <c r="AV219" i="86"/>
  <c r="AW219" i="86" s="1"/>
  <c r="AD43" i="86"/>
  <c r="AK41" i="86" s="1"/>
  <c r="AA212" i="86"/>
  <c r="R212" i="86"/>
  <c r="AE80" i="86"/>
  <c r="AD80" i="86"/>
  <c r="AK300" i="86"/>
  <c r="AD19" i="86"/>
  <c r="AK17" i="86" s="1"/>
  <c r="AV111" i="86"/>
  <c r="AW111" i="86" s="1"/>
  <c r="AR111" i="86"/>
  <c r="AE291" i="86"/>
  <c r="V21" i="89" l="1"/>
  <c r="AN19" i="89"/>
  <c r="AM21" i="89"/>
  <c r="AN21" i="89"/>
  <c r="AH21" i="89"/>
  <c r="AO19" i="89" s="1"/>
  <c r="AI21" i="89"/>
  <c r="AM16" i="89"/>
  <c r="V16" i="89"/>
  <c r="AN14" i="89"/>
  <c r="AH16" i="89"/>
  <c r="AO14" i="89" s="1"/>
  <c r="AI16" i="89"/>
  <c r="V14" i="88"/>
  <c r="AN12" i="88"/>
  <c r="AM14" i="88"/>
  <c r="AN14" i="88"/>
  <c r="AH173" i="88"/>
  <c r="AO171" i="88" s="1"/>
  <c r="AI173" i="88"/>
  <c r="AJ90" i="88"/>
  <c r="AL90" i="88" s="1"/>
  <c r="AU90" i="88"/>
  <c r="AM28" i="88"/>
  <c r="AN26" i="88"/>
  <c r="V28" i="88"/>
  <c r="AJ144" i="88"/>
  <c r="AL144" i="88" s="1"/>
  <c r="AU144" i="88"/>
  <c r="AI14" i="88"/>
  <c r="AH14" i="88"/>
  <c r="AO12" i="88" s="1"/>
  <c r="AH83" i="88"/>
  <c r="AO81" i="88" s="1"/>
  <c r="AI83" i="88"/>
  <c r="AM48" i="88"/>
  <c r="AN46" i="88"/>
  <c r="V48" i="88"/>
  <c r="AN53" i="88"/>
  <c r="AO54" i="88" s="1"/>
  <c r="AN55" i="88"/>
  <c r="AM55" i="88"/>
  <c r="V55" i="88"/>
  <c r="AN74" i="88"/>
  <c r="V76" i="88"/>
  <c r="AM76" i="88"/>
  <c r="AI28" i="88"/>
  <c r="AH28" i="88"/>
  <c r="AO26" i="88" s="1"/>
  <c r="AN127" i="88"/>
  <c r="AN129" i="88"/>
  <c r="AM129" i="88"/>
  <c r="V129" i="88"/>
  <c r="AJ65" i="88"/>
  <c r="AL65" i="88" s="1"/>
  <c r="AU65" i="88"/>
  <c r="AJ21" i="88"/>
  <c r="AL21" i="88" s="1"/>
  <c r="AU21" i="88"/>
  <c r="AN183" i="88"/>
  <c r="AM185" i="88"/>
  <c r="V185" i="88"/>
  <c r="AH48" i="88"/>
  <c r="AO46" i="88" s="1"/>
  <c r="AI48" i="88"/>
  <c r="AN95" i="88"/>
  <c r="AO96" i="88" s="1"/>
  <c r="V97" i="88"/>
  <c r="AM97" i="88"/>
  <c r="AH55" i="88"/>
  <c r="AO53" i="88" s="1"/>
  <c r="AI55" i="88"/>
  <c r="AH76" i="88"/>
  <c r="AO74" i="88" s="1"/>
  <c r="AI76" i="88"/>
  <c r="AO143" i="88"/>
  <c r="AI129" i="88"/>
  <c r="AH129" i="88"/>
  <c r="AO127" i="88" s="1"/>
  <c r="AI185" i="88"/>
  <c r="AH185" i="88"/>
  <c r="AO183" i="88" s="1"/>
  <c r="AI97" i="88"/>
  <c r="AH97" i="88"/>
  <c r="AO95" i="88" s="1"/>
  <c r="AN117" i="88"/>
  <c r="AM119" i="88"/>
  <c r="V119" i="88"/>
  <c r="AN102" i="88"/>
  <c r="AM104" i="88"/>
  <c r="V104" i="88"/>
  <c r="AN65" i="88"/>
  <c r="AN156" i="88"/>
  <c r="AO157" i="88" s="1"/>
  <c r="AN158" i="88"/>
  <c r="AM158" i="88"/>
  <c r="V158" i="88"/>
  <c r="AO89" i="88"/>
  <c r="AO20" i="88"/>
  <c r="AH119" i="88"/>
  <c r="AO117" i="88" s="1"/>
  <c r="AI119" i="88"/>
  <c r="AH104" i="88"/>
  <c r="AO102" i="88" s="1"/>
  <c r="AI104" i="88"/>
  <c r="AV38" i="88"/>
  <c r="AZ38" i="88"/>
  <c r="BA38" i="88" s="1"/>
  <c r="AN197" i="88"/>
  <c r="AM199" i="88"/>
  <c r="V199" i="88"/>
  <c r="AH158" i="88"/>
  <c r="AO156" i="88" s="1"/>
  <c r="AI158" i="88"/>
  <c r="AN90" i="88"/>
  <c r="AN171" i="88"/>
  <c r="AO172" i="88" s="1"/>
  <c r="AN173" i="88"/>
  <c r="AM173" i="88"/>
  <c r="V173" i="88"/>
  <c r="AI199" i="88"/>
  <c r="AH199" i="88"/>
  <c r="AO197" i="88" s="1"/>
  <c r="AM83" i="88"/>
  <c r="AN81" i="88"/>
  <c r="AO82" i="88" s="1"/>
  <c r="V83" i="88"/>
  <c r="V180" i="84"/>
  <c r="V146" i="84"/>
  <c r="P147" i="84"/>
  <c r="P154" i="84"/>
  <c r="AE153" i="84"/>
  <c r="O153" i="84"/>
  <c r="V153" i="84" s="1"/>
  <c r="AE180" i="84"/>
  <c r="AI180" i="84" s="1"/>
  <c r="AU180" i="84" s="1"/>
  <c r="AE146" i="84"/>
  <c r="AJ119" i="87"/>
  <c r="AK120" i="87" s="1"/>
  <c r="AJ121" i="87"/>
  <c r="AI121" i="87"/>
  <c r="AJ145" i="87"/>
  <c r="AF75" i="87"/>
  <c r="AH75" i="87" s="1"/>
  <c r="AQ75" i="87"/>
  <c r="AK144" i="87"/>
  <c r="AJ111" i="87"/>
  <c r="AI111" i="87"/>
  <c r="AJ109" i="87"/>
  <c r="AK110" i="87" s="1"/>
  <c r="AF145" i="87"/>
  <c r="AH145" i="87" s="1"/>
  <c r="AQ145" i="87"/>
  <c r="AV206" i="87"/>
  <c r="AW206" i="87" s="1"/>
  <c r="AR206" i="87"/>
  <c r="AJ194" i="87"/>
  <c r="AI194" i="87"/>
  <c r="AJ192" i="87"/>
  <c r="AK193" i="87" s="1"/>
  <c r="AJ131" i="87"/>
  <c r="AI131" i="87"/>
  <c r="AJ129" i="87"/>
  <c r="AK130" i="87" s="1"/>
  <c r="AJ80" i="87"/>
  <c r="AI80" i="87"/>
  <c r="AJ78" i="87"/>
  <c r="AK79" i="87" s="1"/>
  <c r="AJ138" i="87"/>
  <c r="AV194" i="87"/>
  <c r="AW194" i="87" s="1"/>
  <c r="AR194" i="87"/>
  <c r="AV166" i="87"/>
  <c r="AW166" i="87" s="1"/>
  <c r="AR166" i="87"/>
  <c r="AF21" i="87"/>
  <c r="AH21" i="87" s="1"/>
  <c r="AQ21" i="87"/>
  <c r="AE80" i="87"/>
  <c r="AF138" i="87"/>
  <c r="AH138" i="87" s="1"/>
  <c r="AQ138" i="87"/>
  <c r="AJ58" i="87"/>
  <c r="AV111" i="87"/>
  <c r="AW111" i="87" s="1"/>
  <c r="AR111" i="87"/>
  <c r="AF48" i="87"/>
  <c r="AH48" i="87" s="1"/>
  <c r="AQ48" i="87"/>
  <c r="AJ206" i="87"/>
  <c r="AI206" i="87"/>
  <c r="AJ204" i="87"/>
  <c r="AK205" i="87" s="1"/>
  <c r="AF65" i="87"/>
  <c r="AH65" i="87" s="1"/>
  <c r="AQ65" i="87"/>
  <c r="AV213" i="87"/>
  <c r="AW213" i="87" s="1"/>
  <c r="AR213" i="87"/>
  <c r="AV199" i="87"/>
  <c r="AW199" i="87" s="1"/>
  <c r="AR199" i="87"/>
  <c r="AI28" i="87"/>
  <c r="AJ26" i="87"/>
  <c r="AK57" i="87"/>
  <c r="AR159" i="87"/>
  <c r="AV159" i="87"/>
  <c r="AW159" i="87" s="1"/>
  <c r="AK37" i="87"/>
  <c r="AJ38" i="87"/>
  <c r="AJ14" i="87"/>
  <c r="AI14" i="87"/>
  <c r="AJ12" i="87"/>
  <c r="AK13" i="87" s="1"/>
  <c r="AJ21" i="87"/>
  <c r="AI21" i="87"/>
  <c r="AJ19" i="87"/>
  <c r="AK20" i="87" s="1"/>
  <c r="AJ104" i="87"/>
  <c r="AI104" i="87"/>
  <c r="AJ102" i="87"/>
  <c r="AK103" i="87" s="1"/>
  <c r="AQ28" i="87"/>
  <c r="AF28" i="87"/>
  <c r="AH28" i="87" s="1"/>
  <c r="AJ211" i="87"/>
  <c r="AK212" i="87" s="1"/>
  <c r="AJ213" i="87"/>
  <c r="AI213" i="87"/>
  <c r="AK73" i="87"/>
  <c r="AK74" i="87" s="1"/>
  <c r="AJ75" i="87"/>
  <c r="AJ159" i="87"/>
  <c r="AI159" i="87"/>
  <c r="AJ157" i="87"/>
  <c r="AK158" i="87" s="1"/>
  <c r="AV90" i="87"/>
  <c r="AW90" i="87" s="1"/>
  <c r="AR90" i="87"/>
  <c r="AV187" i="87"/>
  <c r="AW187" i="87" s="1"/>
  <c r="AR187" i="87"/>
  <c r="AF38" i="87"/>
  <c r="AH38" i="87" s="1"/>
  <c r="AQ38" i="87"/>
  <c r="AF152" i="87"/>
  <c r="AH152" i="87" s="1"/>
  <c r="AQ152" i="87"/>
  <c r="AV104" i="87"/>
  <c r="AW104" i="87" s="1"/>
  <c r="AR104" i="87"/>
  <c r="AQ131" i="87"/>
  <c r="AF131" i="87"/>
  <c r="AH131" i="87" s="1"/>
  <c r="AQ121" i="87"/>
  <c r="AF121" i="87"/>
  <c r="AH121" i="87" s="1"/>
  <c r="AJ199" i="87"/>
  <c r="AI199" i="87"/>
  <c r="AJ197" i="87"/>
  <c r="AK198" i="87" s="1"/>
  <c r="AF58" i="87"/>
  <c r="AH58" i="87" s="1"/>
  <c r="AQ58" i="87"/>
  <c r="AK150" i="87"/>
  <c r="AK151" i="87" s="1"/>
  <c r="AJ152" i="87"/>
  <c r="AV14" i="87"/>
  <c r="AW14" i="87" s="1"/>
  <c r="AR14" i="87"/>
  <c r="AV97" i="87"/>
  <c r="AW97" i="87" s="1"/>
  <c r="AR97" i="87"/>
  <c r="AF68" i="86"/>
  <c r="AH68" i="86" s="1"/>
  <c r="AQ68" i="86"/>
  <c r="AF80" i="86"/>
  <c r="AH80" i="86" s="1"/>
  <c r="AQ80" i="86"/>
  <c r="AV320" i="86"/>
  <c r="AW320" i="86" s="1"/>
  <c r="AR320" i="86"/>
  <c r="AK94" i="86"/>
  <c r="AJ43" i="86"/>
  <c r="AK42" i="86"/>
  <c r="AQ95" i="86"/>
  <c r="AF95" i="86"/>
  <c r="AH95" i="86" s="1"/>
  <c r="AV207" i="86"/>
  <c r="AW207" i="86" s="1"/>
  <c r="AR207" i="86"/>
  <c r="AJ200" i="86"/>
  <c r="AV101" i="86"/>
  <c r="AW101" i="86" s="1"/>
  <c r="AR101" i="86"/>
  <c r="AI212" i="86"/>
  <c r="AJ210" i="86"/>
  <c r="AJ182" i="86"/>
  <c r="AI182" i="86"/>
  <c r="AJ180" i="86"/>
  <c r="AK181" i="86" s="1"/>
  <c r="AF188" i="86"/>
  <c r="AH188" i="86" s="1"/>
  <c r="AQ188" i="86"/>
  <c r="AF267" i="86"/>
  <c r="AH267" i="86" s="1"/>
  <c r="AQ267" i="86"/>
  <c r="AJ123" i="86"/>
  <c r="AJ260" i="86"/>
  <c r="AI260" i="86"/>
  <c r="AJ258" i="86"/>
  <c r="AK259" i="86" s="1"/>
  <c r="AK199" i="86"/>
  <c r="AR128" i="86"/>
  <c r="AV128" i="86"/>
  <c r="AW128" i="86" s="1"/>
  <c r="AF73" i="86"/>
  <c r="AH73" i="86" s="1"/>
  <c r="AQ73" i="86"/>
  <c r="AQ325" i="86"/>
  <c r="AF325" i="86"/>
  <c r="AH325" i="86" s="1"/>
  <c r="AQ167" i="86"/>
  <c r="AF167" i="86"/>
  <c r="AH167" i="86" s="1"/>
  <c r="AJ243" i="86"/>
  <c r="AI243" i="86"/>
  <c r="AJ241" i="86"/>
  <c r="AK242" i="86" s="1"/>
  <c r="AJ101" i="86"/>
  <c r="AJ36" i="86"/>
  <c r="AI38" i="86"/>
  <c r="AV157" i="86"/>
  <c r="AW157" i="86" s="1"/>
  <c r="AR157" i="86"/>
  <c r="AJ265" i="86"/>
  <c r="AK266" i="86" s="1"/>
  <c r="AJ267" i="86"/>
  <c r="AI267" i="86"/>
  <c r="AJ284" i="86"/>
  <c r="AI284" i="86"/>
  <c r="AJ282" i="86"/>
  <c r="AK283" i="86" s="1"/>
  <c r="AJ85" i="86"/>
  <c r="AQ31" i="86"/>
  <c r="AF31" i="86"/>
  <c r="AH31" i="86" s="1"/>
  <c r="AJ325" i="86"/>
  <c r="AI325" i="86"/>
  <c r="AJ323" i="86"/>
  <c r="AK324" i="86" s="1"/>
  <c r="AV140" i="86"/>
  <c r="AW140" i="86" s="1"/>
  <c r="AR140" i="86"/>
  <c r="AV43" i="86"/>
  <c r="AW43" i="86" s="1"/>
  <c r="AR43" i="86"/>
  <c r="AE212" i="86"/>
  <c r="AD212" i="86"/>
  <c r="AK210" i="86" s="1"/>
  <c r="AK84" i="86"/>
  <c r="AI26" i="86"/>
  <c r="AJ26" i="86"/>
  <c r="AJ24" i="86"/>
  <c r="AK25" i="86" s="1"/>
  <c r="AQ173" i="86"/>
  <c r="AF173" i="86"/>
  <c r="AH173" i="86" s="1"/>
  <c r="AJ188" i="86"/>
  <c r="AI188" i="86"/>
  <c r="AJ186" i="86"/>
  <c r="AK187" i="86" s="1"/>
  <c r="AF58" i="86"/>
  <c r="AH58" i="86" s="1"/>
  <c r="AQ58" i="86"/>
  <c r="AQ38" i="86"/>
  <c r="AF38" i="86"/>
  <c r="AH38" i="86" s="1"/>
  <c r="AV123" i="86"/>
  <c r="AW123" i="86" s="1"/>
  <c r="AR123" i="86"/>
  <c r="AF272" i="86"/>
  <c r="AH272" i="86" s="1"/>
  <c r="AQ272" i="86"/>
  <c r="AV243" i="86"/>
  <c r="AW243" i="86" s="1"/>
  <c r="AR243" i="86"/>
  <c r="AJ12" i="86"/>
  <c r="AK13" i="86" s="1"/>
  <c r="AI14" i="86"/>
  <c r="AJ14" i="86"/>
  <c r="AQ14" i="86"/>
  <c r="AF14" i="86"/>
  <c r="AH14" i="86" s="1"/>
  <c r="AJ68" i="86"/>
  <c r="AF260" i="86"/>
  <c r="AH260" i="86" s="1"/>
  <c r="AQ260" i="86"/>
  <c r="AI167" i="86"/>
  <c r="AJ167" i="86"/>
  <c r="AJ165" i="86"/>
  <c r="AK166" i="86" s="1"/>
  <c r="AV19" i="86"/>
  <c r="AW19" i="86" s="1"/>
  <c r="AR19" i="86"/>
  <c r="AV135" i="86"/>
  <c r="AW135" i="86" s="1"/>
  <c r="AR135" i="86"/>
  <c r="AJ236" i="86"/>
  <c r="AI236" i="86"/>
  <c r="AJ234" i="86"/>
  <c r="AK235" i="86" s="1"/>
  <c r="AF85" i="86"/>
  <c r="AH85" i="86" s="1"/>
  <c r="AQ85" i="86"/>
  <c r="AF53" i="86"/>
  <c r="AH53" i="86" s="1"/>
  <c r="AQ53" i="86"/>
  <c r="AF182" i="86"/>
  <c r="AH182" i="86" s="1"/>
  <c r="AQ182" i="86"/>
  <c r="AK67" i="86"/>
  <c r="AQ236" i="86"/>
  <c r="AF236" i="86"/>
  <c r="AH236" i="86" s="1"/>
  <c r="AV248" i="86"/>
  <c r="AW248" i="86" s="1"/>
  <c r="AR248" i="86"/>
  <c r="AV313" i="86"/>
  <c r="AW313" i="86" s="1"/>
  <c r="AR313" i="86"/>
  <c r="AJ291" i="86"/>
  <c r="AI291" i="86"/>
  <c r="AJ289" i="86"/>
  <c r="AK290" i="86" s="1"/>
  <c r="AJ128" i="86"/>
  <c r="AI128" i="86"/>
  <c r="AJ126" i="86"/>
  <c r="AK127" i="86" s="1"/>
  <c r="AJ29" i="86"/>
  <c r="AK30" i="86" s="1"/>
  <c r="AJ31" i="86"/>
  <c r="AI31" i="86"/>
  <c r="AV147" i="86"/>
  <c r="AW147" i="86" s="1"/>
  <c r="AR147" i="86"/>
  <c r="AI173" i="86"/>
  <c r="AJ173" i="86"/>
  <c r="AJ171" i="86"/>
  <c r="AK172" i="86" s="1"/>
  <c r="AV231" i="86"/>
  <c r="AW231" i="86" s="1"/>
  <c r="AR231" i="86"/>
  <c r="AJ157" i="86"/>
  <c r="AQ291" i="86"/>
  <c r="AF291" i="86"/>
  <c r="AH291" i="86" s="1"/>
  <c r="AK78" i="86"/>
  <c r="AK79" i="86" s="1"/>
  <c r="AJ80" i="86"/>
  <c r="AJ53" i="86"/>
  <c r="AF200" i="86"/>
  <c r="AH200" i="86" s="1"/>
  <c r="AQ200" i="86"/>
  <c r="AJ95" i="86"/>
  <c r="AJ73" i="86"/>
  <c r="AQ26" i="86"/>
  <c r="AF26" i="86"/>
  <c r="AH26" i="86" s="1"/>
  <c r="AK156" i="86"/>
  <c r="AV284" i="86"/>
  <c r="AW284" i="86" s="1"/>
  <c r="AR284" i="86"/>
  <c r="AM180" i="84"/>
  <c r="AN178" i="84"/>
  <c r="AJ21" i="89" l="1"/>
  <c r="AL21" i="89" s="1"/>
  <c r="AU21" i="89"/>
  <c r="AO20" i="89"/>
  <c r="AN16" i="89"/>
  <c r="AO15" i="89"/>
  <c r="AJ16" i="89"/>
  <c r="AL16" i="89" s="1"/>
  <c r="AU16" i="89"/>
  <c r="AN104" i="88"/>
  <c r="AN97" i="88"/>
  <c r="AU28" i="88"/>
  <c r="AJ28" i="88"/>
  <c r="AL28" i="88" s="1"/>
  <c r="AJ173" i="88"/>
  <c r="AL173" i="88" s="1"/>
  <c r="AU173" i="88"/>
  <c r="AN199" i="88"/>
  <c r="AJ119" i="88"/>
  <c r="AL119" i="88" s="1"/>
  <c r="AU119" i="88"/>
  <c r="AO103" i="88"/>
  <c r="AU97" i="88"/>
  <c r="AJ97" i="88"/>
  <c r="AL97" i="88" s="1"/>
  <c r="AU76" i="88"/>
  <c r="AJ76" i="88"/>
  <c r="AL76" i="88" s="1"/>
  <c r="AN185" i="88"/>
  <c r="AN76" i="88"/>
  <c r="AJ83" i="88"/>
  <c r="AL83" i="88" s="1"/>
  <c r="AU83" i="88"/>
  <c r="AO198" i="88"/>
  <c r="AO184" i="88"/>
  <c r="AJ199" i="88"/>
  <c r="AL199" i="88" s="1"/>
  <c r="AU199" i="88"/>
  <c r="AJ185" i="88"/>
  <c r="AL185" i="88" s="1"/>
  <c r="AU185" i="88"/>
  <c r="AJ48" i="88"/>
  <c r="AL48" i="88" s="1"/>
  <c r="AU48" i="88"/>
  <c r="AN119" i="88"/>
  <c r="AO128" i="88"/>
  <c r="AO75" i="88"/>
  <c r="AN48" i="88"/>
  <c r="AJ14" i="88"/>
  <c r="AL14" i="88" s="1"/>
  <c r="AU14" i="88"/>
  <c r="AV90" i="88"/>
  <c r="AZ90" i="88"/>
  <c r="BA90" i="88" s="1"/>
  <c r="AO13" i="88"/>
  <c r="AN28" i="88"/>
  <c r="AO27" i="88"/>
  <c r="AJ158" i="88"/>
  <c r="AL158" i="88" s="1"/>
  <c r="AU158" i="88"/>
  <c r="AJ55" i="88"/>
  <c r="AL55" i="88" s="1"/>
  <c r="AU55" i="88"/>
  <c r="AZ21" i="88"/>
  <c r="BA21" i="88" s="1"/>
  <c r="AV21" i="88"/>
  <c r="AN83" i="88"/>
  <c r="AU104" i="88"/>
  <c r="AJ104" i="88"/>
  <c r="AL104" i="88" s="1"/>
  <c r="AO118" i="88"/>
  <c r="AJ129" i="88"/>
  <c r="AL129" i="88" s="1"/>
  <c r="AU129" i="88"/>
  <c r="AZ65" i="88"/>
  <c r="BA65" i="88" s="1"/>
  <c r="AV65" i="88"/>
  <c r="AO47" i="88"/>
  <c r="AZ144" i="88"/>
  <c r="BA144" i="88" s="1"/>
  <c r="AV144" i="88"/>
  <c r="AM153" i="84"/>
  <c r="AN151" i="84"/>
  <c r="AI153" i="84"/>
  <c r="AH153" i="84"/>
  <c r="AO151" i="84" s="1"/>
  <c r="AH180" i="84"/>
  <c r="AO178" i="84" s="1"/>
  <c r="AO179" i="84" s="1"/>
  <c r="AJ180" i="84"/>
  <c r="AL180" i="84" s="1"/>
  <c r="AH146" i="84"/>
  <c r="AO144" i="84" s="1"/>
  <c r="AI146" i="84"/>
  <c r="AN144" i="84"/>
  <c r="AM146" i="84"/>
  <c r="AV131" i="87"/>
  <c r="AW131" i="87" s="1"/>
  <c r="AR131" i="87"/>
  <c r="AV145" i="87"/>
  <c r="AW145" i="87" s="1"/>
  <c r="AR145" i="87"/>
  <c r="AV152" i="87"/>
  <c r="AW152" i="87" s="1"/>
  <c r="AR152" i="87"/>
  <c r="AV138" i="87"/>
  <c r="AW138" i="87" s="1"/>
  <c r="AR138" i="87"/>
  <c r="AV58" i="87"/>
  <c r="AW58" i="87" s="1"/>
  <c r="AR58" i="87"/>
  <c r="AV38" i="87"/>
  <c r="AW38" i="87" s="1"/>
  <c r="AR38" i="87"/>
  <c r="AV65" i="87"/>
  <c r="AW65" i="87" s="1"/>
  <c r="AR65" i="87"/>
  <c r="AQ80" i="87"/>
  <c r="AF80" i="87"/>
  <c r="AH80" i="87" s="1"/>
  <c r="AV21" i="87"/>
  <c r="AW21" i="87" s="1"/>
  <c r="AR21" i="87"/>
  <c r="AV75" i="87"/>
  <c r="AW75" i="87" s="1"/>
  <c r="AR75" i="87"/>
  <c r="AV28" i="87"/>
  <c r="AW28" i="87" s="1"/>
  <c r="AR28" i="87"/>
  <c r="AV121" i="87"/>
  <c r="AW121" i="87" s="1"/>
  <c r="AR121" i="87"/>
  <c r="AV48" i="87"/>
  <c r="AW48" i="87" s="1"/>
  <c r="AR48" i="87"/>
  <c r="AK27" i="87"/>
  <c r="AJ28" i="87"/>
  <c r="AV53" i="86"/>
  <c r="AW53" i="86" s="1"/>
  <c r="AR53" i="86"/>
  <c r="AV272" i="86"/>
  <c r="AW272" i="86" s="1"/>
  <c r="AR272" i="86"/>
  <c r="AV173" i="86"/>
  <c r="AW173" i="86" s="1"/>
  <c r="AR173" i="86"/>
  <c r="AR95" i="86"/>
  <c r="AV95" i="86"/>
  <c r="AW95" i="86" s="1"/>
  <c r="AV325" i="86"/>
  <c r="AW325" i="86" s="1"/>
  <c r="AR325" i="86"/>
  <c r="AV26" i="86"/>
  <c r="AW26" i="86" s="1"/>
  <c r="AR26" i="86"/>
  <c r="AV85" i="86"/>
  <c r="AW85" i="86" s="1"/>
  <c r="AR85" i="86"/>
  <c r="AV260" i="86"/>
  <c r="AW260" i="86" s="1"/>
  <c r="AR260" i="86"/>
  <c r="AK37" i="86"/>
  <c r="AJ38" i="86"/>
  <c r="AV200" i="86"/>
  <c r="AW200" i="86" s="1"/>
  <c r="AR200" i="86"/>
  <c r="AV31" i="86"/>
  <c r="AW31" i="86" s="1"/>
  <c r="AR31" i="86"/>
  <c r="AK211" i="86"/>
  <c r="AV182" i="86"/>
  <c r="AW182" i="86" s="1"/>
  <c r="AR182" i="86"/>
  <c r="AV38" i="86"/>
  <c r="AW38" i="86" s="1"/>
  <c r="AR38" i="86"/>
  <c r="AJ212" i="86"/>
  <c r="AV14" i="86"/>
  <c r="AW14" i="86" s="1"/>
  <c r="AR14" i="86"/>
  <c r="AV58" i="86"/>
  <c r="AW58" i="86" s="1"/>
  <c r="AR58" i="86"/>
  <c r="AQ212" i="86"/>
  <c r="AF212" i="86"/>
  <c r="AH212" i="86" s="1"/>
  <c r="AV80" i="86"/>
  <c r="AW80" i="86" s="1"/>
  <c r="AR80" i="86"/>
  <c r="AV188" i="86"/>
  <c r="AW188" i="86" s="1"/>
  <c r="AR188" i="86"/>
  <c r="AV73" i="86"/>
  <c r="AW73" i="86" s="1"/>
  <c r="AR73" i="86"/>
  <c r="AV236" i="86"/>
  <c r="AW236" i="86" s="1"/>
  <c r="AR236" i="86"/>
  <c r="AV167" i="86"/>
  <c r="AW167" i="86" s="1"/>
  <c r="AR167" i="86"/>
  <c r="AV267" i="86"/>
  <c r="AW267" i="86" s="1"/>
  <c r="AR267" i="86"/>
  <c r="AV68" i="86"/>
  <c r="AW68" i="86" s="1"/>
  <c r="AR68" i="86"/>
  <c r="AR291" i="86"/>
  <c r="AV291" i="86"/>
  <c r="AW291" i="86" s="1"/>
  <c r="AZ180" i="84"/>
  <c r="BA180" i="84" s="1"/>
  <c r="AV180" i="84"/>
  <c r="AZ21" i="89" l="1"/>
  <c r="BA21" i="89" s="1"/>
  <c r="AV21" i="89"/>
  <c r="AV16" i="89"/>
  <c r="AZ16" i="89"/>
  <c r="BA16" i="89" s="1"/>
  <c r="AV83" i="88"/>
  <c r="AZ83" i="88"/>
  <c r="BA83" i="88" s="1"/>
  <c r="AZ173" i="88"/>
  <c r="BA173" i="88" s="1"/>
  <c r="AV173" i="88"/>
  <c r="AV55" i="88"/>
  <c r="AZ55" i="88"/>
  <c r="BA55" i="88" s="1"/>
  <c r="AV97" i="88"/>
  <c r="AZ97" i="88"/>
  <c r="BA97" i="88" s="1"/>
  <c r="AV104" i="88"/>
  <c r="AZ104" i="88"/>
  <c r="BA104" i="88" s="1"/>
  <c r="AZ158" i="88"/>
  <c r="BA158" i="88" s="1"/>
  <c r="AV158" i="88"/>
  <c r="AZ119" i="88"/>
  <c r="BA119" i="88" s="1"/>
  <c r="AV119" i="88"/>
  <c r="AZ28" i="88"/>
  <c r="BA28" i="88" s="1"/>
  <c r="AV28" i="88"/>
  <c r="AZ199" i="88"/>
  <c r="BA199" i="88" s="1"/>
  <c r="AV199" i="88"/>
  <c r="AZ14" i="88"/>
  <c r="BA14" i="88" s="1"/>
  <c r="AV14" i="88"/>
  <c r="AZ48" i="88"/>
  <c r="BA48" i="88" s="1"/>
  <c r="AV48" i="88"/>
  <c r="AZ185" i="88"/>
  <c r="BA185" i="88" s="1"/>
  <c r="AV185" i="88"/>
  <c r="AZ129" i="88"/>
  <c r="BA129" i="88" s="1"/>
  <c r="AV129" i="88"/>
  <c r="AV76" i="88"/>
  <c r="AZ76" i="88"/>
  <c r="BA76" i="88" s="1"/>
  <c r="AO152" i="84"/>
  <c r="AU153" i="84"/>
  <c r="AJ153" i="84"/>
  <c r="AL153" i="84" s="1"/>
  <c r="AN153" i="84"/>
  <c r="AN180" i="84"/>
  <c r="AO145" i="84"/>
  <c r="AN146" i="84"/>
  <c r="AJ146" i="84"/>
  <c r="AL146" i="84" s="1"/>
  <c r="AU146" i="84"/>
  <c r="AV80" i="87"/>
  <c r="AW80" i="87" s="1"/>
  <c r="AR80" i="87"/>
  <c r="AV212" i="86"/>
  <c r="AW212" i="86" s="1"/>
  <c r="AR212" i="86"/>
  <c r="AZ153" i="84" l="1"/>
  <c r="BA153" i="84" s="1"/>
  <c r="AV153" i="84"/>
  <c r="AZ146" i="84"/>
  <c r="BA146" i="84" s="1"/>
  <c r="AV146" i="84"/>
  <c r="X103" i="84"/>
  <c r="AA103" i="84"/>
  <c r="E104" i="84"/>
  <c r="E105" i="84"/>
  <c r="E15" i="84"/>
  <c r="E14" i="84"/>
  <c r="AA13" i="84"/>
  <c r="X13" i="84"/>
  <c r="H104" i="84" l="1"/>
  <c r="AC104" i="84" s="1"/>
  <c r="F104" i="84"/>
  <c r="F105" i="84" s="1"/>
  <c r="AB105" i="84" s="1"/>
  <c r="J104" i="84"/>
  <c r="AD104" i="84" s="1"/>
  <c r="AA104" i="84"/>
  <c r="Y104" i="84"/>
  <c r="X104" i="84"/>
  <c r="AA14" i="84"/>
  <c r="F14" i="84"/>
  <c r="AB14" i="84" s="1"/>
  <c r="AR14" i="84" s="1"/>
  <c r="X14" i="84"/>
  <c r="Y14" i="84"/>
  <c r="J14" i="84"/>
  <c r="AD14" i="84" s="1"/>
  <c r="H14" i="84"/>
  <c r="AC14" i="84" s="1"/>
  <c r="N104" i="84" l="1"/>
  <c r="H15" i="84"/>
  <c r="F15" i="84"/>
  <c r="AB15" i="84" s="1"/>
  <c r="H105" i="84"/>
  <c r="Z104" i="84"/>
  <c r="AB104" i="84"/>
  <c r="Z14" i="84"/>
  <c r="N14" i="84"/>
  <c r="P104" i="84" l="1"/>
  <c r="R104" i="84"/>
  <c r="T104" i="84"/>
  <c r="R14" i="84"/>
  <c r="P14" i="84"/>
  <c r="T14" i="84"/>
  <c r="L14" i="84"/>
  <c r="L104" i="84"/>
  <c r="O104" i="84" s="1"/>
  <c r="P15" i="84" l="1"/>
  <c r="P105" i="84"/>
  <c r="V104" i="84"/>
  <c r="AE104" i="84"/>
  <c r="AH104" i="84" s="1"/>
  <c r="AO102" i="84" s="1"/>
  <c r="AE14" i="84"/>
  <c r="O14" i="84"/>
  <c r="V14" i="84" s="1"/>
  <c r="AM104" i="84" l="1"/>
  <c r="AN102" i="84"/>
  <c r="AO103" i="84" s="1"/>
  <c r="AN104" i="84"/>
  <c r="AI104" i="84"/>
  <c r="AN12" i="84"/>
  <c r="AM14" i="84"/>
  <c r="AI14" i="84"/>
  <c r="AH14" i="84"/>
  <c r="AU104" i="84" l="1"/>
  <c r="AJ104" i="84"/>
  <c r="AL104" i="84" s="1"/>
  <c r="AO12" i="84"/>
  <c r="AO13" i="84" s="1"/>
  <c r="AN14" i="84"/>
  <c r="AJ14" i="84"/>
  <c r="AL14" i="84" s="1"/>
  <c r="AU14" i="84"/>
  <c r="F203" i="71"/>
  <c r="G203" i="71" s="1"/>
  <c r="X203" i="71" s="1"/>
  <c r="F202" i="71"/>
  <c r="O202" i="71" s="1"/>
  <c r="W201" i="71"/>
  <c r="T201" i="71"/>
  <c r="AZ104" i="84" l="1"/>
  <c r="BA104" i="84" s="1"/>
  <c r="AV104" i="84"/>
  <c r="AV14" i="84"/>
  <c r="AZ14" i="84"/>
  <c r="BA14" i="84" s="1"/>
  <c r="T202" i="71"/>
  <c r="G202" i="71"/>
  <c r="W202" i="71"/>
  <c r="U202" i="71"/>
  <c r="I202" i="71"/>
  <c r="K202" i="71"/>
  <c r="Z202" i="71" s="1"/>
  <c r="J203" i="71"/>
  <c r="Q202" i="71" l="1"/>
  <c r="M202" i="71" s="1"/>
  <c r="AA202" i="71" s="1"/>
  <c r="V202" i="71"/>
  <c r="Y202" i="71"/>
  <c r="X202" i="71"/>
  <c r="R202" i="71" l="1"/>
  <c r="AI202" i="71" s="1"/>
  <c r="AE202" i="71"/>
  <c r="AF202" i="71" s="1"/>
  <c r="AH202" i="71" s="1"/>
  <c r="AD202" i="71"/>
  <c r="AK200" i="71" s="1"/>
  <c r="AJ200" i="71" l="1"/>
  <c r="AK201" i="71" s="1"/>
  <c r="AQ202" i="71"/>
  <c r="AR202" i="71" s="1"/>
  <c r="AJ202" i="71"/>
  <c r="AV202" i="71" l="1"/>
  <c r="AW202" i="71" s="1"/>
  <c r="E140" i="84" l="1"/>
  <c r="E139" i="84"/>
  <c r="AA138" i="84"/>
  <c r="X138" i="84"/>
  <c r="E133" i="84"/>
  <c r="E132" i="84"/>
  <c r="AA131" i="84"/>
  <c r="X131" i="84"/>
  <c r="E66" i="84"/>
  <c r="E65" i="84"/>
  <c r="X64" i="84"/>
  <c r="E115" i="84"/>
  <c r="E114" i="84"/>
  <c r="AA113" i="84"/>
  <c r="X113" i="84"/>
  <c r="Y114" i="84" l="1"/>
  <c r="Y65" i="84"/>
  <c r="Y139" i="84"/>
  <c r="J139" i="84"/>
  <c r="AD139" i="84" s="1"/>
  <c r="X132" i="84"/>
  <c r="H139" i="84"/>
  <c r="AC139" i="84" s="1"/>
  <c r="X139" i="84"/>
  <c r="AA139" i="84"/>
  <c r="F139" i="84"/>
  <c r="Y132" i="84"/>
  <c r="AA132" i="84"/>
  <c r="F132" i="84"/>
  <c r="N132" i="84" s="1"/>
  <c r="H132" i="84"/>
  <c r="J132" i="84"/>
  <c r="AD132" i="84" s="1"/>
  <c r="X65" i="84"/>
  <c r="AA65" i="84"/>
  <c r="F65" i="84"/>
  <c r="H65" i="84"/>
  <c r="J65" i="84"/>
  <c r="AD65" i="84" s="1"/>
  <c r="X114" i="84"/>
  <c r="H114" i="84"/>
  <c r="AC114" i="84" s="1"/>
  <c r="AA114" i="84"/>
  <c r="F114" i="84"/>
  <c r="F115" i="84" s="1"/>
  <c r="AB115" i="84" s="1"/>
  <c r="J114" i="84"/>
  <c r="AD114" i="84" s="1"/>
  <c r="N139" i="84" l="1"/>
  <c r="P139" i="84" s="1"/>
  <c r="N65" i="84"/>
  <c r="R65" i="84" s="1"/>
  <c r="T132" i="84"/>
  <c r="R132" i="84"/>
  <c r="P132" i="84"/>
  <c r="P133" i="84" s="1"/>
  <c r="T65" i="84"/>
  <c r="N114" i="84"/>
  <c r="L132" i="84"/>
  <c r="O132" i="84" s="1"/>
  <c r="H140" i="84"/>
  <c r="H115" i="84"/>
  <c r="F140" i="84"/>
  <c r="AB140" i="84" s="1"/>
  <c r="H133" i="84"/>
  <c r="H66" i="84"/>
  <c r="F133" i="84"/>
  <c r="AB133" i="84" s="1"/>
  <c r="F66" i="84"/>
  <c r="AB66" i="84" s="1"/>
  <c r="Z139" i="84"/>
  <c r="AB139" i="84"/>
  <c r="AC132" i="84"/>
  <c r="Z132" i="84"/>
  <c r="AB132" i="84"/>
  <c r="AC65" i="84"/>
  <c r="Z65" i="84"/>
  <c r="AB65" i="84"/>
  <c r="AB114" i="84"/>
  <c r="AR114" i="84" s="1"/>
  <c r="Z114" i="84"/>
  <c r="T139" i="84" l="1"/>
  <c r="R139" i="84"/>
  <c r="P65" i="84"/>
  <c r="P66" i="84" s="1"/>
  <c r="V132" i="84"/>
  <c r="T114" i="84"/>
  <c r="P114" i="84"/>
  <c r="R114" i="84"/>
  <c r="L139" i="84"/>
  <c r="O139" i="84" s="1"/>
  <c r="AE132" i="84"/>
  <c r="AH132" i="84" s="1"/>
  <c r="AO130" i="84" s="1"/>
  <c r="L114" i="84"/>
  <c r="O114" i="84" s="1"/>
  <c r="L65" i="84"/>
  <c r="O65" i="84" s="1"/>
  <c r="V139" i="84" l="1"/>
  <c r="P140" i="84"/>
  <c r="V65" i="84"/>
  <c r="P115" i="84"/>
  <c r="V114" i="84"/>
  <c r="AE139" i="84"/>
  <c r="AI132" i="84"/>
  <c r="AJ132" i="84" s="1"/>
  <c r="AL132" i="84" s="1"/>
  <c r="AN130" i="84"/>
  <c r="AO131" i="84" s="1"/>
  <c r="AN137" i="84"/>
  <c r="AE114" i="84"/>
  <c r="AH114" i="84" s="1"/>
  <c r="AO112" i="84" s="1"/>
  <c r="AE65" i="84"/>
  <c r="AM132" i="84"/>
  <c r="AM139" i="84"/>
  <c r="AN132" i="84"/>
  <c r="AH139" i="84" l="1"/>
  <c r="AI139" i="84"/>
  <c r="AU132" i="84"/>
  <c r="AV132" i="84" s="1"/>
  <c r="AN114" i="84"/>
  <c r="AI114" i="84"/>
  <c r="AU114" i="84" s="1"/>
  <c r="AZ114" i="84" s="1"/>
  <c r="BA114" i="84" s="1"/>
  <c r="AN112" i="84"/>
  <c r="AO113" i="84" s="1"/>
  <c r="AM114" i="84"/>
  <c r="AM65" i="84"/>
  <c r="AI65" i="84"/>
  <c r="AH65" i="84"/>
  <c r="AN63" i="84"/>
  <c r="AJ114" i="84" l="1"/>
  <c r="AL114" i="84" s="1"/>
  <c r="AU139" i="84"/>
  <c r="AJ139" i="84"/>
  <c r="AL139" i="84" s="1"/>
  <c r="AO137" i="84"/>
  <c r="AO138" i="84" s="1"/>
  <c r="AN139" i="84"/>
  <c r="AZ132" i="84"/>
  <c r="BA132" i="84" s="1"/>
  <c r="AV114" i="84"/>
  <c r="AO63" i="84"/>
  <c r="AO64" i="84" s="1"/>
  <c r="AN65" i="84"/>
  <c r="AU65" i="84"/>
  <c r="AJ65" i="84"/>
  <c r="AL65" i="84" s="1"/>
  <c r="E84" i="84"/>
  <c r="E83" i="84"/>
  <c r="X82" i="84"/>
  <c r="E77" i="84"/>
  <c r="E76" i="84"/>
  <c r="X75" i="84"/>
  <c r="E195" i="84"/>
  <c r="E194" i="84"/>
  <c r="AA193" i="84"/>
  <c r="X193" i="84"/>
  <c r="E188" i="84"/>
  <c r="E187" i="84"/>
  <c r="AA186" i="84"/>
  <c r="X186" i="84"/>
  <c r="E176" i="84"/>
  <c r="E175" i="84"/>
  <c r="AA174" i="84"/>
  <c r="X174" i="84"/>
  <c r="E169" i="84"/>
  <c r="E168" i="84"/>
  <c r="AA167" i="84"/>
  <c r="X167" i="84"/>
  <c r="E162" i="84"/>
  <c r="E161" i="84"/>
  <c r="AA160" i="84"/>
  <c r="X160" i="84"/>
  <c r="E125" i="84"/>
  <c r="E124" i="84"/>
  <c r="AA123" i="84"/>
  <c r="X123" i="84"/>
  <c r="E98" i="84"/>
  <c r="E97" i="84"/>
  <c r="AA96" i="84"/>
  <c r="X96" i="84"/>
  <c r="E91" i="84"/>
  <c r="E90" i="84"/>
  <c r="AA89" i="84"/>
  <c r="X89" i="84"/>
  <c r="E56" i="84"/>
  <c r="E55" i="84"/>
  <c r="AA54" i="84"/>
  <c r="X54" i="84"/>
  <c r="E49" i="84"/>
  <c r="E48" i="84"/>
  <c r="AA47" i="84"/>
  <c r="X47" i="84"/>
  <c r="E39" i="84"/>
  <c r="E38" i="84"/>
  <c r="AA37" i="84"/>
  <c r="X37" i="84"/>
  <c r="E29" i="84"/>
  <c r="E28" i="84"/>
  <c r="AA27" i="84"/>
  <c r="X27" i="84"/>
  <c r="E22" i="84"/>
  <c r="E21" i="84"/>
  <c r="AA20" i="84"/>
  <c r="X20" i="84"/>
  <c r="AZ139" i="84" l="1"/>
  <c r="BA139" i="84" s="1"/>
  <c r="AV139" i="84"/>
  <c r="H194" i="84"/>
  <c r="AC194" i="84" s="1"/>
  <c r="J175" i="84"/>
  <c r="AD175" i="84" s="1"/>
  <c r="J90" i="84"/>
  <c r="AD90" i="84" s="1"/>
  <c r="Y76" i="84"/>
  <c r="AV65" i="84"/>
  <c r="AZ65" i="84"/>
  <c r="BA65" i="84" s="1"/>
  <c r="H55" i="84"/>
  <c r="AC55" i="84" s="1"/>
  <c r="Y21" i="84"/>
  <c r="AA83" i="84"/>
  <c r="X97" i="84"/>
  <c r="X83" i="84"/>
  <c r="AA76" i="84"/>
  <c r="H83" i="84"/>
  <c r="AC83" i="84" s="1"/>
  <c r="Y83" i="84"/>
  <c r="F83" i="84"/>
  <c r="J83" i="84"/>
  <c r="AD83" i="84" s="1"/>
  <c r="X76" i="84"/>
  <c r="AA124" i="84"/>
  <c r="F76" i="84"/>
  <c r="F77" i="84" s="1"/>
  <c r="AB77" i="84" s="1"/>
  <c r="H76" i="84"/>
  <c r="J76" i="84"/>
  <c r="AD76" i="84" s="1"/>
  <c r="F90" i="84"/>
  <c r="AB90" i="84" s="1"/>
  <c r="X175" i="84"/>
  <c r="H90" i="84"/>
  <c r="AC90" i="84" s="1"/>
  <c r="J161" i="84"/>
  <c r="AD161" i="84" s="1"/>
  <c r="AA175" i="84"/>
  <c r="AA161" i="84"/>
  <c r="AA97" i="84"/>
  <c r="H97" i="84"/>
  <c r="AC97" i="84" s="1"/>
  <c r="AA168" i="84"/>
  <c r="X90" i="84"/>
  <c r="Y168" i="84"/>
  <c r="AA90" i="84"/>
  <c r="X161" i="84"/>
  <c r="AA55" i="84"/>
  <c r="AA38" i="84"/>
  <c r="F28" i="84"/>
  <c r="AB28" i="84" s="1"/>
  <c r="AR28" i="84" s="1"/>
  <c r="X21" i="84"/>
  <c r="H21" i="84"/>
  <c r="AC21" i="84" s="1"/>
  <c r="AA21" i="84"/>
  <c r="J21" i="84"/>
  <c r="AD21" i="84" s="1"/>
  <c r="X28" i="84"/>
  <c r="Y97" i="84"/>
  <c r="Y38" i="84"/>
  <c r="AA28" i="84"/>
  <c r="Y90" i="84"/>
  <c r="X168" i="84"/>
  <c r="F55" i="84"/>
  <c r="AB55" i="84" s="1"/>
  <c r="AR55" i="84" s="1"/>
  <c r="J124" i="84"/>
  <c r="AD124" i="84" s="1"/>
  <c r="Y124" i="84"/>
  <c r="J48" i="84"/>
  <c r="AD48" i="84" s="1"/>
  <c r="X48" i="84"/>
  <c r="Y55" i="84"/>
  <c r="F48" i="84"/>
  <c r="AB48" i="84" s="1"/>
  <c r="AR48" i="84" s="1"/>
  <c r="H48" i="84"/>
  <c r="AC48" i="84" s="1"/>
  <c r="J38" i="84"/>
  <c r="AD38" i="84" s="1"/>
  <c r="X38" i="84"/>
  <c r="Y48" i="84"/>
  <c r="J55" i="84"/>
  <c r="AD55" i="84" s="1"/>
  <c r="X55" i="84"/>
  <c r="AA48" i="84"/>
  <c r="F38" i="84"/>
  <c r="AB38" i="84" s="1"/>
  <c r="AR38" i="84" s="1"/>
  <c r="H38" i="84"/>
  <c r="AC38" i="84" s="1"/>
  <c r="H124" i="84"/>
  <c r="AC124" i="84" s="1"/>
  <c r="F124" i="84"/>
  <c r="AB124" i="84" s="1"/>
  <c r="X124" i="84"/>
  <c r="J28" i="84"/>
  <c r="AD28" i="84" s="1"/>
  <c r="H28" i="84"/>
  <c r="Y28" i="84"/>
  <c r="F168" i="84"/>
  <c r="F161" i="84"/>
  <c r="H168" i="84"/>
  <c r="AC168" i="84" s="1"/>
  <c r="H161" i="84"/>
  <c r="AC161" i="84" s="1"/>
  <c r="J168" i="84"/>
  <c r="AD168" i="84" s="1"/>
  <c r="X194" i="84"/>
  <c r="X187" i="84"/>
  <c r="Y194" i="84"/>
  <c r="Y187" i="84"/>
  <c r="Y175" i="84"/>
  <c r="AA194" i="84"/>
  <c r="AA187" i="84"/>
  <c r="F194" i="84"/>
  <c r="AB194" i="84" s="1"/>
  <c r="F21" i="84"/>
  <c r="F97" i="84"/>
  <c r="F187" i="84"/>
  <c r="AB187" i="84" s="1"/>
  <c r="Y161" i="84"/>
  <c r="F175" i="84"/>
  <c r="N175" i="84" s="1"/>
  <c r="H187" i="84"/>
  <c r="AC187" i="84" s="1"/>
  <c r="J194" i="84"/>
  <c r="AD194" i="84" s="1"/>
  <c r="J97" i="84"/>
  <c r="AD97" i="84" s="1"/>
  <c r="H175" i="84"/>
  <c r="AC175" i="84" s="1"/>
  <c r="J187" i="84"/>
  <c r="AD187" i="84" s="1"/>
  <c r="N97" i="84" l="1"/>
  <c r="N161" i="84"/>
  <c r="T161" i="84" s="1"/>
  <c r="N21" i="84"/>
  <c r="T21" i="84" s="1"/>
  <c r="N168" i="84"/>
  <c r="R168" i="84" s="1"/>
  <c r="N187" i="84"/>
  <c r="P187" i="84" s="1"/>
  <c r="T175" i="84"/>
  <c r="R175" i="84"/>
  <c r="P175" i="84"/>
  <c r="R97" i="84"/>
  <c r="T97" i="84"/>
  <c r="P97" i="84"/>
  <c r="R21" i="84"/>
  <c r="R161" i="84"/>
  <c r="N48" i="84"/>
  <c r="N38" i="84"/>
  <c r="N76" i="84"/>
  <c r="N83" i="84"/>
  <c r="N55" i="84"/>
  <c r="N194" i="84"/>
  <c r="L194" i="84" s="1"/>
  <c r="O194" i="84" s="1"/>
  <c r="N124" i="84"/>
  <c r="N28" i="84"/>
  <c r="N90" i="84"/>
  <c r="L97" i="84"/>
  <c r="O97" i="84" s="1"/>
  <c r="H98" i="84"/>
  <c r="H84" i="84"/>
  <c r="H169" i="84"/>
  <c r="F188" i="84"/>
  <c r="AB188" i="84" s="1"/>
  <c r="F84" i="84"/>
  <c r="AB84" i="84" s="1"/>
  <c r="F169" i="84"/>
  <c r="AB169" i="84" s="1"/>
  <c r="H162" i="84"/>
  <c r="H49" i="84"/>
  <c r="H39" i="84"/>
  <c r="F162" i="84"/>
  <c r="AB162" i="84" s="1"/>
  <c r="H56" i="84"/>
  <c r="F49" i="84"/>
  <c r="AB49" i="84" s="1"/>
  <c r="F56" i="84"/>
  <c r="AB56" i="84" s="1"/>
  <c r="H188" i="84"/>
  <c r="H195" i="84"/>
  <c r="F176" i="84"/>
  <c r="AB176" i="84" s="1"/>
  <c r="H125" i="84"/>
  <c r="F29" i="84"/>
  <c r="F98" i="84"/>
  <c r="AB98" i="84" s="1"/>
  <c r="H22" i="84"/>
  <c r="H176" i="84"/>
  <c r="Z194" i="84"/>
  <c r="F39" i="84"/>
  <c r="AB39" i="84" s="1"/>
  <c r="F125" i="84"/>
  <c r="AB125" i="84" s="1"/>
  <c r="H77" i="84"/>
  <c r="F22" i="84"/>
  <c r="AB22" i="84" s="1"/>
  <c r="H29" i="84"/>
  <c r="F195" i="84"/>
  <c r="AB195" i="84" s="1"/>
  <c r="F91" i="84"/>
  <c r="AB91" i="84" s="1"/>
  <c r="H91" i="84"/>
  <c r="Z83" i="84"/>
  <c r="Z97" i="84"/>
  <c r="AB83" i="84"/>
  <c r="AC76" i="84"/>
  <c r="Z76" i="84"/>
  <c r="AB76" i="84"/>
  <c r="Z168" i="84"/>
  <c r="Z90" i="84"/>
  <c r="Z55" i="84"/>
  <c r="Z161" i="84"/>
  <c r="Z175" i="84"/>
  <c r="Z48" i="84"/>
  <c r="Z21" i="84"/>
  <c r="Z38" i="84"/>
  <c r="Z187" i="84"/>
  <c r="AC28" i="84"/>
  <c r="Z28" i="84"/>
  <c r="Z124" i="84"/>
  <c r="AB168" i="84"/>
  <c r="AB97" i="84"/>
  <c r="AB175" i="84"/>
  <c r="AB161" i="84"/>
  <c r="AB21" i="84"/>
  <c r="P98" i="84" l="1"/>
  <c r="T168" i="84"/>
  <c r="L168" i="84"/>
  <c r="O168" i="84" s="1"/>
  <c r="P168" i="84"/>
  <c r="V168" i="84" s="1"/>
  <c r="P161" i="84"/>
  <c r="P162" i="84" s="1"/>
  <c r="T187" i="84"/>
  <c r="R187" i="84"/>
  <c r="P21" i="84"/>
  <c r="P22" i="84" s="1"/>
  <c r="P176" i="84"/>
  <c r="T38" i="84"/>
  <c r="P38" i="84"/>
  <c r="R38" i="84"/>
  <c r="T76" i="84"/>
  <c r="P76" i="84"/>
  <c r="R76" i="84"/>
  <c r="V97" i="84"/>
  <c r="T124" i="84"/>
  <c r="P124" i="84"/>
  <c r="R124" i="84"/>
  <c r="P48" i="84"/>
  <c r="R48" i="84"/>
  <c r="T48" i="84"/>
  <c r="R90" i="84"/>
  <c r="T90" i="84"/>
  <c r="P90" i="84"/>
  <c r="T194" i="84"/>
  <c r="P194" i="84"/>
  <c r="R194" i="84"/>
  <c r="P195" i="84" s="1"/>
  <c r="P28" i="84"/>
  <c r="R28" i="84"/>
  <c r="T28" i="84"/>
  <c r="R55" i="84"/>
  <c r="P55" i="84"/>
  <c r="T55" i="84"/>
  <c r="L124" i="84"/>
  <c r="O124" i="84" s="1"/>
  <c r="T83" i="84"/>
  <c r="P83" i="84"/>
  <c r="R83" i="84"/>
  <c r="P169" i="84"/>
  <c r="L161" i="84"/>
  <c r="L187" i="84"/>
  <c r="O187" i="84" s="1"/>
  <c r="L175" i="84"/>
  <c r="O175" i="84" s="1"/>
  <c r="V175" i="84" s="1"/>
  <c r="AE97" i="84"/>
  <c r="AH97" i="84" s="1"/>
  <c r="AO95" i="84" s="1"/>
  <c r="L28" i="84"/>
  <c r="O28" i="84" s="1"/>
  <c r="L21" i="84"/>
  <c r="O21" i="84" s="1"/>
  <c r="V21" i="84" s="1"/>
  <c r="L48" i="84"/>
  <c r="O48" i="84" s="1"/>
  <c r="L83" i="84"/>
  <c r="O83" i="84" s="1"/>
  <c r="L90" i="84"/>
  <c r="O90" i="84" s="1"/>
  <c r="L38" i="84"/>
  <c r="O38" i="84" s="1"/>
  <c r="L55" i="84"/>
  <c r="O55" i="84" s="1"/>
  <c r="L76" i="84"/>
  <c r="O76" i="84" s="1"/>
  <c r="AE194" i="84"/>
  <c r="AR21" i="84"/>
  <c r="AE168" i="84" l="1"/>
  <c r="AH168" i="84" s="1"/>
  <c r="AO166" i="84" s="1"/>
  <c r="V55" i="84"/>
  <c r="V187" i="84"/>
  <c r="P188" i="84"/>
  <c r="P84" i="84"/>
  <c r="V48" i="84"/>
  <c r="P39" i="84"/>
  <c r="V194" i="84"/>
  <c r="V38" i="84"/>
  <c r="P91" i="84"/>
  <c r="V83" i="84"/>
  <c r="P29" i="84"/>
  <c r="P125" i="84"/>
  <c r="V124" i="84"/>
  <c r="V76" i="84"/>
  <c r="V28" i="84"/>
  <c r="P56" i="84"/>
  <c r="P49" i="84"/>
  <c r="V90" i="84"/>
  <c r="AE124" i="84"/>
  <c r="AI124" i="84" s="1"/>
  <c r="AJ124" i="84" s="1"/>
  <c r="AL124" i="84" s="1"/>
  <c r="P77" i="84"/>
  <c r="O161" i="84"/>
  <c r="V161" i="84" s="1"/>
  <c r="AE161" i="84"/>
  <c r="AH161" i="84" s="1"/>
  <c r="AO159" i="84" s="1"/>
  <c r="AE187" i="84"/>
  <c r="AI187" i="84" s="1"/>
  <c r="AJ187" i="84" s="1"/>
  <c r="AL187" i="84" s="1"/>
  <c r="AE175" i="84"/>
  <c r="AH175" i="84" s="1"/>
  <c r="AO173" i="84" s="1"/>
  <c r="AH124" i="84"/>
  <c r="AO122" i="84" s="1"/>
  <c r="AI97" i="84"/>
  <c r="AJ97" i="84" s="1"/>
  <c r="AL97" i="84" s="1"/>
  <c r="AI168" i="84"/>
  <c r="AU168" i="84" s="1"/>
  <c r="AZ168" i="84" s="1"/>
  <c r="BA168" i="84" s="1"/>
  <c r="AN122" i="84"/>
  <c r="AN185" i="84"/>
  <c r="AM97" i="84"/>
  <c r="AE28" i="84"/>
  <c r="AE55" i="84"/>
  <c r="AM55" i="84"/>
  <c r="AE83" i="84"/>
  <c r="AE38" i="84"/>
  <c r="AE76" i="84"/>
  <c r="AE90" i="84"/>
  <c r="AE48" i="84"/>
  <c r="AE21" i="84"/>
  <c r="AN19" i="84"/>
  <c r="AM187" i="84"/>
  <c r="AN95" i="84"/>
  <c r="AO96" i="84" s="1"/>
  <c r="AM124" i="84"/>
  <c r="AN168" i="84"/>
  <c r="AM168" i="84"/>
  <c r="AN166" i="84"/>
  <c r="AO167" i="84" s="1"/>
  <c r="AN97" i="84"/>
  <c r="AM194" i="84"/>
  <c r="AN192" i="84"/>
  <c r="AI194" i="84"/>
  <c r="AH194" i="84"/>
  <c r="AO192" i="84" s="1"/>
  <c r="AN173" i="84"/>
  <c r="AM175" i="84"/>
  <c r="AU124" i="84" l="1"/>
  <c r="AN159" i="84"/>
  <c r="AM161" i="84"/>
  <c r="AN124" i="84"/>
  <c r="AU187" i="84"/>
  <c r="AN161" i="84"/>
  <c r="AH187" i="84"/>
  <c r="AO185" i="84" s="1"/>
  <c r="AO186" i="84" s="1"/>
  <c r="AN175" i="84"/>
  <c r="AO160" i="84"/>
  <c r="AI161" i="84"/>
  <c r="AU161" i="84" s="1"/>
  <c r="AZ161" i="84" s="1"/>
  <c r="BA161" i="84" s="1"/>
  <c r="AI175" i="84"/>
  <c r="AU175" i="84" s="1"/>
  <c r="AZ175" i="84" s="1"/>
  <c r="BA175" i="84" s="1"/>
  <c r="AU97" i="84"/>
  <c r="AZ97" i="84" s="1"/>
  <c r="BA97" i="84" s="1"/>
  <c r="AO123" i="84"/>
  <c r="AO174" i="84"/>
  <c r="AJ168" i="84"/>
  <c r="AL168" i="84" s="1"/>
  <c r="AV168" i="84"/>
  <c r="AI28" i="84"/>
  <c r="AH28" i="84"/>
  <c r="AO26" i="84" s="1"/>
  <c r="AM21" i="84"/>
  <c r="AN53" i="84"/>
  <c r="AM76" i="84"/>
  <c r="AN74" i="84"/>
  <c r="AM48" i="84"/>
  <c r="AN46" i="84"/>
  <c r="AN36" i="84"/>
  <c r="AM83" i="84"/>
  <c r="AH48" i="84"/>
  <c r="AI48" i="84"/>
  <c r="AM38" i="84"/>
  <c r="AN81" i="84"/>
  <c r="AH38" i="84"/>
  <c r="AI38" i="84"/>
  <c r="AH90" i="84"/>
  <c r="AO88" i="84" s="1"/>
  <c r="AI90" i="84"/>
  <c r="AH21" i="84"/>
  <c r="AI21" i="84"/>
  <c r="AM90" i="84"/>
  <c r="AN88" i="84"/>
  <c r="AI83" i="84"/>
  <c r="AH83" i="84"/>
  <c r="AO81" i="84" s="1"/>
  <c r="AI76" i="84"/>
  <c r="AH76" i="84"/>
  <c r="AH55" i="84"/>
  <c r="AI55" i="84"/>
  <c r="AN194" i="84"/>
  <c r="AO193" i="84"/>
  <c r="AZ187" i="84"/>
  <c r="BA187" i="84" s="1"/>
  <c r="AV187" i="84"/>
  <c r="AU194" i="84"/>
  <c r="AJ194" i="84"/>
  <c r="AL194" i="84" s="1"/>
  <c r="AZ124" i="84"/>
  <c r="BA124" i="84" s="1"/>
  <c r="AV124" i="84"/>
  <c r="AN187" i="84" l="1"/>
  <c r="AV161" i="84"/>
  <c r="AJ161" i="84"/>
  <c r="AL161" i="84" s="1"/>
  <c r="AV175" i="84"/>
  <c r="AJ175" i="84"/>
  <c r="AL175" i="84" s="1"/>
  <c r="AV97" i="84"/>
  <c r="AU28" i="84"/>
  <c r="AJ28" i="84"/>
  <c r="AL28" i="84" s="1"/>
  <c r="AN83" i="84"/>
  <c r="AU48" i="84"/>
  <c r="AJ48" i="84"/>
  <c r="AL48" i="84" s="1"/>
  <c r="AO46" i="84"/>
  <c r="AO47" i="84" s="1"/>
  <c r="AN48" i="84"/>
  <c r="AJ76" i="84"/>
  <c r="AL76" i="84" s="1"/>
  <c r="AU76" i="84"/>
  <c r="AN90" i="84"/>
  <c r="AU55" i="84"/>
  <c r="AJ55" i="84"/>
  <c r="AL55" i="84" s="1"/>
  <c r="AO36" i="84"/>
  <c r="AO37" i="84" s="1"/>
  <c r="AN38" i="84"/>
  <c r="AU83" i="84"/>
  <c r="AJ83" i="84"/>
  <c r="AL83" i="84" s="1"/>
  <c r="AO19" i="84"/>
  <c r="AO20" i="84" s="1"/>
  <c r="AN21" i="84"/>
  <c r="AJ38" i="84"/>
  <c r="AL38" i="84" s="1"/>
  <c r="AU38" i="84"/>
  <c r="AU21" i="84"/>
  <c r="AJ21" i="84"/>
  <c r="AL21" i="84" s="1"/>
  <c r="AO53" i="84"/>
  <c r="AO54" i="84" s="1"/>
  <c r="AN55" i="84"/>
  <c r="AO74" i="84"/>
  <c r="AO75" i="84" s="1"/>
  <c r="AN76" i="84"/>
  <c r="AO89" i="84"/>
  <c r="AJ90" i="84"/>
  <c r="AL90" i="84" s="1"/>
  <c r="AU90" i="84"/>
  <c r="AO82" i="84"/>
  <c r="AZ194" i="84"/>
  <c r="BA194" i="84" s="1"/>
  <c r="AV194" i="84"/>
  <c r="AZ28" i="84" l="1"/>
  <c r="BA28" i="84" s="1"/>
  <c r="AV28" i="84"/>
  <c r="AV83" i="84"/>
  <c r="AZ83" i="84"/>
  <c r="BA83" i="84" s="1"/>
  <c r="AV38" i="84"/>
  <c r="AZ38" i="84"/>
  <c r="BA38" i="84" s="1"/>
  <c r="AZ21" i="84"/>
  <c r="BA21" i="84" s="1"/>
  <c r="AV21" i="84"/>
  <c r="AV76" i="84"/>
  <c r="AZ76" i="84"/>
  <c r="BA76" i="84" s="1"/>
  <c r="AV90" i="84"/>
  <c r="AZ90" i="84"/>
  <c r="BA90" i="84" s="1"/>
  <c r="AV55" i="84"/>
  <c r="AZ55" i="84"/>
  <c r="BA55" i="84" s="1"/>
  <c r="AV48" i="84"/>
  <c r="AZ48" i="84"/>
  <c r="BA48" i="84" s="1"/>
  <c r="F328" i="71"/>
  <c r="G328" i="71" s="1"/>
  <c r="X328" i="71" s="1"/>
  <c r="F327" i="71"/>
  <c r="W326" i="71"/>
  <c r="T326" i="71"/>
  <c r="G327" i="71" l="1"/>
  <c r="X327" i="71" s="1"/>
  <c r="I327" i="71"/>
  <c r="Y327" i="71" s="1"/>
  <c r="T327" i="71"/>
  <c r="K327" i="71"/>
  <c r="Z327" i="71" s="1"/>
  <c r="U327" i="71"/>
  <c r="J328" i="71"/>
  <c r="O327" i="71"/>
  <c r="W327" i="71"/>
  <c r="V327" i="71" l="1"/>
  <c r="Q327" i="71"/>
  <c r="M327" i="71" s="1"/>
  <c r="AA327" i="71" l="1"/>
  <c r="AD327" i="71" s="1"/>
  <c r="AK325" i="71" s="1"/>
  <c r="R327" i="71"/>
  <c r="AJ327" i="71" l="1"/>
  <c r="AI327" i="71"/>
  <c r="AJ325" i="71"/>
  <c r="AK326" i="71" s="1"/>
  <c r="AE327" i="71"/>
  <c r="AQ327" i="71" l="1"/>
  <c r="AF327" i="71"/>
  <c r="AH327" i="71" s="1"/>
  <c r="AR327" i="71" l="1"/>
  <c r="AV327" i="71"/>
  <c r="AW327" i="71" s="1"/>
  <c r="F49" i="71" l="1"/>
  <c r="G49" i="71" s="1"/>
  <c r="F48" i="71"/>
  <c r="J49" i="71" s="1"/>
  <c r="W47" i="71"/>
  <c r="T47" i="71"/>
  <c r="F44" i="71"/>
  <c r="G44" i="71" s="1"/>
  <c r="F43" i="71"/>
  <c r="J44" i="71" s="1"/>
  <c r="W42" i="71"/>
  <c r="T42" i="71"/>
  <c r="F197" i="71"/>
  <c r="G197" i="71" s="1"/>
  <c r="X197" i="71" s="1"/>
  <c r="F196" i="71"/>
  <c r="W195" i="71"/>
  <c r="T195" i="71"/>
  <c r="G48" i="71" l="1"/>
  <c r="X48" i="71" s="1"/>
  <c r="AN48" i="71" s="1"/>
  <c r="T48" i="71"/>
  <c r="K48" i="71"/>
  <c r="Z48" i="71" s="1"/>
  <c r="U48" i="71"/>
  <c r="I48" i="71"/>
  <c r="Y48" i="71" s="1"/>
  <c r="O48" i="71"/>
  <c r="W48" i="71"/>
  <c r="G43" i="71"/>
  <c r="X43" i="71" s="1"/>
  <c r="AN43" i="71" s="1"/>
  <c r="I43" i="71"/>
  <c r="Y43" i="71" s="1"/>
  <c r="T43" i="71"/>
  <c r="K43" i="71"/>
  <c r="Z43" i="71" s="1"/>
  <c r="U43" i="71"/>
  <c r="O43" i="71"/>
  <c r="W43" i="71"/>
  <c r="G196" i="71"/>
  <c r="X196" i="71" s="1"/>
  <c r="I196" i="71"/>
  <c r="Y196" i="71" s="1"/>
  <c r="T196" i="71"/>
  <c r="K196" i="71"/>
  <c r="Z196" i="71" s="1"/>
  <c r="U196" i="71"/>
  <c r="J197" i="71"/>
  <c r="O196" i="71"/>
  <c r="W196" i="71"/>
  <c r="V48" i="71" l="1"/>
  <c r="Q48" i="71"/>
  <c r="M48" i="71" s="1"/>
  <c r="AA48" i="71" s="1"/>
  <c r="V43" i="71"/>
  <c r="Q43" i="71"/>
  <c r="M43" i="71" s="1"/>
  <c r="AA43" i="71" s="1"/>
  <c r="AD43" i="71" s="1"/>
  <c r="AK41" i="71" s="1"/>
  <c r="V196" i="71"/>
  <c r="Q196" i="71"/>
  <c r="M196" i="71" s="1"/>
  <c r="AD48" i="71" l="1"/>
  <c r="AK46" i="71" s="1"/>
  <c r="R48" i="71"/>
  <c r="R43" i="71"/>
  <c r="AJ41" i="71" s="1"/>
  <c r="AE48" i="71"/>
  <c r="AE43" i="71"/>
  <c r="AF43" i="71" s="1"/>
  <c r="AH43" i="71" s="1"/>
  <c r="AI43" i="71"/>
  <c r="AA196" i="71"/>
  <c r="R196" i="71"/>
  <c r="AQ43" i="71" l="1"/>
  <c r="AV43" i="71" s="1"/>
  <c r="AW43" i="71" s="1"/>
  <c r="AQ48" i="71"/>
  <c r="AF48" i="71"/>
  <c r="AH48" i="71" s="1"/>
  <c r="AI48" i="71"/>
  <c r="AJ46" i="71"/>
  <c r="AK42" i="71"/>
  <c r="AJ43" i="71"/>
  <c r="AR43" i="71"/>
  <c r="AI196" i="71"/>
  <c r="AJ194" i="71"/>
  <c r="AD196" i="71"/>
  <c r="AK194" i="71" s="1"/>
  <c r="AE196" i="71"/>
  <c r="AK47" i="71" l="1"/>
  <c r="AJ48" i="71"/>
  <c r="AV48" i="71"/>
  <c r="AW48" i="71" s="1"/>
  <c r="AR48" i="71"/>
  <c r="AJ196" i="71"/>
  <c r="AK195" i="71"/>
  <c r="AQ196" i="71"/>
  <c r="AF196" i="71"/>
  <c r="AH196" i="71" s="1"/>
  <c r="AR196" i="71" l="1"/>
  <c r="AV196" i="71"/>
  <c r="AW196" i="71" s="1"/>
  <c r="F124" i="71" l="1"/>
  <c r="G124" i="71" s="1"/>
  <c r="X124" i="71" s="1"/>
  <c r="F123" i="71"/>
  <c r="W122" i="71"/>
  <c r="T122" i="71"/>
  <c r="T123" i="71" l="1"/>
  <c r="K123" i="71"/>
  <c r="Z123" i="71" s="1"/>
  <c r="O123" i="71"/>
  <c r="J124" i="71"/>
  <c r="U123" i="71"/>
  <c r="W123" i="71"/>
  <c r="G123" i="71"/>
  <c r="X123" i="71" s="1"/>
  <c r="I123" i="71"/>
  <c r="Y123" i="71" l="1"/>
  <c r="V123" i="71"/>
  <c r="Q123" i="71"/>
  <c r="M123" i="71" s="1"/>
  <c r="AA123" i="71" s="1"/>
  <c r="R123" i="71" l="1"/>
  <c r="AI123" i="71" s="1"/>
  <c r="AD123" i="71"/>
  <c r="AK121" i="71" s="1"/>
  <c r="AE123" i="71"/>
  <c r="AJ123" i="71" l="1"/>
  <c r="AJ121" i="71"/>
  <c r="AK122" i="71" s="1"/>
  <c r="AF123" i="71"/>
  <c r="AH123" i="71" s="1"/>
  <c r="AQ123" i="71"/>
  <c r="AV123" i="71" l="1"/>
  <c r="AW123" i="71" s="1"/>
  <c r="AR123" i="71"/>
  <c r="F39" i="71" l="1"/>
  <c r="G39" i="71" s="1"/>
  <c r="F38" i="71"/>
  <c r="J39" i="71" s="1"/>
  <c r="T37" i="71"/>
  <c r="F191" i="71"/>
  <c r="G191" i="71" s="1"/>
  <c r="X191" i="71" s="1"/>
  <c r="F190" i="71"/>
  <c r="J191" i="71" s="1"/>
  <c r="W189" i="71"/>
  <c r="T189" i="71"/>
  <c r="O38" i="71" l="1"/>
  <c r="T38" i="71"/>
  <c r="W38" i="71"/>
  <c r="U38" i="71"/>
  <c r="G38" i="71"/>
  <c r="X38" i="71" s="1"/>
  <c r="AN38" i="71" s="1"/>
  <c r="I38" i="71"/>
  <c r="Y38" i="71" s="1"/>
  <c r="K38" i="71"/>
  <c r="Z38" i="71" s="1"/>
  <c r="O190" i="71"/>
  <c r="W190" i="71"/>
  <c r="G190" i="71"/>
  <c r="X190" i="71" s="1"/>
  <c r="I190" i="71"/>
  <c r="Y190" i="71" s="1"/>
  <c r="T190" i="71"/>
  <c r="K190" i="71"/>
  <c r="Z190" i="71" s="1"/>
  <c r="U190" i="71"/>
  <c r="V38" i="71" l="1"/>
  <c r="V190" i="71"/>
  <c r="Q38" i="71"/>
  <c r="M38" i="71" s="1"/>
  <c r="AA38" i="71" s="1"/>
  <c r="Q190" i="71"/>
  <c r="M190" i="71" s="1"/>
  <c r="AA190" i="71" s="1"/>
  <c r="AE190" i="71" s="1"/>
  <c r="AD38" i="71" l="1"/>
  <c r="AK36" i="71" s="1"/>
  <c r="R38" i="71"/>
  <c r="AE38" i="71"/>
  <c r="AQ190" i="71"/>
  <c r="AF190" i="71"/>
  <c r="AH190" i="71" s="1"/>
  <c r="R190" i="71"/>
  <c r="AD190" i="71"/>
  <c r="AK188" i="71" s="1"/>
  <c r="AJ38" i="71" l="1"/>
  <c r="AI38" i="71"/>
  <c r="AJ36" i="71"/>
  <c r="AK37" i="71" s="1"/>
  <c r="AQ38" i="71"/>
  <c r="AF38" i="71"/>
  <c r="AH38" i="71" s="1"/>
  <c r="AJ190" i="71"/>
  <c r="AI190" i="71"/>
  <c r="AJ188" i="71"/>
  <c r="AK189" i="71" s="1"/>
  <c r="AR190" i="71"/>
  <c r="AV190" i="71"/>
  <c r="AW190" i="71" s="1"/>
  <c r="AV38" i="71" l="1"/>
  <c r="AW38" i="71" s="1"/>
  <c r="AR38" i="71"/>
  <c r="F104" i="71" l="1"/>
  <c r="G104" i="71" s="1"/>
  <c r="X104" i="71" s="1"/>
  <c r="F103" i="71"/>
  <c r="J104" i="71" s="1"/>
  <c r="W102" i="71"/>
  <c r="T102" i="71"/>
  <c r="O103" i="71" l="1"/>
  <c r="T103" i="71"/>
  <c r="W103" i="71"/>
  <c r="G103" i="71"/>
  <c r="X103" i="71" s="1"/>
  <c r="AN103" i="71" s="1"/>
  <c r="I103" i="71"/>
  <c r="Y103" i="71" s="1"/>
  <c r="K103" i="71"/>
  <c r="Z103" i="71" s="1"/>
  <c r="U103" i="71"/>
  <c r="Q103" i="71" l="1"/>
  <c r="M103" i="71" s="1"/>
  <c r="AA103" i="71" s="1"/>
  <c r="V103" i="71"/>
  <c r="R103" i="71" l="1"/>
  <c r="AI103" i="71" s="1"/>
  <c r="AE103" i="71"/>
  <c r="AQ103" i="71" s="1"/>
  <c r="AR103" i="71" s="1"/>
  <c r="AD103" i="71"/>
  <c r="AK101" i="71" s="1"/>
  <c r="AJ101" i="71" l="1"/>
  <c r="AK102" i="71" s="1"/>
  <c r="AJ103" i="71"/>
  <c r="AV103" i="71"/>
  <c r="AW103" i="71" s="1"/>
  <c r="AF103" i="71"/>
  <c r="AH103" i="71" s="1"/>
  <c r="F97" i="71" l="1"/>
  <c r="G97" i="71" s="1"/>
  <c r="X97" i="71" s="1"/>
  <c r="F96" i="71"/>
  <c r="W95" i="71"/>
  <c r="T95" i="71"/>
  <c r="F90" i="71"/>
  <c r="G90" i="71" s="1"/>
  <c r="X90" i="71" s="1"/>
  <c r="F89" i="71"/>
  <c r="J90" i="71" s="1"/>
  <c r="W88" i="71"/>
  <c r="T88" i="71"/>
  <c r="K89" i="71" l="1"/>
  <c r="Z89" i="71" s="1"/>
  <c r="U89" i="71"/>
  <c r="G89" i="71"/>
  <c r="X89" i="71" s="1"/>
  <c r="AN89" i="71" s="1"/>
  <c r="G96" i="71"/>
  <c r="X96" i="71" s="1"/>
  <c r="AN96" i="71" s="1"/>
  <c r="K96" i="71"/>
  <c r="Z96" i="71" s="1"/>
  <c r="U96" i="71"/>
  <c r="I89" i="71"/>
  <c r="Y89" i="71" s="1"/>
  <c r="T89" i="71"/>
  <c r="I96" i="71"/>
  <c r="Y96" i="71" s="1"/>
  <c r="T96" i="71"/>
  <c r="O89" i="71"/>
  <c r="W89" i="71"/>
  <c r="O96" i="71"/>
  <c r="W96" i="71"/>
  <c r="J97" i="71"/>
  <c r="V96" i="71" l="1"/>
  <c r="V89" i="71"/>
  <c r="Q89" i="71"/>
  <c r="M89" i="71" s="1"/>
  <c r="Q96" i="71"/>
  <c r="M96" i="71" s="1"/>
  <c r="AA96" i="71" s="1"/>
  <c r="AE96" i="71" l="1"/>
  <c r="AF96" i="71" s="1"/>
  <c r="AH96" i="71" s="1"/>
  <c r="AA89" i="71"/>
  <c r="R89" i="71"/>
  <c r="R96" i="71"/>
  <c r="AD96" i="71"/>
  <c r="AK94" i="71" s="1"/>
  <c r="AQ96" i="71" l="1"/>
  <c r="AV96" i="71" s="1"/>
  <c r="AW96" i="71" s="1"/>
  <c r="AI96" i="71"/>
  <c r="AJ96" i="71"/>
  <c r="AJ94" i="71"/>
  <c r="AK95" i="71" s="1"/>
  <c r="AI89" i="71"/>
  <c r="AJ87" i="71"/>
  <c r="AE89" i="71"/>
  <c r="AD89" i="71"/>
  <c r="AK87" i="71" s="1"/>
  <c r="AR96" i="71" l="1"/>
  <c r="AJ89" i="71"/>
  <c r="AQ89" i="71"/>
  <c r="AF89" i="71"/>
  <c r="AH89" i="71" s="1"/>
  <c r="AK88" i="71"/>
  <c r="AV89" i="71" l="1"/>
  <c r="AW89" i="71" s="1"/>
  <c r="AR89" i="71"/>
  <c r="F83" i="71" l="1"/>
  <c r="G83" i="71" s="1"/>
  <c r="X83" i="71" s="1"/>
  <c r="F82" i="71"/>
  <c r="U82" i="71" s="1"/>
  <c r="W81" i="71"/>
  <c r="T81" i="71"/>
  <c r="F76" i="71"/>
  <c r="G76" i="71" s="1"/>
  <c r="X76" i="71" s="1"/>
  <c r="F75" i="71"/>
  <c r="U75" i="71" s="1"/>
  <c r="W74" i="71"/>
  <c r="T74" i="71"/>
  <c r="K75" i="71" l="1"/>
  <c r="Z75" i="71" s="1"/>
  <c r="G82" i="71"/>
  <c r="X82" i="71" s="1"/>
  <c r="AN82" i="71" s="1"/>
  <c r="G75" i="71"/>
  <c r="X75" i="71" s="1"/>
  <c r="AN75" i="71" s="1"/>
  <c r="K82" i="71"/>
  <c r="Z82" i="71" s="1"/>
  <c r="I75" i="71"/>
  <c r="T75" i="71"/>
  <c r="I82" i="71"/>
  <c r="T82" i="71"/>
  <c r="O75" i="71"/>
  <c r="W75" i="71"/>
  <c r="J76" i="71"/>
  <c r="O82" i="71"/>
  <c r="W82" i="71"/>
  <c r="J83" i="71"/>
  <c r="Q82" i="71" l="1"/>
  <c r="M82" i="71" s="1"/>
  <c r="AA82" i="71" s="1"/>
  <c r="V75" i="71"/>
  <c r="Y75" i="71"/>
  <c r="V82" i="71"/>
  <c r="Y82" i="71"/>
  <c r="Q75" i="71"/>
  <c r="M75" i="71" s="1"/>
  <c r="AD82" i="71" l="1"/>
  <c r="AK80" i="71" s="1"/>
  <c r="R82" i="71"/>
  <c r="AA75" i="71"/>
  <c r="AE75" i="71" s="1"/>
  <c r="R75" i="71"/>
  <c r="AE82" i="71"/>
  <c r="AJ82" i="71" l="1"/>
  <c r="AJ80" i="71"/>
  <c r="AK81" i="71" s="1"/>
  <c r="AI82" i="71"/>
  <c r="AF75" i="71"/>
  <c r="AH75" i="71" s="1"/>
  <c r="AQ75" i="71"/>
  <c r="AI75" i="71"/>
  <c r="AJ73" i="71"/>
  <c r="AF82" i="71"/>
  <c r="AH82" i="71" s="1"/>
  <c r="AQ82" i="71"/>
  <c r="AD75" i="71"/>
  <c r="AK73" i="71" s="1"/>
  <c r="AJ75" i="71" l="1"/>
  <c r="AK74" i="71"/>
  <c r="AR75" i="71"/>
  <c r="AV75" i="71"/>
  <c r="AW75" i="71" s="1"/>
  <c r="AR82" i="71"/>
  <c r="AV82" i="71"/>
  <c r="AW82" i="71" s="1"/>
  <c r="F317" i="71" l="1"/>
  <c r="G317" i="71" s="1"/>
  <c r="X317" i="71" s="1"/>
  <c r="F316" i="71"/>
  <c r="W315" i="71"/>
  <c r="T315" i="71"/>
  <c r="G316" i="71" l="1"/>
  <c r="X316" i="71" s="1"/>
  <c r="AN316" i="71" s="1"/>
  <c r="I316" i="71"/>
  <c r="Y316" i="71" s="1"/>
  <c r="T316" i="71"/>
  <c r="K316" i="71"/>
  <c r="Z316" i="71" s="1"/>
  <c r="U316" i="71"/>
  <c r="O316" i="71"/>
  <c r="W316" i="71"/>
  <c r="J317" i="71"/>
  <c r="V316" i="71" l="1"/>
  <c r="Q316" i="71"/>
  <c r="M316" i="71" s="1"/>
  <c r="AA316" i="71" l="1"/>
  <c r="R316" i="71"/>
  <c r="AI316" i="71" l="1"/>
  <c r="AJ314" i="71"/>
  <c r="AE316" i="71"/>
  <c r="AD316" i="71"/>
  <c r="AK314" i="71" s="1"/>
  <c r="AJ316" i="71" l="1"/>
  <c r="AK315" i="71"/>
  <c r="AF316" i="71"/>
  <c r="AH316" i="71" s="1"/>
  <c r="AQ316" i="71"/>
  <c r="AR316" i="71" l="1"/>
  <c r="AV316" i="71"/>
  <c r="AW316" i="71" s="1"/>
  <c r="F323" i="71" l="1"/>
  <c r="G323" i="71" s="1"/>
  <c r="X323" i="71" s="1"/>
  <c r="F322" i="71"/>
  <c r="W321" i="71"/>
  <c r="T321" i="71"/>
  <c r="I322" i="71" l="1"/>
  <c r="Y322" i="71" s="1"/>
  <c r="T322" i="71"/>
  <c r="K322" i="71"/>
  <c r="Z322" i="71" s="1"/>
  <c r="J323" i="71"/>
  <c r="G322" i="71"/>
  <c r="X322" i="71" s="1"/>
  <c r="U322" i="71"/>
  <c r="O322" i="71"/>
  <c r="W322" i="71"/>
  <c r="Q322" i="71" l="1"/>
  <c r="M322" i="71" s="1"/>
  <c r="AA322" i="71" s="1"/>
  <c r="V322" i="71"/>
  <c r="AE322" i="71" l="1"/>
  <c r="AQ322" i="71" s="1"/>
  <c r="AD322" i="71"/>
  <c r="AK320" i="71" s="1"/>
  <c r="R322" i="71"/>
  <c r="AF322" i="71" l="1"/>
  <c r="AH322" i="71" s="1"/>
  <c r="AJ322" i="71"/>
  <c r="AI322" i="71"/>
  <c r="AJ320" i="71"/>
  <c r="AK321" i="71" s="1"/>
  <c r="AR322" i="71"/>
  <c r="AV322" i="71"/>
  <c r="AW322" i="71" s="1"/>
  <c r="F311" i="71" l="1"/>
  <c r="G311" i="71" s="1"/>
  <c r="X311" i="71" s="1"/>
  <c r="F310" i="71"/>
  <c r="W309" i="71"/>
  <c r="T309" i="71"/>
  <c r="O310" i="71" l="1"/>
  <c r="W310" i="71"/>
  <c r="G310" i="71"/>
  <c r="X310" i="71" s="1"/>
  <c r="AN310" i="71" s="1"/>
  <c r="I310" i="71"/>
  <c r="Y310" i="71" s="1"/>
  <c r="T310" i="71"/>
  <c r="K310" i="71"/>
  <c r="Z310" i="71" s="1"/>
  <c r="U310" i="71"/>
  <c r="J311" i="71"/>
  <c r="V310" i="71" l="1"/>
  <c r="Q310" i="71"/>
  <c r="M310" i="71" s="1"/>
  <c r="AA310" i="71" l="1"/>
  <c r="AE310" i="71" s="1"/>
  <c r="R310" i="71"/>
  <c r="AD310" i="71" l="1"/>
  <c r="AK308" i="71" s="1"/>
  <c r="AF310" i="71"/>
  <c r="AH310" i="71" s="1"/>
  <c r="AQ310" i="71"/>
  <c r="AI310" i="71"/>
  <c r="AJ308" i="71"/>
  <c r="AJ310" i="71" l="1"/>
  <c r="AK309" i="71"/>
  <c r="AR310" i="71"/>
  <c r="AV310" i="71"/>
  <c r="AW310" i="71" s="1"/>
  <c r="F305" i="71" l="1"/>
  <c r="G305" i="71" s="1"/>
  <c r="X305" i="71" s="1"/>
  <c r="F304" i="71"/>
  <c r="W303" i="71"/>
  <c r="T303" i="71"/>
  <c r="I304" i="71" l="1"/>
  <c r="Y304" i="71" s="1"/>
  <c r="T304" i="71"/>
  <c r="G304" i="71"/>
  <c r="X304" i="71" s="1"/>
  <c r="K304" i="71"/>
  <c r="Z304" i="71" s="1"/>
  <c r="J305" i="71"/>
  <c r="U304" i="71"/>
  <c r="O304" i="71"/>
  <c r="W304" i="71"/>
  <c r="V304" i="71" l="1"/>
  <c r="Q304" i="71"/>
  <c r="M304" i="71" s="1"/>
  <c r="AA304" i="71" s="1"/>
  <c r="AE304" i="71" s="1"/>
  <c r="AQ304" i="71" l="1"/>
  <c r="AF304" i="71"/>
  <c r="AH304" i="71" s="1"/>
  <c r="R304" i="71"/>
  <c r="AD304" i="71"/>
  <c r="AK302" i="71" s="1"/>
  <c r="AJ304" i="71" l="1"/>
  <c r="AJ302" i="71"/>
  <c r="AK303" i="71" s="1"/>
  <c r="AI304" i="71"/>
  <c r="AR304" i="71"/>
  <c r="AV304" i="71"/>
  <c r="AW304" i="71" s="1"/>
  <c r="F186" i="71" l="1"/>
  <c r="G186" i="71" s="1"/>
  <c r="X186" i="71" s="1"/>
  <c r="F185" i="71"/>
  <c r="J186" i="71" s="1"/>
  <c r="W184" i="71"/>
  <c r="T184" i="71"/>
  <c r="I185" i="71" l="1"/>
  <c r="Y185" i="71" s="1"/>
  <c r="T185" i="71"/>
  <c r="G185" i="71"/>
  <c r="X185" i="71" s="1"/>
  <c r="K185" i="71"/>
  <c r="Z185" i="71" s="1"/>
  <c r="U185" i="71"/>
  <c r="O185" i="71"/>
  <c r="W185" i="71"/>
  <c r="V185" i="71" l="1"/>
  <c r="Q185" i="71"/>
  <c r="M185" i="71" s="1"/>
  <c r="AA185" i="71" l="1"/>
  <c r="R185" i="71"/>
  <c r="AJ183" i="71" l="1"/>
  <c r="AI185" i="71"/>
  <c r="AE185" i="71"/>
  <c r="AD185" i="71"/>
  <c r="AK183" i="71" s="1"/>
  <c r="AK184" i="71" l="1"/>
  <c r="AJ185" i="71"/>
  <c r="AQ185" i="71"/>
  <c r="AF185" i="71"/>
  <c r="AH185" i="71" s="1"/>
  <c r="AR185" i="71" l="1"/>
  <c r="AV185" i="71"/>
  <c r="AW185" i="71" s="1"/>
  <c r="F175" i="71" l="1"/>
  <c r="G175" i="71" s="1"/>
  <c r="X175" i="71" s="1"/>
  <c r="F174" i="71"/>
  <c r="U174" i="71" s="1"/>
  <c r="W173" i="71"/>
  <c r="T173" i="71"/>
  <c r="F180" i="71"/>
  <c r="G180" i="71" s="1"/>
  <c r="X180" i="71" s="1"/>
  <c r="F179" i="71"/>
  <c r="J180" i="71" s="1"/>
  <c r="W178" i="71"/>
  <c r="T178" i="71"/>
  <c r="O174" i="71" l="1"/>
  <c r="J175" i="71"/>
  <c r="W174" i="71"/>
  <c r="G174" i="71"/>
  <c r="X174" i="71" s="1"/>
  <c r="I174" i="71"/>
  <c r="T174" i="71"/>
  <c r="K174" i="71"/>
  <c r="Z174" i="71" s="1"/>
  <c r="G179" i="71"/>
  <c r="X179" i="71" s="1"/>
  <c r="K179" i="71"/>
  <c r="Z179" i="71" s="1"/>
  <c r="U179" i="71"/>
  <c r="O179" i="71"/>
  <c r="W179" i="71"/>
  <c r="I179" i="71"/>
  <c r="Y179" i="71" s="1"/>
  <c r="T179" i="71"/>
  <c r="V179" i="71" l="1"/>
  <c r="V174" i="71"/>
  <c r="Y174" i="71"/>
  <c r="Q179" i="71"/>
  <c r="M179" i="71" s="1"/>
  <c r="AA179" i="71" s="1"/>
  <c r="Q174" i="71"/>
  <c r="M174" i="71" s="1"/>
  <c r="AE179" i="71" l="1"/>
  <c r="AF179" i="71" s="1"/>
  <c r="AH179" i="71" s="1"/>
  <c r="R179" i="71"/>
  <c r="AI179" i="71" s="1"/>
  <c r="AA174" i="71"/>
  <c r="AD174" i="71" s="1"/>
  <c r="AK172" i="71" s="1"/>
  <c r="R174" i="71"/>
  <c r="AD179" i="71"/>
  <c r="AK177" i="71" s="1"/>
  <c r="AQ179" i="71" l="1"/>
  <c r="AR179" i="71" s="1"/>
  <c r="AJ177" i="71"/>
  <c r="AK178" i="71" s="1"/>
  <c r="AE174" i="71"/>
  <c r="AQ174" i="71" s="1"/>
  <c r="AJ174" i="71"/>
  <c r="AI174" i="71"/>
  <c r="AJ172" i="71"/>
  <c r="AK173" i="71" s="1"/>
  <c r="AJ179" i="71"/>
  <c r="AV179" i="71" l="1"/>
  <c r="AW179" i="71" s="1"/>
  <c r="AF174" i="71"/>
  <c r="AH174" i="71" s="1"/>
  <c r="AR174" i="71"/>
  <c r="AV174" i="71"/>
  <c r="AW174" i="71" s="1"/>
  <c r="F170" i="71" l="1"/>
  <c r="G170" i="71" s="1"/>
  <c r="X170" i="71" s="1"/>
  <c r="F169" i="71"/>
  <c r="I169" i="71" s="1"/>
  <c r="Y169" i="71" s="1"/>
  <c r="W168" i="71"/>
  <c r="T168" i="71"/>
  <c r="T169" i="71" l="1"/>
  <c r="G169" i="71"/>
  <c r="X169" i="71" s="1"/>
  <c r="K169" i="71"/>
  <c r="Z169" i="71" s="1"/>
  <c r="U169" i="71"/>
  <c r="V169" i="71"/>
  <c r="J170" i="71"/>
  <c r="O169" i="71"/>
  <c r="W169" i="71"/>
  <c r="Q169" i="71" l="1"/>
  <c r="M169" i="71" s="1"/>
  <c r="AA169" i="71" s="1"/>
  <c r="AE169" i="71" s="1"/>
  <c r="AQ169" i="71" l="1"/>
  <c r="AF169" i="71"/>
  <c r="AH169" i="71" s="1"/>
  <c r="R169" i="71"/>
  <c r="AD169" i="71"/>
  <c r="AK167" i="71" s="1"/>
  <c r="AI169" i="71" l="1"/>
  <c r="AJ169" i="71"/>
  <c r="AJ167" i="71"/>
  <c r="AK168" i="71" s="1"/>
  <c r="AR169" i="71"/>
  <c r="AV169" i="71"/>
  <c r="AW169" i="71" s="1"/>
  <c r="F160" i="71" l="1"/>
  <c r="G160" i="71" s="1"/>
  <c r="X160" i="71" s="1"/>
  <c r="F159" i="71"/>
  <c r="U159" i="71" s="1"/>
  <c r="W158" i="71"/>
  <c r="T158" i="71"/>
  <c r="F165" i="71"/>
  <c r="G165" i="71" s="1"/>
  <c r="X165" i="71" s="1"/>
  <c r="F164" i="71"/>
  <c r="W163" i="71"/>
  <c r="T163" i="71"/>
  <c r="F155" i="71"/>
  <c r="G155" i="71" s="1"/>
  <c r="X155" i="71" s="1"/>
  <c r="F154" i="71"/>
  <c r="J155" i="71" s="1"/>
  <c r="W153" i="71"/>
  <c r="T153" i="71"/>
  <c r="K159" i="71" l="1"/>
  <c r="Z159" i="71" s="1"/>
  <c r="G159" i="71"/>
  <c r="X159" i="71" s="1"/>
  <c r="I159" i="71"/>
  <c r="Y159" i="71" s="1"/>
  <c r="T159" i="71"/>
  <c r="J160" i="71"/>
  <c r="O159" i="71"/>
  <c r="W159" i="71"/>
  <c r="G164" i="71"/>
  <c r="I164" i="71"/>
  <c r="Y164" i="71" s="1"/>
  <c r="T164" i="71"/>
  <c r="K164" i="71"/>
  <c r="Z164" i="71" s="1"/>
  <c r="U164" i="71"/>
  <c r="J165" i="71"/>
  <c r="O164" i="71"/>
  <c r="W164" i="71"/>
  <c r="G154" i="71"/>
  <c r="X154" i="71" s="1"/>
  <c r="I154" i="71"/>
  <c r="Y154" i="71" s="1"/>
  <c r="O154" i="71"/>
  <c r="T154" i="71"/>
  <c r="W154" i="71"/>
  <c r="K154" i="71"/>
  <c r="Z154" i="71" s="1"/>
  <c r="U154" i="71"/>
  <c r="V164" i="71" l="1"/>
  <c r="Q159" i="71"/>
  <c r="M159" i="71" s="1"/>
  <c r="V159" i="71"/>
  <c r="X164" i="71"/>
  <c r="Q164" i="71"/>
  <c r="M164" i="71" s="1"/>
  <c r="AA164" i="71" s="1"/>
  <c r="Q154" i="71"/>
  <c r="M154" i="71" s="1"/>
  <c r="AA154" i="71" s="1"/>
  <c r="V154" i="71"/>
  <c r="AD164" i="71" l="1"/>
  <c r="AK162" i="71" s="1"/>
  <c r="AA159" i="71"/>
  <c r="AE159" i="71" s="1"/>
  <c r="R159" i="71"/>
  <c r="AE164" i="71"/>
  <c r="AQ164" i="71" s="1"/>
  <c r="R164" i="71"/>
  <c r="R154" i="71"/>
  <c r="AJ152" i="71" s="1"/>
  <c r="AD154" i="71"/>
  <c r="AK152" i="71" s="1"/>
  <c r="AE154" i="71"/>
  <c r="AF164" i="71" l="1"/>
  <c r="AH164" i="71" s="1"/>
  <c r="AD159" i="71"/>
  <c r="AK157" i="71" s="1"/>
  <c r="AQ159" i="71"/>
  <c r="AF159" i="71"/>
  <c r="AH159" i="71" s="1"/>
  <c r="AI159" i="71"/>
  <c r="AJ157" i="71"/>
  <c r="AJ164" i="71"/>
  <c r="AI164" i="71"/>
  <c r="AJ162" i="71"/>
  <c r="AK163" i="71" s="1"/>
  <c r="AR164" i="71"/>
  <c r="AV164" i="71"/>
  <c r="AW164" i="71" s="1"/>
  <c r="AK153" i="71"/>
  <c r="AI154" i="71"/>
  <c r="AJ154" i="71"/>
  <c r="AF154" i="71"/>
  <c r="AH154" i="71" s="1"/>
  <c r="AQ154" i="71"/>
  <c r="AJ159" i="71" l="1"/>
  <c r="AK158" i="71"/>
  <c r="AR159" i="71"/>
  <c r="AV159" i="71"/>
  <c r="AW159" i="71" s="1"/>
  <c r="AR154" i="71"/>
  <c r="AV154" i="71"/>
  <c r="AW154" i="71" s="1"/>
  <c r="F150" i="71" l="1"/>
  <c r="G150" i="71" s="1"/>
  <c r="X150" i="71" s="1"/>
  <c r="F149" i="71"/>
  <c r="J150" i="71" s="1"/>
  <c r="W148" i="71"/>
  <c r="T148" i="71"/>
  <c r="W149" i="71" l="1"/>
  <c r="I149" i="71"/>
  <c r="Y149" i="71" s="1"/>
  <c r="O149" i="71"/>
  <c r="T149" i="71"/>
  <c r="G149" i="71"/>
  <c r="X149" i="71" s="1"/>
  <c r="K149" i="71"/>
  <c r="Z149" i="71" s="1"/>
  <c r="U149" i="71"/>
  <c r="V149" i="71" l="1"/>
  <c r="Q149" i="71"/>
  <c r="M149" i="71" s="1"/>
  <c r="AA149" i="71" s="1"/>
  <c r="AE149" i="71" l="1"/>
  <c r="AQ149" i="71" s="1"/>
  <c r="AD149" i="71"/>
  <c r="AK147" i="71" s="1"/>
  <c r="R149" i="71"/>
  <c r="AF149" i="71" l="1"/>
  <c r="AH149" i="71" s="1"/>
  <c r="AJ149" i="71"/>
  <c r="AI149" i="71"/>
  <c r="AJ147" i="71"/>
  <c r="AK148" i="71" s="1"/>
  <c r="AV149" i="71"/>
  <c r="AW149" i="71" s="1"/>
  <c r="AR149" i="71"/>
  <c r="F36" i="74" l="1"/>
  <c r="G36" i="74" s="1"/>
  <c r="X36" i="74" s="1"/>
  <c r="F35" i="74"/>
  <c r="U35" i="74" s="1"/>
  <c r="W34" i="74"/>
  <c r="T34" i="74"/>
  <c r="I35" i="74" l="1"/>
  <c r="Y35" i="74" s="1"/>
  <c r="K35" i="74"/>
  <c r="Z35" i="74" s="1"/>
  <c r="J36" i="74"/>
  <c r="O35" i="74"/>
  <c r="T35" i="74"/>
  <c r="W35" i="74"/>
  <c r="V35" i="74"/>
  <c r="G35" i="74"/>
  <c r="X35" i="74" s="1"/>
  <c r="Q35" i="74" l="1"/>
  <c r="M35" i="74" s="1"/>
  <c r="AA35" i="74" s="1"/>
  <c r="AD35" i="74" s="1"/>
  <c r="AK33" i="74" s="1"/>
  <c r="R35" i="74" l="1"/>
  <c r="AI35" i="74" s="1"/>
  <c r="AJ33" i="74"/>
  <c r="AK34" i="74" s="1"/>
  <c r="AJ35" i="74"/>
  <c r="AE35" i="74"/>
  <c r="AF35" i="74" l="1"/>
  <c r="AH35" i="74" s="1"/>
  <c r="AQ35" i="74"/>
  <c r="AV35" i="74" l="1"/>
  <c r="AW35" i="74" s="1"/>
  <c r="AR35" i="74"/>
  <c r="F300" i="71" l="1"/>
  <c r="G300" i="71" s="1"/>
  <c r="X300" i="71" s="1"/>
  <c r="F299" i="71"/>
  <c r="W298" i="71"/>
  <c r="T298" i="71"/>
  <c r="G299" i="71" l="1"/>
  <c r="X299" i="71" s="1"/>
  <c r="K299" i="71"/>
  <c r="Z299" i="71" s="1"/>
  <c r="U299" i="71"/>
  <c r="T299" i="71"/>
  <c r="J300" i="71"/>
  <c r="I299" i="71"/>
  <c r="Y299" i="71" s="1"/>
  <c r="O299" i="71"/>
  <c r="W299" i="71"/>
  <c r="Q299" i="71" l="1"/>
  <c r="M299" i="71" s="1"/>
  <c r="V299" i="71"/>
  <c r="AA299" i="71" l="1"/>
  <c r="AE299" i="71" s="1"/>
  <c r="R299" i="71"/>
  <c r="AD299" i="71" l="1"/>
  <c r="AK297" i="71" s="1"/>
  <c r="AQ299" i="71"/>
  <c r="AF299" i="71"/>
  <c r="AH299" i="71" s="1"/>
  <c r="AI299" i="71"/>
  <c r="AJ297" i="71"/>
  <c r="AK298" i="71" l="1"/>
  <c r="AJ299" i="71"/>
  <c r="AR299" i="71"/>
  <c r="AV299" i="71"/>
  <c r="AW299" i="71" s="1"/>
  <c r="F31" i="74" l="1"/>
  <c r="G31" i="74" s="1"/>
  <c r="X31" i="74" s="1"/>
  <c r="F30" i="74"/>
  <c r="J31" i="74" s="1"/>
  <c r="W29" i="74"/>
  <c r="T29" i="74"/>
  <c r="F26" i="74"/>
  <c r="G26" i="74" s="1"/>
  <c r="X26" i="74" s="1"/>
  <c r="F25" i="74"/>
  <c r="W24" i="74"/>
  <c r="T24" i="74"/>
  <c r="K30" i="74" l="1"/>
  <c r="Z30" i="74" s="1"/>
  <c r="O30" i="74"/>
  <c r="U30" i="74"/>
  <c r="W30" i="74"/>
  <c r="G30" i="74"/>
  <c r="X30" i="74" s="1"/>
  <c r="I30" i="74"/>
  <c r="T30" i="74"/>
  <c r="I25" i="74"/>
  <c r="Y25" i="74" s="1"/>
  <c r="T25" i="74"/>
  <c r="K25" i="74"/>
  <c r="Z25" i="74" s="1"/>
  <c r="U25" i="74"/>
  <c r="J26" i="74"/>
  <c r="G25" i="74"/>
  <c r="X25" i="74" s="1"/>
  <c r="O25" i="74"/>
  <c r="W25" i="74"/>
  <c r="V30" i="74" l="1"/>
  <c r="Y30" i="74"/>
  <c r="Q30" i="74"/>
  <c r="M30" i="74" s="1"/>
  <c r="AA30" i="74" s="1"/>
  <c r="Q25" i="74"/>
  <c r="M25" i="74" s="1"/>
  <c r="V25" i="74"/>
  <c r="R30" i="74" l="1"/>
  <c r="AE30" i="74"/>
  <c r="AQ30" i="74" s="1"/>
  <c r="AD30" i="74"/>
  <c r="AK28" i="74" s="1"/>
  <c r="AJ30" i="74"/>
  <c r="AI30" i="74"/>
  <c r="AJ28" i="74"/>
  <c r="AA25" i="74"/>
  <c r="AD25" i="74" s="1"/>
  <c r="AK23" i="74" s="1"/>
  <c r="R25" i="74"/>
  <c r="AK29" i="74" l="1"/>
  <c r="AF30" i="74"/>
  <c r="AH30" i="74" s="1"/>
  <c r="AR30" i="74"/>
  <c r="AV30" i="74"/>
  <c r="AW30" i="74" s="1"/>
  <c r="AJ25" i="74"/>
  <c r="AI25" i="74"/>
  <c r="AJ23" i="74"/>
  <c r="AK24" i="74" s="1"/>
  <c r="AE25" i="74"/>
  <c r="AQ25" i="74" l="1"/>
  <c r="AF25" i="74"/>
  <c r="AH25" i="74" s="1"/>
  <c r="AR25" i="74" l="1"/>
  <c r="AV25" i="74"/>
  <c r="AW25" i="74" s="1"/>
  <c r="F293" i="71" l="1"/>
  <c r="G293" i="71" s="1"/>
  <c r="X293" i="71" s="1"/>
  <c r="F292" i="71"/>
  <c r="I292" i="71" s="1"/>
  <c r="Y292" i="71" s="1"/>
  <c r="W291" i="71"/>
  <c r="T291" i="71"/>
  <c r="T292" i="71" l="1"/>
  <c r="G292" i="71"/>
  <c r="X292" i="71" s="1"/>
  <c r="K292" i="71"/>
  <c r="Z292" i="71" s="1"/>
  <c r="U292" i="71"/>
  <c r="V292" i="71"/>
  <c r="J293" i="71"/>
  <c r="O292" i="71"/>
  <c r="W292" i="71"/>
  <c r="Q292" i="71" l="1"/>
  <c r="M292" i="71" s="1"/>
  <c r="AA292" i="71" l="1"/>
  <c r="R292" i="71"/>
  <c r="AI292" i="71" l="1"/>
  <c r="AJ290" i="71"/>
  <c r="AE292" i="71"/>
  <c r="AD292" i="71"/>
  <c r="AK290" i="71" s="1"/>
  <c r="AK291" i="71" l="1"/>
  <c r="AQ292" i="71"/>
  <c r="AF292" i="71"/>
  <c r="AH292" i="71" s="1"/>
  <c r="AJ292" i="71"/>
  <c r="AR292" i="71" l="1"/>
  <c r="AV292" i="71"/>
  <c r="AW292" i="71" s="1"/>
  <c r="F48" i="74" l="1"/>
  <c r="G48" i="74" s="1"/>
  <c r="X48" i="74" s="1"/>
  <c r="F47" i="74"/>
  <c r="W46" i="74"/>
  <c r="T46" i="74"/>
  <c r="F43" i="74"/>
  <c r="G43" i="74" s="1"/>
  <c r="X43" i="74" s="1"/>
  <c r="F42" i="74"/>
  <c r="U42" i="74" s="1"/>
  <c r="W41" i="74"/>
  <c r="T41" i="74"/>
  <c r="F21" i="74"/>
  <c r="G21" i="74" s="1"/>
  <c r="X21" i="74" s="1"/>
  <c r="F20" i="74"/>
  <c r="K20" i="74" s="1"/>
  <c r="Z20" i="74" s="1"/>
  <c r="W19" i="74"/>
  <c r="T19" i="74"/>
  <c r="F16" i="74"/>
  <c r="G16" i="74" s="1"/>
  <c r="X16" i="74" s="1"/>
  <c r="F15" i="74"/>
  <c r="K15" i="74" s="1"/>
  <c r="Z15" i="74" s="1"/>
  <c r="W14" i="74"/>
  <c r="T14" i="74"/>
  <c r="W47" i="74" l="1"/>
  <c r="T47" i="74"/>
  <c r="U47" i="74"/>
  <c r="I47" i="74"/>
  <c r="V47" i="74" s="1"/>
  <c r="K47" i="74"/>
  <c r="Z47" i="74" s="1"/>
  <c r="J48" i="74"/>
  <c r="O47" i="74"/>
  <c r="G47" i="74"/>
  <c r="X47" i="74" s="1"/>
  <c r="I15" i="74"/>
  <c r="Y15" i="74" s="1"/>
  <c r="J21" i="74"/>
  <c r="O20" i="74"/>
  <c r="T42" i="74"/>
  <c r="W20" i="74"/>
  <c r="U20" i="74"/>
  <c r="W42" i="74"/>
  <c r="I20" i="74"/>
  <c r="Y20" i="74" s="1"/>
  <c r="I42" i="74"/>
  <c r="Y42" i="74" s="1"/>
  <c r="G20" i="74"/>
  <c r="X20" i="74" s="1"/>
  <c r="J43" i="74"/>
  <c r="T15" i="74"/>
  <c r="O42" i="74"/>
  <c r="T20" i="74"/>
  <c r="G15" i="74"/>
  <c r="W15" i="74"/>
  <c r="O15" i="74"/>
  <c r="J16" i="74"/>
  <c r="U15" i="74"/>
  <c r="G42" i="74"/>
  <c r="X42" i="74" s="1"/>
  <c r="K42" i="74"/>
  <c r="Z42" i="74" s="1"/>
  <c r="Y47" i="74" l="1"/>
  <c r="Q47" i="74"/>
  <c r="M47" i="74" s="1"/>
  <c r="AA47" i="74" s="1"/>
  <c r="AE47" i="74" s="1"/>
  <c r="AF47" i="74" s="1"/>
  <c r="AH47" i="74" s="1"/>
  <c r="V15" i="74"/>
  <c r="V42" i="74"/>
  <c r="Q42" i="74"/>
  <c r="M42" i="74" s="1"/>
  <c r="AA42" i="74" s="1"/>
  <c r="Q20" i="74"/>
  <c r="M20" i="74" s="1"/>
  <c r="AA20" i="74" s="1"/>
  <c r="V20" i="74"/>
  <c r="X15" i="74"/>
  <c r="Q15" i="74"/>
  <c r="M15" i="74" s="1"/>
  <c r="AA15" i="74" s="1"/>
  <c r="AE15" i="74" l="1"/>
  <c r="AQ15" i="74" s="1"/>
  <c r="R47" i="74"/>
  <c r="AI47" i="74" s="1"/>
  <c r="AD47" i="74"/>
  <c r="AK45" i="74" s="1"/>
  <c r="AQ47" i="74"/>
  <c r="AR47" i="74" s="1"/>
  <c r="AJ45" i="74"/>
  <c r="R20" i="74"/>
  <c r="AJ18" i="74" s="1"/>
  <c r="AE42" i="74"/>
  <c r="AQ42" i="74" s="1"/>
  <c r="AR42" i="74" s="1"/>
  <c r="R42" i="74"/>
  <c r="AJ40" i="74" s="1"/>
  <c r="AD42" i="74"/>
  <c r="AK40" i="74" s="1"/>
  <c r="AD20" i="74"/>
  <c r="AK18" i="74" s="1"/>
  <c r="AE20" i="74"/>
  <c r="AF20" i="74" s="1"/>
  <c r="AH20" i="74" s="1"/>
  <c r="AD15" i="74"/>
  <c r="AK13" i="74" s="1"/>
  <c r="AF15" i="74"/>
  <c r="AH15" i="74" s="1"/>
  <c r="R15" i="74"/>
  <c r="AV47" i="74" l="1"/>
  <c r="AW47" i="74" s="1"/>
  <c r="AJ47" i="74"/>
  <c r="AK46" i="74"/>
  <c r="AI20" i="74"/>
  <c r="AV42" i="74"/>
  <c r="AW42" i="74" s="1"/>
  <c r="AK41" i="74"/>
  <c r="AI42" i="74"/>
  <c r="AF42" i="74"/>
  <c r="AH42" i="74" s="1"/>
  <c r="AJ42" i="74"/>
  <c r="AQ20" i="74"/>
  <c r="AV20" i="74" s="1"/>
  <c r="AW20" i="74" s="1"/>
  <c r="AJ20" i="74"/>
  <c r="AK19" i="74"/>
  <c r="AR15" i="74"/>
  <c r="AV15" i="74"/>
  <c r="AW15" i="74" s="1"/>
  <c r="AJ13" i="74"/>
  <c r="AK14" i="74" s="1"/>
  <c r="AI15" i="74"/>
  <c r="AJ15" i="74"/>
  <c r="AR20" i="74" l="1"/>
  <c r="F226" i="71" l="1"/>
  <c r="G226" i="71" s="1"/>
  <c r="X226" i="71" s="1"/>
  <c r="F225" i="71"/>
  <c r="J226" i="71" s="1"/>
  <c r="W224" i="71"/>
  <c r="T224" i="71"/>
  <c r="O225" i="71" l="1"/>
  <c r="W225" i="71"/>
  <c r="G225" i="71"/>
  <c r="X225" i="71" s="1"/>
  <c r="I225" i="71"/>
  <c r="Y225" i="71" s="1"/>
  <c r="T225" i="71"/>
  <c r="K225" i="71"/>
  <c r="Z225" i="71" s="1"/>
  <c r="U225" i="71"/>
  <c r="V225" i="71" l="1"/>
  <c r="Q225" i="71"/>
  <c r="M225" i="71" s="1"/>
  <c r="AA225" i="71" l="1"/>
  <c r="R225" i="71"/>
  <c r="AI225" i="71" l="1"/>
  <c r="AJ223" i="71"/>
  <c r="AD225" i="71"/>
  <c r="AK223" i="71" s="1"/>
  <c r="AE225" i="71"/>
  <c r="AQ225" i="71" l="1"/>
  <c r="AF225" i="71"/>
  <c r="AH225" i="71" s="1"/>
  <c r="AK224" i="71"/>
  <c r="AJ225" i="71"/>
  <c r="AR225" i="71" l="1"/>
  <c r="AV225" i="71"/>
  <c r="AW225" i="71" s="1"/>
  <c r="F216" i="71" l="1"/>
  <c r="G216" i="71" s="1"/>
  <c r="X216" i="71" s="1"/>
  <c r="F215" i="71"/>
  <c r="W214" i="71"/>
  <c r="T214" i="71"/>
  <c r="F221" i="71"/>
  <c r="G221" i="71" s="1"/>
  <c r="X221" i="71" s="1"/>
  <c r="F220" i="71"/>
  <c r="U220" i="71" s="1"/>
  <c r="W219" i="71"/>
  <c r="T219" i="71"/>
  <c r="G215" i="71" l="1"/>
  <c r="X215" i="71" s="1"/>
  <c r="I215" i="71"/>
  <c r="Y215" i="71" s="1"/>
  <c r="T215" i="71"/>
  <c r="K215" i="71"/>
  <c r="Z215" i="71" s="1"/>
  <c r="U215" i="71"/>
  <c r="J216" i="71"/>
  <c r="O215" i="71"/>
  <c r="W215" i="71"/>
  <c r="J221" i="71"/>
  <c r="O220" i="71"/>
  <c r="W220" i="71"/>
  <c r="G220" i="71"/>
  <c r="X220" i="71" s="1"/>
  <c r="I220" i="71"/>
  <c r="T220" i="71"/>
  <c r="K220" i="71"/>
  <c r="Z220" i="71" s="1"/>
  <c r="V215" i="71" l="1"/>
  <c r="Q215" i="71"/>
  <c r="M215" i="71" s="1"/>
  <c r="AA215" i="71" s="1"/>
  <c r="Q220" i="71"/>
  <c r="M220" i="71" s="1"/>
  <c r="AA220" i="71" s="1"/>
  <c r="Y220" i="71"/>
  <c r="V220" i="71"/>
  <c r="AE215" i="71" l="1"/>
  <c r="AQ215" i="71" s="1"/>
  <c r="R215" i="71"/>
  <c r="AD215" i="71"/>
  <c r="AK213" i="71" s="1"/>
  <c r="AE220" i="71"/>
  <c r="AQ220" i="71" s="1"/>
  <c r="R220" i="71"/>
  <c r="AD220" i="71"/>
  <c r="AF215" i="71" l="1"/>
  <c r="AH215" i="71" s="1"/>
  <c r="AJ215" i="71"/>
  <c r="AI215" i="71"/>
  <c r="AJ213" i="71"/>
  <c r="AK214" i="71" s="1"/>
  <c r="AR215" i="71"/>
  <c r="AV215" i="71"/>
  <c r="AW215" i="71" s="1"/>
  <c r="AF220" i="71"/>
  <c r="AH220" i="71" s="1"/>
  <c r="AI220" i="71"/>
  <c r="AJ218" i="71"/>
  <c r="AK218" i="71"/>
  <c r="AK219" i="71" s="1"/>
  <c r="AJ220" i="71"/>
  <c r="AV220" i="71"/>
  <c r="AW220" i="71" s="1"/>
  <c r="AR220" i="71"/>
  <c r="F245" i="71" l="1"/>
  <c r="G245" i="71" s="1"/>
  <c r="X245" i="71" s="1"/>
  <c r="F244" i="71"/>
  <c r="W243" i="71"/>
  <c r="T243" i="71"/>
  <c r="G244" i="71" l="1"/>
  <c r="X244" i="71" s="1"/>
  <c r="K244" i="71"/>
  <c r="Z244" i="71" s="1"/>
  <c r="U244" i="71"/>
  <c r="I244" i="71"/>
  <c r="Y244" i="71" s="1"/>
  <c r="T244" i="71"/>
  <c r="J245" i="71"/>
  <c r="O244" i="71"/>
  <c r="W244" i="71"/>
  <c r="V244" i="71" l="1"/>
  <c r="Q244" i="71"/>
  <c r="M244" i="71" s="1"/>
  <c r="AA244" i="71" s="1"/>
  <c r="AE244" i="71" l="1"/>
  <c r="AQ244" i="71" s="1"/>
  <c r="AD244" i="71"/>
  <c r="AK242" i="71" s="1"/>
  <c r="R244" i="71"/>
  <c r="AF244" i="71" l="1"/>
  <c r="AH244" i="71" s="1"/>
  <c r="AI244" i="71"/>
  <c r="AJ242" i="71"/>
  <c r="AK243" i="71" s="1"/>
  <c r="AJ244" i="71"/>
  <c r="AR244" i="71"/>
  <c r="AV244" i="71"/>
  <c r="AW244" i="71" s="1"/>
  <c r="F119" i="71" l="1"/>
  <c r="G119" i="71" s="1"/>
  <c r="X119" i="71" s="1"/>
  <c r="F118" i="71"/>
  <c r="W117" i="71"/>
  <c r="T117" i="71"/>
  <c r="F34" i="71"/>
  <c r="G34" i="71" s="1"/>
  <c r="F33" i="71"/>
  <c r="J34" i="71" s="1"/>
  <c r="T32" i="71"/>
  <c r="F287" i="71"/>
  <c r="G287" i="71" s="1"/>
  <c r="X287" i="71" s="1"/>
  <c r="F286" i="71"/>
  <c r="J287" i="71" s="1"/>
  <c r="W285" i="71"/>
  <c r="T285" i="71"/>
  <c r="F280" i="71"/>
  <c r="G280" i="71" s="1"/>
  <c r="X280" i="71" s="1"/>
  <c r="F279" i="71"/>
  <c r="W278" i="71"/>
  <c r="T278" i="71"/>
  <c r="F273" i="71"/>
  <c r="G273" i="71" s="1"/>
  <c r="X273" i="71" s="1"/>
  <c r="F272" i="71"/>
  <c r="U272" i="71" s="1"/>
  <c r="W271" i="71"/>
  <c r="T271" i="71"/>
  <c r="F266" i="71"/>
  <c r="G266" i="71" s="1"/>
  <c r="X266" i="71" s="1"/>
  <c r="F265" i="71"/>
  <c r="O265" i="71" s="1"/>
  <c r="W264" i="71"/>
  <c r="T264" i="71"/>
  <c r="F259" i="71"/>
  <c r="G259" i="71" s="1"/>
  <c r="X259" i="71" s="1"/>
  <c r="F258" i="71"/>
  <c r="J259" i="71" s="1"/>
  <c r="W257" i="71"/>
  <c r="T257" i="71"/>
  <c r="F252" i="71"/>
  <c r="G252" i="71" s="1"/>
  <c r="X252" i="71" s="1"/>
  <c r="F251" i="71"/>
  <c r="K251" i="71" s="1"/>
  <c r="Z251" i="71" s="1"/>
  <c r="W250" i="71"/>
  <c r="T250" i="71"/>
  <c r="F240" i="71"/>
  <c r="G240" i="71" s="1"/>
  <c r="X240" i="71" s="1"/>
  <c r="F239" i="71"/>
  <c r="J240" i="71" s="1"/>
  <c r="W238" i="71"/>
  <c r="T238" i="71"/>
  <c r="F233" i="71"/>
  <c r="G233" i="71" s="1"/>
  <c r="X233" i="71" s="1"/>
  <c r="F232" i="71"/>
  <c r="W231" i="71"/>
  <c r="T231" i="71"/>
  <c r="F211" i="71"/>
  <c r="G211" i="71" s="1"/>
  <c r="X211" i="71" s="1"/>
  <c r="F210" i="71"/>
  <c r="W209" i="71"/>
  <c r="T209" i="71"/>
  <c r="F138" i="71"/>
  <c r="G138" i="71" s="1"/>
  <c r="X138" i="71" s="1"/>
  <c r="F137" i="71"/>
  <c r="I137" i="71" s="1"/>
  <c r="Y137" i="71" s="1"/>
  <c r="W136" i="71"/>
  <c r="T136" i="71"/>
  <c r="F131" i="71"/>
  <c r="G131" i="71" s="1"/>
  <c r="X131" i="71" s="1"/>
  <c r="F130" i="71"/>
  <c r="I130" i="71" s="1"/>
  <c r="Y130" i="71" s="1"/>
  <c r="W129" i="71"/>
  <c r="T129" i="71"/>
  <c r="F114" i="71"/>
  <c r="G114" i="71" s="1"/>
  <c r="X114" i="71" s="1"/>
  <c r="F113" i="71"/>
  <c r="U113" i="71" s="1"/>
  <c r="W112" i="71"/>
  <c r="T112" i="71"/>
  <c r="F66" i="71"/>
  <c r="G66" i="71" s="1"/>
  <c r="X66" i="71" s="1"/>
  <c r="F65" i="71"/>
  <c r="W64" i="71"/>
  <c r="T64" i="71"/>
  <c r="F59" i="71"/>
  <c r="G59" i="71" s="1"/>
  <c r="X59" i="71" s="1"/>
  <c r="F58" i="71"/>
  <c r="W57" i="71"/>
  <c r="T57" i="71"/>
  <c r="F29" i="71"/>
  <c r="G29" i="71" s="1"/>
  <c r="F28" i="71"/>
  <c r="J29" i="71" s="1"/>
  <c r="T27" i="71"/>
  <c r="F22" i="71"/>
  <c r="G22" i="71" s="1"/>
  <c r="X22" i="71" s="1"/>
  <c r="F21" i="71"/>
  <c r="I21" i="71" s="1"/>
  <c r="Y21" i="71" s="1"/>
  <c r="W20" i="71"/>
  <c r="T20" i="71"/>
  <c r="F15" i="71"/>
  <c r="G15" i="71" s="1"/>
  <c r="X15" i="71" s="1"/>
  <c r="F14" i="71"/>
  <c r="G14" i="71" s="1"/>
  <c r="W13" i="71"/>
  <c r="T13" i="71"/>
  <c r="T286" i="71" l="1"/>
  <c r="W130" i="71"/>
  <c r="W258" i="71"/>
  <c r="W14" i="71"/>
  <c r="W286" i="71"/>
  <c r="U251" i="71"/>
  <c r="G21" i="71"/>
  <c r="X21" i="71" s="1"/>
  <c r="AN21" i="71" s="1"/>
  <c r="O14" i="71"/>
  <c r="U14" i="71"/>
  <c r="T251" i="71"/>
  <c r="T14" i="71"/>
  <c r="O239" i="71"/>
  <c r="T28" i="71"/>
  <c r="W272" i="71"/>
  <c r="O28" i="71"/>
  <c r="T239" i="71"/>
  <c r="W137" i="71"/>
  <c r="K258" i="71"/>
  <c r="Z258" i="71" s="1"/>
  <c r="K286" i="71"/>
  <c r="Z286" i="71" s="1"/>
  <c r="K33" i="71"/>
  <c r="Z33" i="71" s="1"/>
  <c r="I118" i="71"/>
  <c r="Y118" i="71" s="1"/>
  <c r="T118" i="71"/>
  <c r="T33" i="71"/>
  <c r="K118" i="71"/>
  <c r="Z118" i="71" s="1"/>
  <c r="U118" i="71"/>
  <c r="W210" i="71"/>
  <c r="I33" i="71"/>
  <c r="Y33" i="71" s="1"/>
  <c r="G118" i="71"/>
  <c r="X118" i="71" s="1"/>
  <c r="I14" i="71"/>
  <c r="Y14" i="71" s="1"/>
  <c r="U130" i="71"/>
  <c r="J138" i="71"/>
  <c r="G239" i="71"/>
  <c r="X239" i="71" s="1"/>
  <c r="G258" i="71"/>
  <c r="X258" i="71" s="1"/>
  <c r="W265" i="71"/>
  <c r="O272" i="71"/>
  <c r="G286" i="71"/>
  <c r="X286" i="71" s="1"/>
  <c r="U33" i="71"/>
  <c r="J119" i="71"/>
  <c r="K14" i="71"/>
  <c r="Z14" i="71" s="1"/>
  <c r="T65" i="71"/>
  <c r="K239" i="71"/>
  <c r="Z239" i="71" s="1"/>
  <c r="I258" i="71"/>
  <c r="I286" i="71"/>
  <c r="Y286" i="71" s="1"/>
  <c r="O118" i="71"/>
  <c r="W118" i="71"/>
  <c r="V21" i="71"/>
  <c r="T58" i="71"/>
  <c r="I265" i="71"/>
  <c r="Y265" i="71" s="1"/>
  <c r="G28" i="71"/>
  <c r="X28" i="71" s="1"/>
  <c r="AN28" i="71" s="1"/>
  <c r="W28" i="71"/>
  <c r="I28" i="71"/>
  <c r="Y28" i="71" s="1"/>
  <c r="K58" i="71"/>
  <c r="Z58" i="71" s="1"/>
  <c r="K130" i="71"/>
  <c r="Z130" i="71" s="1"/>
  <c r="O137" i="71"/>
  <c r="W239" i="71"/>
  <c r="O258" i="71"/>
  <c r="T265" i="71"/>
  <c r="T272" i="71"/>
  <c r="V130" i="71"/>
  <c r="J266" i="71"/>
  <c r="U28" i="71"/>
  <c r="G130" i="71"/>
  <c r="X130" i="71" s="1"/>
  <c r="I58" i="71"/>
  <c r="Y58" i="71" s="1"/>
  <c r="K28" i="71"/>
  <c r="Z28" i="71" s="1"/>
  <c r="U58" i="71"/>
  <c r="T130" i="71"/>
  <c r="O130" i="71"/>
  <c r="J131" i="71"/>
  <c r="T137" i="71"/>
  <c r="I239" i="71"/>
  <c r="Y239" i="71" s="1"/>
  <c r="U258" i="71"/>
  <c r="K272" i="71"/>
  <c r="Z272" i="71" s="1"/>
  <c r="U286" i="71"/>
  <c r="G33" i="71"/>
  <c r="X33" i="71" s="1"/>
  <c r="AN33" i="71" s="1"/>
  <c r="U239" i="71"/>
  <c r="T258" i="71"/>
  <c r="O286" i="71"/>
  <c r="O33" i="71"/>
  <c r="W33" i="71"/>
  <c r="J66" i="71"/>
  <c r="W65" i="71"/>
  <c r="O65" i="71"/>
  <c r="G65" i="71"/>
  <c r="X65" i="71" s="1"/>
  <c r="AN65" i="71" s="1"/>
  <c r="J280" i="71"/>
  <c r="I65" i="71"/>
  <c r="Y65" i="71" s="1"/>
  <c r="W113" i="71"/>
  <c r="O113" i="71"/>
  <c r="J114" i="71"/>
  <c r="G113" i="71"/>
  <c r="T210" i="71"/>
  <c r="I210" i="71"/>
  <c r="Y210" i="71" s="1"/>
  <c r="G210" i="71"/>
  <c r="J211" i="71"/>
  <c r="K65" i="71"/>
  <c r="Z65" i="71" s="1"/>
  <c r="I113" i="71"/>
  <c r="Y113" i="71" s="1"/>
  <c r="K210" i="71"/>
  <c r="Z210" i="71" s="1"/>
  <c r="U232" i="71"/>
  <c r="K232" i="71"/>
  <c r="Z232" i="71" s="1"/>
  <c r="T232" i="71"/>
  <c r="I232" i="71"/>
  <c r="W232" i="71"/>
  <c r="O232" i="71"/>
  <c r="W251" i="71"/>
  <c r="O251" i="71"/>
  <c r="J252" i="71"/>
  <c r="G251" i="71"/>
  <c r="X251" i="71" s="1"/>
  <c r="U279" i="71"/>
  <c r="K279" i="71"/>
  <c r="Z279" i="71" s="1"/>
  <c r="T279" i="71"/>
  <c r="I279" i="71"/>
  <c r="Y279" i="71" s="1"/>
  <c r="G279" i="71"/>
  <c r="X279" i="71" s="1"/>
  <c r="W279" i="71"/>
  <c r="O279" i="71"/>
  <c r="J15" i="71"/>
  <c r="X14" i="71"/>
  <c r="AN14" i="71" s="1"/>
  <c r="U21" i="71"/>
  <c r="K21" i="71"/>
  <c r="Z21" i="71" s="1"/>
  <c r="J22" i="71"/>
  <c r="W21" i="71"/>
  <c r="O21" i="71"/>
  <c r="T21" i="71"/>
  <c r="K113" i="71"/>
  <c r="Z113" i="71" s="1"/>
  <c r="O210" i="71"/>
  <c r="G232" i="71"/>
  <c r="I251" i="71"/>
  <c r="Y251" i="71" s="1"/>
  <c r="J59" i="71"/>
  <c r="W58" i="71"/>
  <c r="O58" i="71"/>
  <c r="G58" i="71"/>
  <c r="X58" i="71" s="1"/>
  <c r="AN58" i="71" s="1"/>
  <c r="U65" i="71"/>
  <c r="T113" i="71"/>
  <c r="V137" i="71"/>
  <c r="U210" i="71"/>
  <c r="J233" i="71"/>
  <c r="K137" i="71"/>
  <c r="Z137" i="71" s="1"/>
  <c r="U137" i="71"/>
  <c r="K265" i="71"/>
  <c r="Z265" i="71" s="1"/>
  <c r="U265" i="71"/>
  <c r="J273" i="71"/>
  <c r="G272" i="71"/>
  <c r="X272" i="71" s="1"/>
  <c r="G137" i="71"/>
  <c r="X137" i="71" s="1"/>
  <c r="G265" i="71"/>
  <c r="X265" i="71" s="1"/>
  <c r="I272" i="71"/>
  <c r="Y272" i="71" s="1"/>
  <c r="Q14" i="71" l="1"/>
  <c r="M14" i="71" s="1"/>
  <c r="AA14" i="71" s="1"/>
  <c r="V28" i="71"/>
  <c r="V118" i="71"/>
  <c r="V286" i="71"/>
  <c r="Q286" i="71"/>
  <c r="M286" i="71" s="1"/>
  <c r="AA286" i="71" s="1"/>
  <c r="V14" i="71"/>
  <c r="V210" i="71"/>
  <c r="Q258" i="71"/>
  <c r="M258" i="71" s="1"/>
  <c r="R258" i="71" s="1"/>
  <c r="AI258" i="71" s="1"/>
  <c r="V58" i="71"/>
  <c r="Q28" i="71"/>
  <c r="M28" i="71" s="1"/>
  <c r="R28" i="71" s="1"/>
  <c r="Q118" i="71"/>
  <c r="M118" i="71" s="1"/>
  <c r="Y258" i="71"/>
  <c r="V258" i="71"/>
  <c r="V33" i="71"/>
  <c r="Q251" i="71"/>
  <c r="M251" i="71" s="1"/>
  <c r="AA251" i="71" s="1"/>
  <c r="Q232" i="71"/>
  <c r="M232" i="71" s="1"/>
  <c r="AA232" i="71" s="1"/>
  <c r="Q33" i="71"/>
  <c r="M33" i="71" s="1"/>
  <c r="Q265" i="71"/>
  <c r="M265" i="71" s="1"/>
  <c r="AA265" i="71" s="1"/>
  <c r="Q239" i="71"/>
  <c r="M239" i="71" s="1"/>
  <c r="AA239" i="71" s="1"/>
  <c r="Q65" i="71"/>
  <c r="M65" i="71" s="1"/>
  <c r="AA65" i="71" s="1"/>
  <c r="Q279" i="71"/>
  <c r="M279" i="71" s="1"/>
  <c r="AA279" i="71" s="1"/>
  <c r="V239" i="71"/>
  <c r="Q130" i="71"/>
  <c r="M130" i="71" s="1"/>
  <c r="AA130" i="71" s="1"/>
  <c r="AD130" i="71" s="1"/>
  <c r="AK128" i="71" s="1"/>
  <c r="V265" i="71"/>
  <c r="Q137" i="71"/>
  <c r="M137" i="71" s="1"/>
  <c r="AA137" i="71" s="1"/>
  <c r="AE137" i="71" s="1"/>
  <c r="V272" i="71"/>
  <c r="V113" i="71"/>
  <c r="V65" i="71"/>
  <c r="Q272" i="71"/>
  <c r="M272" i="71" s="1"/>
  <c r="AA272" i="71" s="1"/>
  <c r="Y232" i="71"/>
  <c r="V232" i="71"/>
  <c r="V279" i="71"/>
  <c r="X232" i="71"/>
  <c r="Q58" i="71"/>
  <c r="M58" i="71" s="1"/>
  <c r="AA58" i="71" s="1"/>
  <c r="V251" i="71"/>
  <c r="Q21" i="71"/>
  <c r="M21" i="71" s="1"/>
  <c r="AA21" i="71" s="1"/>
  <c r="AE21" i="71" s="1"/>
  <c r="Q210" i="71"/>
  <c r="M210" i="71" s="1"/>
  <c r="AA210" i="71" s="1"/>
  <c r="X210" i="71"/>
  <c r="Q113" i="71"/>
  <c r="M113" i="71" s="1"/>
  <c r="X113" i="71"/>
  <c r="AE58" i="71" l="1"/>
  <c r="AF58" i="71" s="1"/>
  <c r="AH58" i="71" s="1"/>
  <c r="AE14" i="71"/>
  <c r="R14" i="71"/>
  <c r="AD14" i="71"/>
  <c r="AK12" i="71" s="1"/>
  <c r="AD58" i="71"/>
  <c r="AK56" i="71" s="1"/>
  <c r="R251" i="71"/>
  <c r="AI251" i="71" s="1"/>
  <c r="AE286" i="71"/>
  <c r="AQ286" i="71" s="1"/>
  <c r="R279" i="71"/>
  <c r="AI279" i="71" s="1"/>
  <c r="R286" i="71"/>
  <c r="AJ284" i="71" s="1"/>
  <c r="AE239" i="71"/>
  <c r="AQ239" i="71" s="1"/>
  <c r="AD286" i="71"/>
  <c r="AK284" i="71" s="1"/>
  <c r="AA258" i="71"/>
  <c r="AD258" i="71" s="1"/>
  <c r="AK256" i="71" s="1"/>
  <c r="AD21" i="71"/>
  <c r="AK19" i="71" s="1"/>
  <c r="R130" i="71"/>
  <c r="AI130" i="71" s="1"/>
  <c r="AA28" i="71"/>
  <c r="AD28" i="71" s="1"/>
  <c r="AK26" i="71" s="1"/>
  <c r="AJ256" i="71"/>
  <c r="R239" i="71"/>
  <c r="AI239" i="71" s="1"/>
  <c r="AD265" i="71"/>
  <c r="AK263" i="71" s="1"/>
  <c r="AA118" i="71"/>
  <c r="R118" i="71"/>
  <c r="AE130" i="71"/>
  <c r="AF130" i="71" s="1"/>
  <c r="AH130" i="71" s="1"/>
  <c r="AD239" i="71"/>
  <c r="AK237" i="71" s="1"/>
  <c r="R232" i="71"/>
  <c r="AI232" i="71" s="1"/>
  <c r="AE265" i="71"/>
  <c r="AF265" i="71" s="1"/>
  <c r="AH265" i="71" s="1"/>
  <c r="AD232" i="71"/>
  <c r="AK230" i="71" s="1"/>
  <c r="R265" i="71"/>
  <c r="AJ263" i="71" s="1"/>
  <c r="AD210" i="71"/>
  <c r="AK208" i="71" s="1"/>
  <c r="R65" i="71"/>
  <c r="AI65" i="71" s="1"/>
  <c r="AA33" i="71"/>
  <c r="R33" i="71"/>
  <c r="R272" i="71"/>
  <c r="AI272" i="71" s="1"/>
  <c r="AD65" i="71"/>
  <c r="AK63" i="71" s="1"/>
  <c r="AD137" i="71"/>
  <c r="AK135" i="71" s="1"/>
  <c r="AE279" i="71"/>
  <c r="AF279" i="71" s="1"/>
  <c r="AH279" i="71" s="1"/>
  <c r="AF137" i="71"/>
  <c r="AH137" i="71" s="1"/>
  <c r="AQ137" i="71"/>
  <c r="AJ26" i="71"/>
  <c r="AI28" i="71"/>
  <c r="AQ21" i="71"/>
  <c r="AF21" i="71"/>
  <c r="AH21" i="71" s="1"/>
  <c r="AQ14" i="71"/>
  <c r="AF14" i="71"/>
  <c r="AH14" i="71" s="1"/>
  <c r="AE251" i="71"/>
  <c r="AD251" i="71"/>
  <c r="AK249" i="71" s="1"/>
  <c r="R21" i="71"/>
  <c r="AE272" i="71"/>
  <c r="AD272" i="71"/>
  <c r="AK270" i="71" s="1"/>
  <c r="R210" i="71"/>
  <c r="AD279" i="71"/>
  <c r="AK277" i="71" s="1"/>
  <c r="AA113" i="71"/>
  <c r="AD113" i="71" s="1"/>
  <c r="AK111" i="71" s="1"/>
  <c r="R113" i="71"/>
  <c r="R137" i="71"/>
  <c r="AE210" i="71"/>
  <c r="AE232" i="71"/>
  <c r="R58" i="71"/>
  <c r="AE65" i="71"/>
  <c r="AQ58" i="71" l="1"/>
  <c r="AR58" i="71" s="1"/>
  <c r="AJ130" i="71"/>
  <c r="AJ249" i="71"/>
  <c r="AJ277" i="71"/>
  <c r="AK278" i="71" s="1"/>
  <c r="AJ230" i="71"/>
  <c r="AK231" i="71" s="1"/>
  <c r="AJ14" i="71"/>
  <c r="AK285" i="71"/>
  <c r="AI14" i="71"/>
  <c r="AJ12" i="71"/>
  <c r="AK13" i="71" s="1"/>
  <c r="AF286" i="71"/>
  <c r="AH286" i="71" s="1"/>
  <c r="AJ286" i="71"/>
  <c r="AQ130" i="71"/>
  <c r="AV130" i="71" s="1"/>
  <c r="AW130" i="71" s="1"/>
  <c r="AI286" i="71"/>
  <c r="AQ265" i="71"/>
  <c r="AV265" i="71" s="1"/>
  <c r="AW265" i="71" s="1"/>
  <c r="AK264" i="71"/>
  <c r="AJ258" i="71"/>
  <c r="AF239" i="71"/>
  <c r="AH239" i="71" s="1"/>
  <c r="AJ128" i="71"/>
  <c r="AK129" i="71" s="1"/>
  <c r="AI265" i="71"/>
  <c r="AE28" i="71"/>
  <c r="AF28" i="71" s="1"/>
  <c r="AH28" i="71" s="1"/>
  <c r="AE258" i="71"/>
  <c r="AF258" i="71" s="1"/>
  <c r="AH258" i="71" s="1"/>
  <c r="AJ63" i="71"/>
  <c r="AK64" i="71" s="1"/>
  <c r="AJ265" i="71"/>
  <c r="AJ28" i="71"/>
  <c r="AK257" i="71"/>
  <c r="AK27" i="71"/>
  <c r="AJ239" i="71"/>
  <c r="AJ237" i="71"/>
  <c r="AK238" i="71" s="1"/>
  <c r="AJ232" i="71"/>
  <c r="AJ116" i="71"/>
  <c r="AI118" i="71"/>
  <c r="AE118" i="71"/>
  <c r="AD118" i="71"/>
  <c r="AK116" i="71" s="1"/>
  <c r="AJ270" i="71"/>
  <c r="AK271" i="71" s="1"/>
  <c r="AJ65" i="71"/>
  <c r="AQ279" i="71"/>
  <c r="AV279" i="71" s="1"/>
  <c r="AW279" i="71" s="1"/>
  <c r="AE33" i="71"/>
  <c r="AD33" i="71"/>
  <c r="AK31" i="71" s="1"/>
  <c r="AJ31" i="71"/>
  <c r="AI33" i="71"/>
  <c r="AV137" i="71"/>
  <c r="AW137" i="71" s="1"/>
  <c r="AR137" i="71"/>
  <c r="AF232" i="71"/>
  <c r="AH232" i="71" s="1"/>
  <c r="AQ232" i="71"/>
  <c r="AQ210" i="71"/>
  <c r="AF210" i="71"/>
  <c r="AH210" i="71" s="1"/>
  <c r="AI210" i="71"/>
  <c r="AJ208" i="71"/>
  <c r="AK209" i="71" s="1"/>
  <c r="AJ210" i="71"/>
  <c r="AQ251" i="71"/>
  <c r="AF251" i="71"/>
  <c r="AH251" i="71" s="1"/>
  <c r="AR21" i="71"/>
  <c r="AV21" i="71"/>
  <c r="AW21" i="71" s="1"/>
  <c r="AV239" i="71"/>
  <c r="AW239" i="71" s="1"/>
  <c r="AR239" i="71"/>
  <c r="AR286" i="71"/>
  <c r="AV286" i="71"/>
  <c r="AW286" i="71" s="1"/>
  <c r="AJ111" i="71"/>
  <c r="AK112" i="71" s="1"/>
  <c r="AI113" i="71"/>
  <c r="AJ113" i="71"/>
  <c r="AF272" i="71"/>
  <c r="AH272" i="71" s="1"/>
  <c r="AQ272" i="71"/>
  <c r="AE113" i="71"/>
  <c r="AJ56" i="71"/>
  <c r="AK57" i="71" s="1"/>
  <c r="AJ58" i="71"/>
  <c r="AI58" i="71"/>
  <c r="AJ135" i="71"/>
  <c r="AK136" i="71" s="1"/>
  <c r="AJ137" i="71"/>
  <c r="AI137" i="71"/>
  <c r="AJ272" i="71"/>
  <c r="AJ251" i="71"/>
  <c r="AQ65" i="71"/>
  <c r="AF65" i="71"/>
  <c r="AH65" i="71" s="1"/>
  <c r="AK250" i="71"/>
  <c r="AJ21" i="71"/>
  <c r="AI21" i="71"/>
  <c r="AJ19" i="71"/>
  <c r="AK20" i="71" s="1"/>
  <c r="AR14" i="71"/>
  <c r="AV14" i="71"/>
  <c r="AW14" i="71" s="1"/>
  <c r="AJ279" i="71"/>
  <c r="AV58" i="71" l="1"/>
  <c r="AW58" i="71" s="1"/>
  <c r="AQ28" i="71"/>
  <c r="AR28" i="71" s="1"/>
  <c r="AR130" i="71"/>
  <c r="AR265" i="71"/>
  <c r="AQ258" i="71"/>
  <c r="AV258" i="71" s="1"/>
  <c r="AW258" i="71" s="1"/>
  <c r="AR279" i="71"/>
  <c r="AF118" i="71"/>
  <c r="AH118" i="71" s="1"/>
  <c r="AQ118" i="71"/>
  <c r="AJ118" i="71"/>
  <c r="AK117" i="71"/>
  <c r="AJ33" i="71"/>
  <c r="AK32" i="71"/>
  <c r="AQ33" i="71"/>
  <c r="AF33" i="71"/>
  <c r="AH33" i="71" s="1"/>
  <c r="AV65" i="71"/>
  <c r="AW65" i="71" s="1"/>
  <c r="AR65" i="71"/>
  <c r="AR210" i="71"/>
  <c r="AV210" i="71"/>
  <c r="AW210" i="71" s="1"/>
  <c r="AR232" i="71"/>
  <c r="AV232" i="71"/>
  <c r="AW232" i="71" s="1"/>
  <c r="AR251" i="71"/>
  <c r="AV251" i="71"/>
  <c r="AW251" i="71" s="1"/>
  <c r="AQ113" i="71"/>
  <c r="AF113" i="71"/>
  <c r="AH113" i="71" s="1"/>
  <c r="AV272" i="71"/>
  <c r="AW272" i="71" s="1"/>
  <c r="AR272" i="71"/>
  <c r="AV28" i="71" l="1"/>
  <c r="AW28" i="71" s="1"/>
  <c r="AR258" i="71"/>
  <c r="AR118" i="71"/>
  <c r="AV118" i="71"/>
  <c r="AW118" i="71" s="1"/>
  <c r="AV33" i="71"/>
  <c r="AW33" i="71" s="1"/>
  <c r="AR33" i="71"/>
  <c r="AR113" i="71"/>
  <c r="AV113" i="71"/>
  <c r="AW113" i="71" s="1"/>
  <c r="AN26" i="84" l="1"/>
  <c r="AM28" i="84"/>
  <c r="AN28" i="84" l="1"/>
  <c r="AO27" i="8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user</author>
  </authors>
  <commentList>
    <comment ref="V12" authorId="0" shapeId="0" xr:uid="{B3434F72-0D31-4B9C-9874-E138F51D9D41}">
      <text>
        <r>
          <rPr>
            <b/>
            <sz val="9"/>
            <color indexed="81"/>
            <rFont val="Tahoma"/>
            <family val="2"/>
          </rPr>
          <t>user:</t>
        </r>
        <r>
          <rPr>
            <sz val="9"/>
            <color indexed="81"/>
            <rFont val="Tahoma"/>
            <family val="2"/>
          </rPr>
          <t xml:space="preserve">
(</t>
        </r>
        <r>
          <rPr>
            <sz val="9"/>
            <color indexed="81"/>
            <rFont val="돋움"/>
            <family val="3"/>
            <charset val="129"/>
          </rPr>
          <t>상품</t>
        </r>
        <r>
          <rPr>
            <sz val="9"/>
            <color indexed="81"/>
            <rFont val="Tahoma"/>
            <family val="2"/>
          </rPr>
          <t xml:space="preserve"> </t>
        </r>
        <r>
          <rPr>
            <sz val="9"/>
            <color indexed="81"/>
            <rFont val="돋움"/>
            <family val="3"/>
            <charset val="129"/>
          </rPr>
          <t>등재가</t>
        </r>
        <r>
          <rPr>
            <sz val="9"/>
            <color indexed="81"/>
            <rFont val="Tahoma"/>
            <family val="2"/>
          </rPr>
          <t xml:space="preserve"> – </t>
        </r>
        <r>
          <rPr>
            <sz val="9"/>
            <color indexed="81"/>
            <rFont val="돋움"/>
            <family val="3"/>
            <charset val="129"/>
          </rPr>
          <t>판매자</t>
        </r>
        <r>
          <rPr>
            <sz val="9"/>
            <color indexed="81"/>
            <rFont val="Tahoma"/>
            <family val="2"/>
          </rPr>
          <t xml:space="preserve"> </t>
        </r>
        <r>
          <rPr>
            <sz val="9"/>
            <color indexed="81"/>
            <rFont val="돋움"/>
            <family val="3"/>
            <charset val="129"/>
          </rPr>
          <t>설정</t>
        </r>
        <r>
          <rPr>
            <sz val="9"/>
            <color indexed="81"/>
            <rFont val="Tahoma"/>
            <family val="2"/>
          </rPr>
          <t xml:space="preserve"> </t>
        </r>
        <r>
          <rPr>
            <sz val="9"/>
            <color indexed="81"/>
            <rFont val="돋움"/>
            <family val="3"/>
            <charset val="129"/>
          </rPr>
          <t>할인</t>
        </r>
        <r>
          <rPr>
            <sz val="9"/>
            <color indexed="81"/>
            <rFont val="Tahoma"/>
            <family val="2"/>
          </rPr>
          <t>) * 3%</t>
        </r>
      </text>
    </comment>
    <comment ref="V19" authorId="0" shapeId="0" xr:uid="{D2ABA036-F2D8-41FF-8503-DE32E90C6006}">
      <text>
        <r>
          <rPr>
            <b/>
            <sz val="9"/>
            <color indexed="81"/>
            <rFont val="Tahoma"/>
            <family val="2"/>
          </rPr>
          <t>user:</t>
        </r>
        <r>
          <rPr>
            <sz val="9"/>
            <color indexed="81"/>
            <rFont val="Tahoma"/>
            <family val="2"/>
          </rPr>
          <t xml:space="preserve">
(</t>
        </r>
        <r>
          <rPr>
            <sz val="9"/>
            <color indexed="81"/>
            <rFont val="돋움"/>
            <family val="3"/>
            <charset val="129"/>
          </rPr>
          <t>상품</t>
        </r>
        <r>
          <rPr>
            <sz val="9"/>
            <color indexed="81"/>
            <rFont val="Tahoma"/>
            <family val="2"/>
          </rPr>
          <t xml:space="preserve"> </t>
        </r>
        <r>
          <rPr>
            <sz val="9"/>
            <color indexed="81"/>
            <rFont val="돋움"/>
            <family val="3"/>
            <charset val="129"/>
          </rPr>
          <t>등재가</t>
        </r>
        <r>
          <rPr>
            <sz val="9"/>
            <color indexed="81"/>
            <rFont val="Tahoma"/>
            <family val="2"/>
          </rPr>
          <t xml:space="preserve"> – </t>
        </r>
        <r>
          <rPr>
            <sz val="9"/>
            <color indexed="81"/>
            <rFont val="돋움"/>
            <family val="3"/>
            <charset val="129"/>
          </rPr>
          <t>판매자</t>
        </r>
        <r>
          <rPr>
            <sz val="9"/>
            <color indexed="81"/>
            <rFont val="Tahoma"/>
            <family val="2"/>
          </rPr>
          <t xml:space="preserve"> </t>
        </r>
        <r>
          <rPr>
            <sz val="9"/>
            <color indexed="81"/>
            <rFont val="돋움"/>
            <family val="3"/>
            <charset val="129"/>
          </rPr>
          <t>설정</t>
        </r>
        <r>
          <rPr>
            <sz val="9"/>
            <color indexed="81"/>
            <rFont val="Tahoma"/>
            <family val="2"/>
          </rPr>
          <t xml:space="preserve"> </t>
        </r>
        <r>
          <rPr>
            <sz val="9"/>
            <color indexed="81"/>
            <rFont val="돋움"/>
            <family val="3"/>
            <charset val="129"/>
          </rPr>
          <t>할인</t>
        </r>
        <r>
          <rPr>
            <sz val="9"/>
            <color indexed="81"/>
            <rFont val="Tahoma"/>
            <family val="2"/>
          </rPr>
          <t>) * 3%</t>
        </r>
      </text>
    </comment>
    <comment ref="V26" authorId="0" shapeId="0" xr:uid="{BCF7E73A-B570-485E-A2F4-0C75E16E262B}">
      <text>
        <r>
          <rPr>
            <b/>
            <sz val="9"/>
            <color indexed="81"/>
            <rFont val="Tahoma"/>
            <family val="2"/>
          </rPr>
          <t>user:</t>
        </r>
        <r>
          <rPr>
            <sz val="9"/>
            <color indexed="81"/>
            <rFont val="Tahoma"/>
            <family val="2"/>
          </rPr>
          <t xml:space="preserve">
(</t>
        </r>
        <r>
          <rPr>
            <sz val="9"/>
            <color indexed="81"/>
            <rFont val="돋움"/>
            <family val="3"/>
            <charset val="129"/>
          </rPr>
          <t>상품</t>
        </r>
        <r>
          <rPr>
            <sz val="9"/>
            <color indexed="81"/>
            <rFont val="Tahoma"/>
            <family val="2"/>
          </rPr>
          <t xml:space="preserve"> </t>
        </r>
        <r>
          <rPr>
            <sz val="9"/>
            <color indexed="81"/>
            <rFont val="돋움"/>
            <family val="3"/>
            <charset val="129"/>
          </rPr>
          <t>등재가</t>
        </r>
        <r>
          <rPr>
            <sz val="9"/>
            <color indexed="81"/>
            <rFont val="Tahoma"/>
            <family val="2"/>
          </rPr>
          <t xml:space="preserve"> – </t>
        </r>
        <r>
          <rPr>
            <sz val="9"/>
            <color indexed="81"/>
            <rFont val="돋움"/>
            <family val="3"/>
            <charset val="129"/>
          </rPr>
          <t>판매자</t>
        </r>
        <r>
          <rPr>
            <sz val="9"/>
            <color indexed="81"/>
            <rFont val="Tahoma"/>
            <family val="2"/>
          </rPr>
          <t xml:space="preserve"> </t>
        </r>
        <r>
          <rPr>
            <sz val="9"/>
            <color indexed="81"/>
            <rFont val="돋움"/>
            <family val="3"/>
            <charset val="129"/>
          </rPr>
          <t>설정</t>
        </r>
        <r>
          <rPr>
            <sz val="9"/>
            <color indexed="81"/>
            <rFont val="Tahoma"/>
            <family val="2"/>
          </rPr>
          <t xml:space="preserve"> </t>
        </r>
        <r>
          <rPr>
            <sz val="9"/>
            <color indexed="81"/>
            <rFont val="돋움"/>
            <family val="3"/>
            <charset val="129"/>
          </rPr>
          <t>할인</t>
        </r>
        <r>
          <rPr>
            <sz val="9"/>
            <color indexed="81"/>
            <rFont val="Tahoma"/>
            <family val="2"/>
          </rPr>
          <t>) * 3%</t>
        </r>
      </text>
    </comment>
    <comment ref="V31" authorId="0" shapeId="0" xr:uid="{7DED8DB3-914D-4628-AD50-60AD8A4DCD48}">
      <text>
        <r>
          <rPr>
            <b/>
            <sz val="9"/>
            <color indexed="81"/>
            <rFont val="Tahoma"/>
            <family val="2"/>
          </rPr>
          <t>user:</t>
        </r>
        <r>
          <rPr>
            <sz val="9"/>
            <color indexed="81"/>
            <rFont val="Tahoma"/>
            <family val="2"/>
          </rPr>
          <t xml:space="preserve">
(</t>
        </r>
        <r>
          <rPr>
            <sz val="9"/>
            <color indexed="81"/>
            <rFont val="돋움"/>
            <family val="3"/>
            <charset val="129"/>
          </rPr>
          <t>상품</t>
        </r>
        <r>
          <rPr>
            <sz val="9"/>
            <color indexed="81"/>
            <rFont val="Tahoma"/>
            <family val="2"/>
          </rPr>
          <t xml:space="preserve"> </t>
        </r>
        <r>
          <rPr>
            <sz val="9"/>
            <color indexed="81"/>
            <rFont val="돋움"/>
            <family val="3"/>
            <charset val="129"/>
          </rPr>
          <t>등재가</t>
        </r>
        <r>
          <rPr>
            <sz val="9"/>
            <color indexed="81"/>
            <rFont val="Tahoma"/>
            <family val="2"/>
          </rPr>
          <t xml:space="preserve"> – </t>
        </r>
        <r>
          <rPr>
            <sz val="9"/>
            <color indexed="81"/>
            <rFont val="돋움"/>
            <family val="3"/>
            <charset val="129"/>
          </rPr>
          <t>판매자</t>
        </r>
        <r>
          <rPr>
            <sz val="9"/>
            <color indexed="81"/>
            <rFont val="Tahoma"/>
            <family val="2"/>
          </rPr>
          <t xml:space="preserve"> </t>
        </r>
        <r>
          <rPr>
            <sz val="9"/>
            <color indexed="81"/>
            <rFont val="돋움"/>
            <family val="3"/>
            <charset val="129"/>
          </rPr>
          <t>설정</t>
        </r>
        <r>
          <rPr>
            <sz val="9"/>
            <color indexed="81"/>
            <rFont val="Tahoma"/>
            <family val="2"/>
          </rPr>
          <t xml:space="preserve"> </t>
        </r>
        <r>
          <rPr>
            <sz val="9"/>
            <color indexed="81"/>
            <rFont val="돋움"/>
            <family val="3"/>
            <charset val="129"/>
          </rPr>
          <t>할인</t>
        </r>
        <r>
          <rPr>
            <sz val="9"/>
            <color indexed="81"/>
            <rFont val="Tahoma"/>
            <family val="2"/>
          </rPr>
          <t>) * 3%</t>
        </r>
      </text>
    </comment>
    <comment ref="V36" authorId="0" shapeId="0" xr:uid="{182481B5-A7E7-4525-A00C-F6998C02F5AE}">
      <text>
        <r>
          <rPr>
            <b/>
            <sz val="9"/>
            <color indexed="81"/>
            <rFont val="Tahoma"/>
            <family val="2"/>
          </rPr>
          <t>user:</t>
        </r>
        <r>
          <rPr>
            <sz val="9"/>
            <color indexed="81"/>
            <rFont val="Tahoma"/>
            <family val="2"/>
          </rPr>
          <t xml:space="preserve">
(</t>
        </r>
        <r>
          <rPr>
            <sz val="9"/>
            <color indexed="81"/>
            <rFont val="돋움"/>
            <family val="3"/>
            <charset val="129"/>
          </rPr>
          <t>상품</t>
        </r>
        <r>
          <rPr>
            <sz val="9"/>
            <color indexed="81"/>
            <rFont val="Tahoma"/>
            <family val="2"/>
          </rPr>
          <t xml:space="preserve"> </t>
        </r>
        <r>
          <rPr>
            <sz val="9"/>
            <color indexed="81"/>
            <rFont val="돋움"/>
            <family val="3"/>
            <charset val="129"/>
          </rPr>
          <t>등재가</t>
        </r>
        <r>
          <rPr>
            <sz val="9"/>
            <color indexed="81"/>
            <rFont val="Tahoma"/>
            <family val="2"/>
          </rPr>
          <t xml:space="preserve"> – </t>
        </r>
        <r>
          <rPr>
            <sz val="9"/>
            <color indexed="81"/>
            <rFont val="돋움"/>
            <family val="3"/>
            <charset val="129"/>
          </rPr>
          <t>판매자</t>
        </r>
        <r>
          <rPr>
            <sz val="9"/>
            <color indexed="81"/>
            <rFont val="Tahoma"/>
            <family val="2"/>
          </rPr>
          <t xml:space="preserve"> </t>
        </r>
        <r>
          <rPr>
            <sz val="9"/>
            <color indexed="81"/>
            <rFont val="돋움"/>
            <family val="3"/>
            <charset val="129"/>
          </rPr>
          <t>설정</t>
        </r>
        <r>
          <rPr>
            <sz val="9"/>
            <color indexed="81"/>
            <rFont val="Tahoma"/>
            <family val="2"/>
          </rPr>
          <t xml:space="preserve"> </t>
        </r>
        <r>
          <rPr>
            <sz val="9"/>
            <color indexed="81"/>
            <rFont val="돋움"/>
            <family val="3"/>
            <charset val="129"/>
          </rPr>
          <t>할인</t>
        </r>
        <r>
          <rPr>
            <sz val="9"/>
            <color indexed="81"/>
            <rFont val="Tahoma"/>
            <family val="2"/>
          </rPr>
          <t>) * 3%</t>
        </r>
      </text>
    </comment>
    <comment ref="V46" authorId="0" shapeId="0" xr:uid="{40FA694B-F90D-430C-85A1-D4A1584ED432}">
      <text>
        <r>
          <rPr>
            <b/>
            <sz val="9"/>
            <color indexed="81"/>
            <rFont val="Tahoma"/>
            <family val="2"/>
          </rPr>
          <t>user:</t>
        </r>
        <r>
          <rPr>
            <sz val="9"/>
            <color indexed="81"/>
            <rFont val="Tahoma"/>
            <family val="2"/>
          </rPr>
          <t xml:space="preserve">
(</t>
        </r>
        <r>
          <rPr>
            <sz val="9"/>
            <color indexed="81"/>
            <rFont val="돋움"/>
            <family val="3"/>
            <charset val="129"/>
          </rPr>
          <t>상품</t>
        </r>
        <r>
          <rPr>
            <sz val="9"/>
            <color indexed="81"/>
            <rFont val="Tahoma"/>
            <family val="2"/>
          </rPr>
          <t xml:space="preserve"> </t>
        </r>
        <r>
          <rPr>
            <sz val="9"/>
            <color indexed="81"/>
            <rFont val="돋움"/>
            <family val="3"/>
            <charset val="129"/>
          </rPr>
          <t>등재가</t>
        </r>
        <r>
          <rPr>
            <sz val="9"/>
            <color indexed="81"/>
            <rFont val="Tahoma"/>
            <family val="2"/>
          </rPr>
          <t xml:space="preserve"> – </t>
        </r>
        <r>
          <rPr>
            <sz val="9"/>
            <color indexed="81"/>
            <rFont val="돋움"/>
            <family val="3"/>
            <charset val="129"/>
          </rPr>
          <t>판매자</t>
        </r>
        <r>
          <rPr>
            <sz val="9"/>
            <color indexed="81"/>
            <rFont val="Tahoma"/>
            <family val="2"/>
          </rPr>
          <t xml:space="preserve"> </t>
        </r>
        <r>
          <rPr>
            <sz val="9"/>
            <color indexed="81"/>
            <rFont val="돋움"/>
            <family val="3"/>
            <charset val="129"/>
          </rPr>
          <t>설정</t>
        </r>
        <r>
          <rPr>
            <sz val="9"/>
            <color indexed="81"/>
            <rFont val="Tahoma"/>
            <family val="2"/>
          </rPr>
          <t xml:space="preserve"> </t>
        </r>
        <r>
          <rPr>
            <sz val="9"/>
            <color indexed="81"/>
            <rFont val="돋움"/>
            <family val="3"/>
            <charset val="129"/>
          </rPr>
          <t>할인</t>
        </r>
        <r>
          <rPr>
            <sz val="9"/>
            <color indexed="81"/>
            <rFont val="Tahoma"/>
            <family val="2"/>
          </rPr>
          <t>) * 3%</t>
        </r>
      </text>
    </comment>
    <comment ref="V56" authorId="0" shapeId="0" xr:uid="{2F62A8B1-C7F8-4D47-8037-DDC8748C0E57}">
      <text>
        <r>
          <rPr>
            <b/>
            <sz val="9"/>
            <color indexed="81"/>
            <rFont val="Tahoma"/>
            <family val="2"/>
          </rPr>
          <t>user:</t>
        </r>
        <r>
          <rPr>
            <sz val="9"/>
            <color indexed="81"/>
            <rFont val="Tahoma"/>
            <family val="2"/>
          </rPr>
          <t xml:space="preserve">
(</t>
        </r>
        <r>
          <rPr>
            <sz val="9"/>
            <color indexed="81"/>
            <rFont val="돋움"/>
            <family val="3"/>
            <charset val="129"/>
          </rPr>
          <t>상품</t>
        </r>
        <r>
          <rPr>
            <sz val="9"/>
            <color indexed="81"/>
            <rFont val="Tahoma"/>
            <family val="2"/>
          </rPr>
          <t xml:space="preserve"> </t>
        </r>
        <r>
          <rPr>
            <sz val="9"/>
            <color indexed="81"/>
            <rFont val="돋움"/>
            <family val="3"/>
            <charset val="129"/>
          </rPr>
          <t>등재가</t>
        </r>
        <r>
          <rPr>
            <sz val="9"/>
            <color indexed="81"/>
            <rFont val="Tahoma"/>
            <family val="2"/>
          </rPr>
          <t xml:space="preserve"> – </t>
        </r>
        <r>
          <rPr>
            <sz val="9"/>
            <color indexed="81"/>
            <rFont val="돋움"/>
            <family val="3"/>
            <charset val="129"/>
          </rPr>
          <t>판매자</t>
        </r>
        <r>
          <rPr>
            <sz val="9"/>
            <color indexed="81"/>
            <rFont val="Tahoma"/>
            <family val="2"/>
          </rPr>
          <t xml:space="preserve"> </t>
        </r>
        <r>
          <rPr>
            <sz val="9"/>
            <color indexed="81"/>
            <rFont val="돋움"/>
            <family val="3"/>
            <charset val="129"/>
          </rPr>
          <t>설정</t>
        </r>
        <r>
          <rPr>
            <sz val="9"/>
            <color indexed="81"/>
            <rFont val="Tahoma"/>
            <family val="2"/>
          </rPr>
          <t xml:space="preserve"> </t>
        </r>
        <r>
          <rPr>
            <sz val="9"/>
            <color indexed="81"/>
            <rFont val="돋움"/>
            <family val="3"/>
            <charset val="129"/>
          </rPr>
          <t>할인</t>
        </r>
        <r>
          <rPr>
            <sz val="9"/>
            <color indexed="81"/>
            <rFont val="Tahoma"/>
            <family val="2"/>
          </rPr>
          <t>) * 3%</t>
        </r>
      </text>
    </comment>
    <comment ref="V63" authorId="0" shapeId="0" xr:uid="{717A215D-C75C-405F-AE6A-3FC868C60640}">
      <text>
        <r>
          <rPr>
            <b/>
            <sz val="9"/>
            <color indexed="81"/>
            <rFont val="Tahoma"/>
            <family val="2"/>
          </rPr>
          <t>user:</t>
        </r>
        <r>
          <rPr>
            <sz val="9"/>
            <color indexed="81"/>
            <rFont val="Tahoma"/>
            <family val="2"/>
          </rPr>
          <t xml:space="preserve">
(</t>
        </r>
        <r>
          <rPr>
            <sz val="9"/>
            <color indexed="81"/>
            <rFont val="돋움"/>
            <family val="3"/>
            <charset val="129"/>
          </rPr>
          <t>상품</t>
        </r>
        <r>
          <rPr>
            <sz val="9"/>
            <color indexed="81"/>
            <rFont val="Tahoma"/>
            <family val="2"/>
          </rPr>
          <t xml:space="preserve"> </t>
        </r>
        <r>
          <rPr>
            <sz val="9"/>
            <color indexed="81"/>
            <rFont val="돋움"/>
            <family val="3"/>
            <charset val="129"/>
          </rPr>
          <t>등재가</t>
        </r>
        <r>
          <rPr>
            <sz val="9"/>
            <color indexed="81"/>
            <rFont val="Tahoma"/>
            <family val="2"/>
          </rPr>
          <t xml:space="preserve"> – </t>
        </r>
        <r>
          <rPr>
            <sz val="9"/>
            <color indexed="81"/>
            <rFont val="돋움"/>
            <family val="3"/>
            <charset val="129"/>
          </rPr>
          <t>판매자</t>
        </r>
        <r>
          <rPr>
            <sz val="9"/>
            <color indexed="81"/>
            <rFont val="Tahoma"/>
            <family val="2"/>
          </rPr>
          <t xml:space="preserve"> </t>
        </r>
        <r>
          <rPr>
            <sz val="9"/>
            <color indexed="81"/>
            <rFont val="돋움"/>
            <family val="3"/>
            <charset val="129"/>
          </rPr>
          <t>설정</t>
        </r>
        <r>
          <rPr>
            <sz val="9"/>
            <color indexed="81"/>
            <rFont val="Tahoma"/>
            <family val="2"/>
          </rPr>
          <t xml:space="preserve"> </t>
        </r>
        <r>
          <rPr>
            <sz val="9"/>
            <color indexed="81"/>
            <rFont val="돋움"/>
            <family val="3"/>
            <charset val="129"/>
          </rPr>
          <t>할인</t>
        </r>
        <r>
          <rPr>
            <sz val="9"/>
            <color indexed="81"/>
            <rFont val="Tahoma"/>
            <family val="2"/>
          </rPr>
          <t>) * 3%</t>
        </r>
      </text>
    </comment>
    <comment ref="V73" authorId="0" shapeId="0" xr:uid="{D3FC1A66-3CA4-46EF-923A-9E2EBFD7960C}">
      <text>
        <r>
          <rPr>
            <b/>
            <sz val="9"/>
            <color indexed="81"/>
            <rFont val="Tahoma"/>
            <family val="2"/>
          </rPr>
          <t>user:</t>
        </r>
        <r>
          <rPr>
            <sz val="9"/>
            <color indexed="81"/>
            <rFont val="Tahoma"/>
            <family val="2"/>
          </rPr>
          <t xml:space="preserve">
(</t>
        </r>
        <r>
          <rPr>
            <sz val="9"/>
            <color indexed="81"/>
            <rFont val="돋움"/>
            <family val="3"/>
            <charset val="129"/>
          </rPr>
          <t>상품</t>
        </r>
        <r>
          <rPr>
            <sz val="9"/>
            <color indexed="81"/>
            <rFont val="Tahoma"/>
            <family val="2"/>
          </rPr>
          <t xml:space="preserve"> </t>
        </r>
        <r>
          <rPr>
            <sz val="9"/>
            <color indexed="81"/>
            <rFont val="돋움"/>
            <family val="3"/>
            <charset val="129"/>
          </rPr>
          <t>등재가</t>
        </r>
        <r>
          <rPr>
            <sz val="9"/>
            <color indexed="81"/>
            <rFont val="Tahoma"/>
            <family val="2"/>
          </rPr>
          <t xml:space="preserve"> – </t>
        </r>
        <r>
          <rPr>
            <sz val="9"/>
            <color indexed="81"/>
            <rFont val="돋움"/>
            <family val="3"/>
            <charset val="129"/>
          </rPr>
          <t>판매자</t>
        </r>
        <r>
          <rPr>
            <sz val="9"/>
            <color indexed="81"/>
            <rFont val="Tahoma"/>
            <family val="2"/>
          </rPr>
          <t xml:space="preserve"> </t>
        </r>
        <r>
          <rPr>
            <sz val="9"/>
            <color indexed="81"/>
            <rFont val="돋움"/>
            <family val="3"/>
            <charset val="129"/>
          </rPr>
          <t>설정</t>
        </r>
        <r>
          <rPr>
            <sz val="9"/>
            <color indexed="81"/>
            <rFont val="Tahoma"/>
            <family val="2"/>
          </rPr>
          <t xml:space="preserve"> </t>
        </r>
        <r>
          <rPr>
            <sz val="9"/>
            <color indexed="81"/>
            <rFont val="돋움"/>
            <family val="3"/>
            <charset val="129"/>
          </rPr>
          <t>할인</t>
        </r>
        <r>
          <rPr>
            <sz val="9"/>
            <color indexed="81"/>
            <rFont val="Tahoma"/>
            <family val="2"/>
          </rPr>
          <t>) * 3%</t>
        </r>
      </text>
    </comment>
    <comment ref="V78" authorId="0" shapeId="0" xr:uid="{6630DBE6-ED76-4D2B-8AB4-8F41E431D492}">
      <text>
        <r>
          <rPr>
            <b/>
            <sz val="9"/>
            <color indexed="81"/>
            <rFont val="Tahoma"/>
            <family val="2"/>
          </rPr>
          <t>user:</t>
        </r>
        <r>
          <rPr>
            <sz val="9"/>
            <color indexed="81"/>
            <rFont val="Tahoma"/>
            <family val="2"/>
          </rPr>
          <t xml:space="preserve">
(</t>
        </r>
        <r>
          <rPr>
            <sz val="9"/>
            <color indexed="81"/>
            <rFont val="돋움"/>
            <family val="3"/>
            <charset val="129"/>
          </rPr>
          <t>상품</t>
        </r>
        <r>
          <rPr>
            <sz val="9"/>
            <color indexed="81"/>
            <rFont val="Tahoma"/>
            <family val="2"/>
          </rPr>
          <t xml:space="preserve"> </t>
        </r>
        <r>
          <rPr>
            <sz val="9"/>
            <color indexed="81"/>
            <rFont val="돋움"/>
            <family val="3"/>
            <charset val="129"/>
          </rPr>
          <t>등재가</t>
        </r>
        <r>
          <rPr>
            <sz val="9"/>
            <color indexed="81"/>
            <rFont val="Tahoma"/>
            <family val="2"/>
          </rPr>
          <t xml:space="preserve"> – </t>
        </r>
        <r>
          <rPr>
            <sz val="9"/>
            <color indexed="81"/>
            <rFont val="돋움"/>
            <family val="3"/>
            <charset val="129"/>
          </rPr>
          <t>판매자</t>
        </r>
        <r>
          <rPr>
            <sz val="9"/>
            <color indexed="81"/>
            <rFont val="Tahoma"/>
            <family val="2"/>
          </rPr>
          <t xml:space="preserve"> </t>
        </r>
        <r>
          <rPr>
            <sz val="9"/>
            <color indexed="81"/>
            <rFont val="돋움"/>
            <family val="3"/>
            <charset val="129"/>
          </rPr>
          <t>설정</t>
        </r>
        <r>
          <rPr>
            <sz val="9"/>
            <color indexed="81"/>
            <rFont val="Tahoma"/>
            <family val="2"/>
          </rPr>
          <t xml:space="preserve"> </t>
        </r>
        <r>
          <rPr>
            <sz val="9"/>
            <color indexed="81"/>
            <rFont val="돋움"/>
            <family val="3"/>
            <charset val="129"/>
          </rPr>
          <t>할인</t>
        </r>
        <r>
          <rPr>
            <sz val="9"/>
            <color indexed="81"/>
            <rFont val="Tahoma"/>
            <family val="2"/>
          </rPr>
          <t>) * 3%</t>
        </r>
      </text>
    </comment>
    <comment ref="V88" authorId="0" shapeId="0" xr:uid="{E8753A3D-5CB6-4E1A-BC2F-4B2B32B2938B}">
      <text>
        <r>
          <rPr>
            <b/>
            <sz val="9"/>
            <color indexed="81"/>
            <rFont val="Tahoma"/>
            <family val="2"/>
          </rPr>
          <t>user:</t>
        </r>
        <r>
          <rPr>
            <sz val="9"/>
            <color indexed="81"/>
            <rFont val="Tahoma"/>
            <family val="2"/>
          </rPr>
          <t xml:space="preserve">
(</t>
        </r>
        <r>
          <rPr>
            <sz val="9"/>
            <color indexed="81"/>
            <rFont val="돋움"/>
            <family val="3"/>
            <charset val="129"/>
          </rPr>
          <t>상품</t>
        </r>
        <r>
          <rPr>
            <sz val="9"/>
            <color indexed="81"/>
            <rFont val="Tahoma"/>
            <family val="2"/>
          </rPr>
          <t xml:space="preserve"> </t>
        </r>
        <r>
          <rPr>
            <sz val="9"/>
            <color indexed="81"/>
            <rFont val="돋움"/>
            <family val="3"/>
            <charset val="129"/>
          </rPr>
          <t>등재가</t>
        </r>
        <r>
          <rPr>
            <sz val="9"/>
            <color indexed="81"/>
            <rFont val="Tahoma"/>
            <family val="2"/>
          </rPr>
          <t xml:space="preserve"> – </t>
        </r>
        <r>
          <rPr>
            <sz val="9"/>
            <color indexed="81"/>
            <rFont val="돋움"/>
            <family val="3"/>
            <charset val="129"/>
          </rPr>
          <t>판매자</t>
        </r>
        <r>
          <rPr>
            <sz val="9"/>
            <color indexed="81"/>
            <rFont val="Tahoma"/>
            <family val="2"/>
          </rPr>
          <t xml:space="preserve"> </t>
        </r>
        <r>
          <rPr>
            <sz val="9"/>
            <color indexed="81"/>
            <rFont val="돋움"/>
            <family val="3"/>
            <charset val="129"/>
          </rPr>
          <t>설정</t>
        </r>
        <r>
          <rPr>
            <sz val="9"/>
            <color indexed="81"/>
            <rFont val="Tahoma"/>
            <family val="2"/>
          </rPr>
          <t xml:space="preserve"> </t>
        </r>
        <r>
          <rPr>
            <sz val="9"/>
            <color indexed="81"/>
            <rFont val="돋움"/>
            <family val="3"/>
            <charset val="129"/>
          </rPr>
          <t>할인</t>
        </r>
        <r>
          <rPr>
            <sz val="9"/>
            <color indexed="81"/>
            <rFont val="Tahoma"/>
            <family val="2"/>
          </rPr>
          <t>) * 3%</t>
        </r>
      </text>
    </comment>
    <comment ref="V95" authorId="0" shapeId="0" xr:uid="{5B04E57F-74BC-4162-82D0-382959A39B68}">
      <text>
        <r>
          <rPr>
            <b/>
            <sz val="9"/>
            <color indexed="81"/>
            <rFont val="Tahoma"/>
            <family val="2"/>
          </rPr>
          <t>user:</t>
        </r>
        <r>
          <rPr>
            <sz val="9"/>
            <color indexed="81"/>
            <rFont val="Tahoma"/>
            <family val="2"/>
          </rPr>
          <t xml:space="preserve">
(</t>
        </r>
        <r>
          <rPr>
            <sz val="9"/>
            <color indexed="81"/>
            <rFont val="돋움"/>
            <family val="3"/>
            <charset val="129"/>
          </rPr>
          <t>상품</t>
        </r>
        <r>
          <rPr>
            <sz val="9"/>
            <color indexed="81"/>
            <rFont val="Tahoma"/>
            <family val="2"/>
          </rPr>
          <t xml:space="preserve"> </t>
        </r>
        <r>
          <rPr>
            <sz val="9"/>
            <color indexed="81"/>
            <rFont val="돋움"/>
            <family val="3"/>
            <charset val="129"/>
          </rPr>
          <t>등재가</t>
        </r>
        <r>
          <rPr>
            <sz val="9"/>
            <color indexed="81"/>
            <rFont val="Tahoma"/>
            <family val="2"/>
          </rPr>
          <t xml:space="preserve"> – </t>
        </r>
        <r>
          <rPr>
            <sz val="9"/>
            <color indexed="81"/>
            <rFont val="돋움"/>
            <family val="3"/>
            <charset val="129"/>
          </rPr>
          <t>판매자</t>
        </r>
        <r>
          <rPr>
            <sz val="9"/>
            <color indexed="81"/>
            <rFont val="Tahoma"/>
            <family val="2"/>
          </rPr>
          <t xml:space="preserve"> </t>
        </r>
        <r>
          <rPr>
            <sz val="9"/>
            <color indexed="81"/>
            <rFont val="돋움"/>
            <family val="3"/>
            <charset val="129"/>
          </rPr>
          <t>설정</t>
        </r>
        <r>
          <rPr>
            <sz val="9"/>
            <color indexed="81"/>
            <rFont val="Tahoma"/>
            <family val="2"/>
          </rPr>
          <t xml:space="preserve"> </t>
        </r>
        <r>
          <rPr>
            <sz val="9"/>
            <color indexed="81"/>
            <rFont val="돋움"/>
            <family val="3"/>
            <charset val="129"/>
          </rPr>
          <t>할인</t>
        </r>
        <r>
          <rPr>
            <sz val="9"/>
            <color indexed="81"/>
            <rFont val="Tahoma"/>
            <family val="2"/>
          </rPr>
          <t>) * 3%</t>
        </r>
      </text>
    </comment>
    <comment ref="V102" authorId="0" shapeId="0" xr:uid="{C683E492-4561-41B4-A279-3C7C4AA11C2C}">
      <text>
        <r>
          <rPr>
            <b/>
            <sz val="9"/>
            <color indexed="81"/>
            <rFont val="Tahoma"/>
            <family val="2"/>
          </rPr>
          <t>user:</t>
        </r>
        <r>
          <rPr>
            <sz val="9"/>
            <color indexed="81"/>
            <rFont val="Tahoma"/>
            <family val="2"/>
          </rPr>
          <t xml:space="preserve">
(</t>
        </r>
        <r>
          <rPr>
            <sz val="9"/>
            <color indexed="81"/>
            <rFont val="돋움"/>
            <family val="3"/>
            <charset val="129"/>
          </rPr>
          <t>상품</t>
        </r>
        <r>
          <rPr>
            <sz val="9"/>
            <color indexed="81"/>
            <rFont val="Tahoma"/>
            <family val="2"/>
          </rPr>
          <t xml:space="preserve"> </t>
        </r>
        <r>
          <rPr>
            <sz val="9"/>
            <color indexed="81"/>
            <rFont val="돋움"/>
            <family val="3"/>
            <charset val="129"/>
          </rPr>
          <t>등재가</t>
        </r>
        <r>
          <rPr>
            <sz val="9"/>
            <color indexed="81"/>
            <rFont val="Tahoma"/>
            <family val="2"/>
          </rPr>
          <t xml:space="preserve"> – </t>
        </r>
        <r>
          <rPr>
            <sz val="9"/>
            <color indexed="81"/>
            <rFont val="돋움"/>
            <family val="3"/>
            <charset val="129"/>
          </rPr>
          <t>판매자</t>
        </r>
        <r>
          <rPr>
            <sz val="9"/>
            <color indexed="81"/>
            <rFont val="Tahoma"/>
            <family val="2"/>
          </rPr>
          <t xml:space="preserve"> </t>
        </r>
        <r>
          <rPr>
            <sz val="9"/>
            <color indexed="81"/>
            <rFont val="돋움"/>
            <family val="3"/>
            <charset val="129"/>
          </rPr>
          <t>설정</t>
        </r>
        <r>
          <rPr>
            <sz val="9"/>
            <color indexed="81"/>
            <rFont val="Tahoma"/>
            <family val="2"/>
          </rPr>
          <t xml:space="preserve"> </t>
        </r>
        <r>
          <rPr>
            <sz val="9"/>
            <color indexed="81"/>
            <rFont val="돋움"/>
            <family val="3"/>
            <charset val="129"/>
          </rPr>
          <t>할인</t>
        </r>
        <r>
          <rPr>
            <sz val="9"/>
            <color indexed="81"/>
            <rFont val="Tahoma"/>
            <family val="2"/>
          </rPr>
          <t>) * 3%</t>
        </r>
      </text>
    </comment>
    <comment ref="V109" authorId="0" shapeId="0" xr:uid="{A9752172-5F92-4300-932F-97166F2B0F9F}">
      <text>
        <r>
          <rPr>
            <b/>
            <sz val="9"/>
            <color indexed="81"/>
            <rFont val="Tahoma"/>
            <family val="2"/>
          </rPr>
          <t>user:</t>
        </r>
        <r>
          <rPr>
            <sz val="9"/>
            <color indexed="81"/>
            <rFont val="Tahoma"/>
            <family val="2"/>
          </rPr>
          <t xml:space="preserve">
(</t>
        </r>
        <r>
          <rPr>
            <sz val="9"/>
            <color indexed="81"/>
            <rFont val="돋움"/>
            <family val="3"/>
            <charset val="129"/>
          </rPr>
          <t>상품</t>
        </r>
        <r>
          <rPr>
            <sz val="9"/>
            <color indexed="81"/>
            <rFont val="Tahoma"/>
            <family val="2"/>
          </rPr>
          <t xml:space="preserve"> </t>
        </r>
        <r>
          <rPr>
            <sz val="9"/>
            <color indexed="81"/>
            <rFont val="돋움"/>
            <family val="3"/>
            <charset val="129"/>
          </rPr>
          <t>등재가</t>
        </r>
        <r>
          <rPr>
            <sz val="9"/>
            <color indexed="81"/>
            <rFont val="Tahoma"/>
            <family val="2"/>
          </rPr>
          <t xml:space="preserve"> – </t>
        </r>
        <r>
          <rPr>
            <sz val="9"/>
            <color indexed="81"/>
            <rFont val="돋움"/>
            <family val="3"/>
            <charset val="129"/>
          </rPr>
          <t>판매자</t>
        </r>
        <r>
          <rPr>
            <sz val="9"/>
            <color indexed="81"/>
            <rFont val="Tahoma"/>
            <family val="2"/>
          </rPr>
          <t xml:space="preserve"> </t>
        </r>
        <r>
          <rPr>
            <sz val="9"/>
            <color indexed="81"/>
            <rFont val="돋움"/>
            <family val="3"/>
            <charset val="129"/>
          </rPr>
          <t>설정</t>
        </r>
        <r>
          <rPr>
            <sz val="9"/>
            <color indexed="81"/>
            <rFont val="Tahoma"/>
            <family val="2"/>
          </rPr>
          <t xml:space="preserve"> </t>
        </r>
        <r>
          <rPr>
            <sz val="9"/>
            <color indexed="81"/>
            <rFont val="돋움"/>
            <family val="3"/>
            <charset val="129"/>
          </rPr>
          <t>할인</t>
        </r>
        <r>
          <rPr>
            <sz val="9"/>
            <color indexed="81"/>
            <rFont val="Tahoma"/>
            <family val="2"/>
          </rPr>
          <t>) * 3%</t>
        </r>
      </text>
    </comment>
    <comment ref="V119" authorId="0" shapeId="0" xr:uid="{D1328229-299F-43D5-84CA-8684DC3D1DFF}">
      <text>
        <r>
          <rPr>
            <b/>
            <sz val="9"/>
            <color indexed="81"/>
            <rFont val="Tahoma"/>
            <family val="2"/>
          </rPr>
          <t>user:</t>
        </r>
        <r>
          <rPr>
            <sz val="9"/>
            <color indexed="81"/>
            <rFont val="Tahoma"/>
            <family val="2"/>
          </rPr>
          <t xml:space="preserve">
(</t>
        </r>
        <r>
          <rPr>
            <sz val="9"/>
            <color indexed="81"/>
            <rFont val="돋움"/>
            <family val="3"/>
            <charset val="129"/>
          </rPr>
          <t>상품</t>
        </r>
        <r>
          <rPr>
            <sz val="9"/>
            <color indexed="81"/>
            <rFont val="Tahoma"/>
            <family val="2"/>
          </rPr>
          <t xml:space="preserve"> </t>
        </r>
        <r>
          <rPr>
            <sz val="9"/>
            <color indexed="81"/>
            <rFont val="돋움"/>
            <family val="3"/>
            <charset val="129"/>
          </rPr>
          <t>등재가</t>
        </r>
        <r>
          <rPr>
            <sz val="9"/>
            <color indexed="81"/>
            <rFont val="Tahoma"/>
            <family val="2"/>
          </rPr>
          <t xml:space="preserve"> – </t>
        </r>
        <r>
          <rPr>
            <sz val="9"/>
            <color indexed="81"/>
            <rFont val="돋움"/>
            <family val="3"/>
            <charset val="129"/>
          </rPr>
          <t>판매자</t>
        </r>
        <r>
          <rPr>
            <sz val="9"/>
            <color indexed="81"/>
            <rFont val="Tahoma"/>
            <family val="2"/>
          </rPr>
          <t xml:space="preserve"> </t>
        </r>
        <r>
          <rPr>
            <sz val="9"/>
            <color indexed="81"/>
            <rFont val="돋움"/>
            <family val="3"/>
            <charset val="129"/>
          </rPr>
          <t>설정</t>
        </r>
        <r>
          <rPr>
            <sz val="9"/>
            <color indexed="81"/>
            <rFont val="Tahoma"/>
            <family val="2"/>
          </rPr>
          <t xml:space="preserve"> </t>
        </r>
        <r>
          <rPr>
            <sz val="9"/>
            <color indexed="81"/>
            <rFont val="돋움"/>
            <family val="3"/>
            <charset val="129"/>
          </rPr>
          <t>할인</t>
        </r>
        <r>
          <rPr>
            <sz val="9"/>
            <color indexed="81"/>
            <rFont val="Tahoma"/>
            <family val="2"/>
          </rPr>
          <t>) * 3%</t>
        </r>
      </text>
    </comment>
    <comment ref="V129" authorId="0" shapeId="0" xr:uid="{E39F3B39-527B-4A65-A70F-A0FF9927C45E}">
      <text>
        <r>
          <rPr>
            <b/>
            <sz val="9"/>
            <color indexed="81"/>
            <rFont val="Tahoma"/>
            <family val="2"/>
          </rPr>
          <t>user:</t>
        </r>
        <r>
          <rPr>
            <sz val="9"/>
            <color indexed="81"/>
            <rFont val="Tahoma"/>
            <family val="2"/>
          </rPr>
          <t xml:space="preserve">
(</t>
        </r>
        <r>
          <rPr>
            <sz val="9"/>
            <color indexed="81"/>
            <rFont val="돋움"/>
            <family val="3"/>
            <charset val="129"/>
          </rPr>
          <t>상품</t>
        </r>
        <r>
          <rPr>
            <sz val="9"/>
            <color indexed="81"/>
            <rFont val="Tahoma"/>
            <family val="2"/>
          </rPr>
          <t xml:space="preserve"> </t>
        </r>
        <r>
          <rPr>
            <sz val="9"/>
            <color indexed="81"/>
            <rFont val="돋움"/>
            <family val="3"/>
            <charset val="129"/>
          </rPr>
          <t>등재가</t>
        </r>
        <r>
          <rPr>
            <sz val="9"/>
            <color indexed="81"/>
            <rFont val="Tahoma"/>
            <family val="2"/>
          </rPr>
          <t xml:space="preserve"> – </t>
        </r>
        <r>
          <rPr>
            <sz val="9"/>
            <color indexed="81"/>
            <rFont val="돋움"/>
            <family val="3"/>
            <charset val="129"/>
          </rPr>
          <t>판매자</t>
        </r>
        <r>
          <rPr>
            <sz val="9"/>
            <color indexed="81"/>
            <rFont val="Tahoma"/>
            <family val="2"/>
          </rPr>
          <t xml:space="preserve"> </t>
        </r>
        <r>
          <rPr>
            <sz val="9"/>
            <color indexed="81"/>
            <rFont val="돋움"/>
            <family val="3"/>
            <charset val="129"/>
          </rPr>
          <t>설정</t>
        </r>
        <r>
          <rPr>
            <sz val="9"/>
            <color indexed="81"/>
            <rFont val="Tahoma"/>
            <family val="2"/>
          </rPr>
          <t xml:space="preserve"> </t>
        </r>
        <r>
          <rPr>
            <sz val="9"/>
            <color indexed="81"/>
            <rFont val="돋움"/>
            <family val="3"/>
            <charset val="129"/>
          </rPr>
          <t>할인</t>
        </r>
        <r>
          <rPr>
            <sz val="9"/>
            <color indexed="81"/>
            <rFont val="Tahoma"/>
            <family val="2"/>
          </rPr>
          <t>) * 3%</t>
        </r>
      </text>
    </comment>
    <comment ref="V136" authorId="0" shapeId="0" xr:uid="{80AD1F5E-C51F-403D-AB83-DD3A27869B9C}">
      <text>
        <r>
          <rPr>
            <b/>
            <sz val="9"/>
            <color indexed="81"/>
            <rFont val="Tahoma"/>
            <family val="2"/>
          </rPr>
          <t>user:</t>
        </r>
        <r>
          <rPr>
            <sz val="9"/>
            <color indexed="81"/>
            <rFont val="Tahoma"/>
            <family val="2"/>
          </rPr>
          <t xml:space="preserve">
(</t>
        </r>
        <r>
          <rPr>
            <sz val="9"/>
            <color indexed="81"/>
            <rFont val="돋움"/>
            <family val="3"/>
            <charset val="129"/>
          </rPr>
          <t>상품</t>
        </r>
        <r>
          <rPr>
            <sz val="9"/>
            <color indexed="81"/>
            <rFont val="Tahoma"/>
            <family val="2"/>
          </rPr>
          <t xml:space="preserve"> </t>
        </r>
        <r>
          <rPr>
            <sz val="9"/>
            <color indexed="81"/>
            <rFont val="돋움"/>
            <family val="3"/>
            <charset val="129"/>
          </rPr>
          <t>등재가</t>
        </r>
        <r>
          <rPr>
            <sz val="9"/>
            <color indexed="81"/>
            <rFont val="Tahoma"/>
            <family val="2"/>
          </rPr>
          <t xml:space="preserve"> – </t>
        </r>
        <r>
          <rPr>
            <sz val="9"/>
            <color indexed="81"/>
            <rFont val="돋움"/>
            <family val="3"/>
            <charset val="129"/>
          </rPr>
          <t>판매자</t>
        </r>
        <r>
          <rPr>
            <sz val="9"/>
            <color indexed="81"/>
            <rFont val="Tahoma"/>
            <family val="2"/>
          </rPr>
          <t xml:space="preserve"> </t>
        </r>
        <r>
          <rPr>
            <sz val="9"/>
            <color indexed="81"/>
            <rFont val="돋움"/>
            <family val="3"/>
            <charset val="129"/>
          </rPr>
          <t>설정</t>
        </r>
        <r>
          <rPr>
            <sz val="9"/>
            <color indexed="81"/>
            <rFont val="Tahoma"/>
            <family val="2"/>
          </rPr>
          <t xml:space="preserve"> </t>
        </r>
        <r>
          <rPr>
            <sz val="9"/>
            <color indexed="81"/>
            <rFont val="돋움"/>
            <family val="3"/>
            <charset val="129"/>
          </rPr>
          <t>할인</t>
        </r>
        <r>
          <rPr>
            <sz val="9"/>
            <color indexed="81"/>
            <rFont val="Tahoma"/>
            <family val="2"/>
          </rPr>
          <t>) * 3%</t>
        </r>
      </text>
    </comment>
    <comment ref="V143" authorId="0" shapeId="0" xr:uid="{DA51EFA8-5CC9-4C49-A696-37249D79C703}">
      <text>
        <r>
          <rPr>
            <b/>
            <sz val="9"/>
            <color indexed="81"/>
            <rFont val="Tahoma"/>
            <family val="2"/>
          </rPr>
          <t>user:</t>
        </r>
        <r>
          <rPr>
            <sz val="9"/>
            <color indexed="81"/>
            <rFont val="Tahoma"/>
            <family val="2"/>
          </rPr>
          <t xml:space="preserve">
(</t>
        </r>
        <r>
          <rPr>
            <sz val="9"/>
            <color indexed="81"/>
            <rFont val="돋움"/>
            <family val="3"/>
            <charset val="129"/>
          </rPr>
          <t>상품</t>
        </r>
        <r>
          <rPr>
            <sz val="9"/>
            <color indexed="81"/>
            <rFont val="Tahoma"/>
            <family val="2"/>
          </rPr>
          <t xml:space="preserve"> </t>
        </r>
        <r>
          <rPr>
            <sz val="9"/>
            <color indexed="81"/>
            <rFont val="돋움"/>
            <family val="3"/>
            <charset val="129"/>
          </rPr>
          <t>등재가</t>
        </r>
        <r>
          <rPr>
            <sz val="9"/>
            <color indexed="81"/>
            <rFont val="Tahoma"/>
            <family val="2"/>
          </rPr>
          <t xml:space="preserve"> – </t>
        </r>
        <r>
          <rPr>
            <sz val="9"/>
            <color indexed="81"/>
            <rFont val="돋움"/>
            <family val="3"/>
            <charset val="129"/>
          </rPr>
          <t>판매자</t>
        </r>
        <r>
          <rPr>
            <sz val="9"/>
            <color indexed="81"/>
            <rFont val="Tahoma"/>
            <family val="2"/>
          </rPr>
          <t xml:space="preserve"> </t>
        </r>
        <r>
          <rPr>
            <sz val="9"/>
            <color indexed="81"/>
            <rFont val="돋움"/>
            <family val="3"/>
            <charset val="129"/>
          </rPr>
          <t>설정</t>
        </r>
        <r>
          <rPr>
            <sz val="9"/>
            <color indexed="81"/>
            <rFont val="Tahoma"/>
            <family val="2"/>
          </rPr>
          <t xml:space="preserve"> </t>
        </r>
        <r>
          <rPr>
            <sz val="9"/>
            <color indexed="81"/>
            <rFont val="돋움"/>
            <family val="3"/>
            <charset val="129"/>
          </rPr>
          <t>할인</t>
        </r>
        <r>
          <rPr>
            <sz val="9"/>
            <color indexed="81"/>
            <rFont val="Tahoma"/>
            <family val="2"/>
          </rPr>
          <t>) * 3%</t>
        </r>
      </text>
    </comment>
    <comment ref="V150" authorId="0" shapeId="0" xr:uid="{8452CD52-D263-4A45-833B-8AFCAF4C7B9B}">
      <text>
        <r>
          <rPr>
            <b/>
            <sz val="9"/>
            <color indexed="81"/>
            <rFont val="Tahoma"/>
            <family val="2"/>
          </rPr>
          <t>user:</t>
        </r>
        <r>
          <rPr>
            <sz val="9"/>
            <color indexed="81"/>
            <rFont val="Tahoma"/>
            <family val="2"/>
          </rPr>
          <t xml:space="preserve">
(</t>
        </r>
        <r>
          <rPr>
            <sz val="9"/>
            <color indexed="81"/>
            <rFont val="돋움"/>
            <family val="3"/>
            <charset val="129"/>
          </rPr>
          <t>상품</t>
        </r>
        <r>
          <rPr>
            <sz val="9"/>
            <color indexed="81"/>
            <rFont val="Tahoma"/>
            <family val="2"/>
          </rPr>
          <t xml:space="preserve"> </t>
        </r>
        <r>
          <rPr>
            <sz val="9"/>
            <color indexed="81"/>
            <rFont val="돋움"/>
            <family val="3"/>
            <charset val="129"/>
          </rPr>
          <t>등재가</t>
        </r>
        <r>
          <rPr>
            <sz val="9"/>
            <color indexed="81"/>
            <rFont val="Tahoma"/>
            <family val="2"/>
          </rPr>
          <t xml:space="preserve"> – </t>
        </r>
        <r>
          <rPr>
            <sz val="9"/>
            <color indexed="81"/>
            <rFont val="돋움"/>
            <family val="3"/>
            <charset val="129"/>
          </rPr>
          <t>판매자</t>
        </r>
        <r>
          <rPr>
            <sz val="9"/>
            <color indexed="81"/>
            <rFont val="Tahoma"/>
            <family val="2"/>
          </rPr>
          <t xml:space="preserve"> </t>
        </r>
        <r>
          <rPr>
            <sz val="9"/>
            <color indexed="81"/>
            <rFont val="돋움"/>
            <family val="3"/>
            <charset val="129"/>
          </rPr>
          <t>설정</t>
        </r>
        <r>
          <rPr>
            <sz val="9"/>
            <color indexed="81"/>
            <rFont val="Tahoma"/>
            <family val="2"/>
          </rPr>
          <t xml:space="preserve"> </t>
        </r>
        <r>
          <rPr>
            <sz val="9"/>
            <color indexed="81"/>
            <rFont val="돋움"/>
            <family val="3"/>
            <charset val="129"/>
          </rPr>
          <t>할인</t>
        </r>
        <r>
          <rPr>
            <sz val="9"/>
            <color indexed="81"/>
            <rFont val="Tahoma"/>
            <family val="2"/>
          </rPr>
          <t>) * 3%</t>
        </r>
      </text>
    </comment>
    <comment ref="V157" authorId="0" shapeId="0" xr:uid="{F7CCD815-088B-4DA2-9C9F-6F9021CA9297}">
      <text>
        <r>
          <rPr>
            <b/>
            <sz val="9"/>
            <color indexed="81"/>
            <rFont val="Tahoma"/>
            <family val="2"/>
          </rPr>
          <t>user:</t>
        </r>
        <r>
          <rPr>
            <sz val="9"/>
            <color indexed="81"/>
            <rFont val="Tahoma"/>
            <family val="2"/>
          </rPr>
          <t xml:space="preserve">
(</t>
        </r>
        <r>
          <rPr>
            <sz val="9"/>
            <color indexed="81"/>
            <rFont val="돋움"/>
            <family val="3"/>
            <charset val="129"/>
          </rPr>
          <t>상품</t>
        </r>
        <r>
          <rPr>
            <sz val="9"/>
            <color indexed="81"/>
            <rFont val="Tahoma"/>
            <family val="2"/>
          </rPr>
          <t xml:space="preserve"> </t>
        </r>
        <r>
          <rPr>
            <sz val="9"/>
            <color indexed="81"/>
            <rFont val="돋움"/>
            <family val="3"/>
            <charset val="129"/>
          </rPr>
          <t>등재가</t>
        </r>
        <r>
          <rPr>
            <sz val="9"/>
            <color indexed="81"/>
            <rFont val="Tahoma"/>
            <family val="2"/>
          </rPr>
          <t xml:space="preserve"> – </t>
        </r>
        <r>
          <rPr>
            <sz val="9"/>
            <color indexed="81"/>
            <rFont val="돋움"/>
            <family val="3"/>
            <charset val="129"/>
          </rPr>
          <t>판매자</t>
        </r>
        <r>
          <rPr>
            <sz val="9"/>
            <color indexed="81"/>
            <rFont val="Tahoma"/>
            <family val="2"/>
          </rPr>
          <t xml:space="preserve"> </t>
        </r>
        <r>
          <rPr>
            <sz val="9"/>
            <color indexed="81"/>
            <rFont val="돋움"/>
            <family val="3"/>
            <charset val="129"/>
          </rPr>
          <t>설정</t>
        </r>
        <r>
          <rPr>
            <sz val="9"/>
            <color indexed="81"/>
            <rFont val="Tahoma"/>
            <family val="2"/>
          </rPr>
          <t xml:space="preserve"> </t>
        </r>
        <r>
          <rPr>
            <sz val="9"/>
            <color indexed="81"/>
            <rFont val="돋움"/>
            <family val="3"/>
            <charset val="129"/>
          </rPr>
          <t>할인</t>
        </r>
        <r>
          <rPr>
            <sz val="9"/>
            <color indexed="81"/>
            <rFont val="Tahoma"/>
            <family val="2"/>
          </rPr>
          <t>) * 3%</t>
        </r>
      </text>
    </comment>
    <comment ref="V164" authorId="0" shapeId="0" xr:uid="{DBCB0F6A-7F82-4D1D-B252-18FC28DD36BB}">
      <text>
        <r>
          <rPr>
            <b/>
            <sz val="9"/>
            <color indexed="81"/>
            <rFont val="Tahoma"/>
            <family val="2"/>
          </rPr>
          <t>user:</t>
        </r>
        <r>
          <rPr>
            <sz val="9"/>
            <color indexed="81"/>
            <rFont val="Tahoma"/>
            <family val="2"/>
          </rPr>
          <t xml:space="preserve">
(</t>
        </r>
        <r>
          <rPr>
            <sz val="9"/>
            <color indexed="81"/>
            <rFont val="돋움"/>
            <family val="3"/>
            <charset val="129"/>
          </rPr>
          <t>상품</t>
        </r>
        <r>
          <rPr>
            <sz val="9"/>
            <color indexed="81"/>
            <rFont val="Tahoma"/>
            <family val="2"/>
          </rPr>
          <t xml:space="preserve"> </t>
        </r>
        <r>
          <rPr>
            <sz val="9"/>
            <color indexed="81"/>
            <rFont val="돋움"/>
            <family val="3"/>
            <charset val="129"/>
          </rPr>
          <t>등재가</t>
        </r>
        <r>
          <rPr>
            <sz val="9"/>
            <color indexed="81"/>
            <rFont val="Tahoma"/>
            <family val="2"/>
          </rPr>
          <t xml:space="preserve"> – </t>
        </r>
        <r>
          <rPr>
            <sz val="9"/>
            <color indexed="81"/>
            <rFont val="돋움"/>
            <family val="3"/>
            <charset val="129"/>
          </rPr>
          <t>판매자</t>
        </r>
        <r>
          <rPr>
            <sz val="9"/>
            <color indexed="81"/>
            <rFont val="Tahoma"/>
            <family val="2"/>
          </rPr>
          <t xml:space="preserve"> </t>
        </r>
        <r>
          <rPr>
            <sz val="9"/>
            <color indexed="81"/>
            <rFont val="돋움"/>
            <family val="3"/>
            <charset val="129"/>
          </rPr>
          <t>설정</t>
        </r>
        <r>
          <rPr>
            <sz val="9"/>
            <color indexed="81"/>
            <rFont val="Tahoma"/>
            <family val="2"/>
          </rPr>
          <t xml:space="preserve"> </t>
        </r>
        <r>
          <rPr>
            <sz val="9"/>
            <color indexed="81"/>
            <rFont val="돋움"/>
            <family val="3"/>
            <charset val="129"/>
          </rPr>
          <t>할인</t>
        </r>
        <r>
          <rPr>
            <sz val="9"/>
            <color indexed="81"/>
            <rFont val="Tahoma"/>
            <family val="2"/>
          </rPr>
          <t>) * 3%</t>
        </r>
      </text>
    </comment>
    <comment ref="V171" authorId="0" shapeId="0" xr:uid="{1CE483C0-3D6D-4D77-8CF8-A234835DD2CD}">
      <text>
        <r>
          <rPr>
            <b/>
            <sz val="9"/>
            <color indexed="81"/>
            <rFont val="Tahoma"/>
            <family val="2"/>
          </rPr>
          <t>user:</t>
        </r>
        <r>
          <rPr>
            <sz val="9"/>
            <color indexed="81"/>
            <rFont val="Tahoma"/>
            <family val="2"/>
          </rPr>
          <t xml:space="preserve">
(</t>
        </r>
        <r>
          <rPr>
            <sz val="9"/>
            <color indexed="81"/>
            <rFont val="돋움"/>
            <family val="3"/>
            <charset val="129"/>
          </rPr>
          <t>상품</t>
        </r>
        <r>
          <rPr>
            <sz val="9"/>
            <color indexed="81"/>
            <rFont val="Tahoma"/>
            <family val="2"/>
          </rPr>
          <t xml:space="preserve"> </t>
        </r>
        <r>
          <rPr>
            <sz val="9"/>
            <color indexed="81"/>
            <rFont val="돋움"/>
            <family val="3"/>
            <charset val="129"/>
          </rPr>
          <t>등재가</t>
        </r>
        <r>
          <rPr>
            <sz val="9"/>
            <color indexed="81"/>
            <rFont val="Tahoma"/>
            <family val="2"/>
          </rPr>
          <t xml:space="preserve"> – </t>
        </r>
        <r>
          <rPr>
            <sz val="9"/>
            <color indexed="81"/>
            <rFont val="돋움"/>
            <family val="3"/>
            <charset val="129"/>
          </rPr>
          <t>판매자</t>
        </r>
        <r>
          <rPr>
            <sz val="9"/>
            <color indexed="81"/>
            <rFont val="Tahoma"/>
            <family val="2"/>
          </rPr>
          <t xml:space="preserve"> </t>
        </r>
        <r>
          <rPr>
            <sz val="9"/>
            <color indexed="81"/>
            <rFont val="돋움"/>
            <family val="3"/>
            <charset val="129"/>
          </rPr>
          <t>설정</t>
        </r>
        <r>
          <rPr>
            <sz val="9"/>
            <color indexed="81"/>
            <rFont val="Tahoma"/>
            <family val="2"/>
          </rPr>
          <t xml:space="preserve"> </t>
        </r>
        <r>
          <rPr>
            <sz val="9"/>
            <color indexed="81"/>
            <rFont val="돋움"/>
            <family val="3"/>
            <charset val="129"/>
          </rPr>
          <t>할인</t>
        </r>
        <r>
          <rPr>
            <sz val="9"/>
            <color indexed="81"/>
            <rFont val="Tahoma"/>
            <family val="2"/>
          </rPr>
          <t>) * 3%</t>
        </r>
      </text>
    </comment>
    <comment ref="V178" authorId="0" shapeId="0" xr:uid="{0AA7BCCA-DC30-45AC-BA23-8AFC3DD0F686}">
      <text>
        <r>
          <rPr>
            <b/>
            <sz val="9"/>
            <color indexed="81"/>
            <rFont val="Tahoma"/>
            <family val="2"/>
          </rPr>
          <t>user:</t>
        </r>
        <r>
          <rPr>
            <sz val="9"/>
            <color indexed="81"/>
            <rFont val="Tahoma"/>
            <family val="2"/>
          </rPr>
          <t xml:space="preserve">
(</t>
        </r>
        <r>
          <rPr>
            <sz val="9"/>
            <color indexed="81"/>
            <rFont val="돋움"/>
            <family val="3"/>
            <charset val="129"/>
          </rPr>
          <t>상품</t>
        </r>
        <r>
          <rPr>
            <sz val="9"/>
            <color indexed="81"/>
            <rFont val="Tahoma"/>
            <family val="2"/>
          </rPr>
          <t xml:space="preserve"> </t>
        </r>
        <r>
          <rPr>
            <sz val="9"/>
            <color indexed="81"/>
            <rFont val="돋움"/>
            <family val="3"/>
            <charset val="129"/>
          </rPr>
          <t>등재가</t>
        </r>
        <r>
          <rPr>
            <sz val="9"/>
            <color indexed="81"/>
            <rFont val="Tahoma"/>
            <family val="2"/>
          </rPr>
          <t xml:space="preserve"> – </t>
        </r>
        <r>
          <rPr>
            <sz val="9"/>
            <color indexed="81"/>
            <rFont val="돋움"/>
            <family val="3"/>
            <charset val="129"/>
          </rPr>
          <t>판매자</t>
        </r>
        <r>
          <rPr>
            <sz val="9"/>
            <color indexed="81"/>
            <rFont val="Tahoma"/>
            <family val="2"/>
          </rPr>
          <t xml:space="preserve"> </t>
        </r>
        <r>
          <rPr>
            <sz val="9"/>
            <color indexed="81"/>
            <rFont val="돋움"/>
            <family val="3"/>
            <charset val="129"/>
          </rPr>
          <t>설정</t>
        </r>
        <r>
          <rPr>
            <sz val="9"/>
            <color indexed="81"/>
            <rFont val="Tahoma"/>
            <family val="2"/>
          </rPr>
          <t xml:space="preserve"> </t>
        </r>
        <r>
          <rPr>
            <sz val="9"/>
            <color indexed="81"/>
            <rFont val="돋움"/>
            <family val="3"/>
            <charset val="129"/>
          </rPr>
          <t>할인</t>
        </r>
        <r>
          <rPr>
            <sz val="9"/>
            <color indexed="81"/>
            <rFont val="Tahoma"/>
            <family val="2"/>
          </rPr>
          <t>) * 3%</t>
        </r>
      </text>
    </comment>
    <comment ref="V185" authorId="0" shapeId="0" xr:uid="{F3287B89-5395-4190-8EEA-972E6ED60BB1}">
      <text>
        <r>
          <rPr>
            <b/>
            <sz val="9"/>
            <color indexed="81"/>
            <rFont val="Tahoma"/>
            <family val="2"/>
          </rPr>
          <t>user:</t>
        </r>
        <r>
          <rPr>
            <sz val="9"/>
            <color indexed="81"/>
            <rFont val="Tahoma"/>
            <family val="2"/>
          </rPr>
          <t xml:space="preserve">
(</t>
        </r>
        <r>
          <rPr>
            <sz val="9"/>
            <color indexed="81"/>
            <rFont val="돋움"/>
            <family val="3"/>
            <charset val="129"/>
          </rPr>
          <t>상품</t>
        </r>
        <r>
          <rPr>
            <sz val="9"/>
            <color indexed="81"/>
            <rFont val="Tahoma"/>
            <family val="2"/>
          </rPr>
          <t xml:space="preserve"> </t>
        </r>
        <r>
          <rPr>
            <sz val="9"/>
            <color indexed="81"/>
            <rFont val="돋움"/>
            <family val="3"/>
            <charset val="129"/>
          </rPr>
          <t>등재가</t>
        </r>
        <r>
          <rPr>
            <sz val="9"/>
            <color indexed="81"/>
            <rFont val="Tahoma"/>
            <family val="2"/>
          </rPr>
          <t xml:space="preserve"> – </t>
        </r>
        <r>
          <rPr>
            <sz val="9"/>
            <color indexed="81"/>
            <rFont val="돋움"/>
            <family val="3"/>
            <charset val="129"/>
          </rPr>
          <t>판매자</t>
        </r>
        <r>
          <rPr>
            <sz val="9"/>
            <color indexed="81"/>
            <rFont val="Tahoma"/>
            <family val="2"/>
          </rPr>
          <t xml:space="preserve"> </t>
        </r>
        <r>
          <rPr>
            <sz val="9"/>
            <color indexed="81"/>
            <rFont val="돋움"/>
            <family val="3"/>
            <charset val="129"/>
          </rPr>
          <t>설정</t>
        </r>
        <r>
          <rPr>
            <sz val="9"/>
            <color indexed="81"/>
            <rFont val="Tahoma"/>
            <family val="2"/>
          </rPr>
          <t xml:space="preserve"> </t>
        </r>
        <r>
          <rPr>
            <sz val="9"/>
            <color indexed="81"/>
            <rFont val="돋움"/>
            <family val="3"/>
            <charset val="129"/>
          </rPr>
          <t>할인</t>
        </r>
        <r>
          <rPr>
            <sz val="9"/>
            <color indexed="81"/>
            <rFont val="Tahoma"/>
            <family val="2"/>
          </rPr>
          <t>) * 3%</t>
        </r>
      </text>
    </comment>
    <comment ref="V192" authorId="0" shapeId="0" xr:uid="{0BB5B287-7D84-4BCD-AC57-D7E550A3D843}">
      <text>
        <r>
          <rPr>
            <b/>
            <sz val="9"/>
            <color indexed="81"/>
            <rFont val="Tahoma"/>
            <family val="2"/>
          </rPr>
          <t>user:</t>
        </r>
        <r>
          <rPr>
            <sz val="9"/>
            <color indexed="81"/>
            <rFont val="Tahoma"/>
            <family val="2"/>
          </rPr>
          <t xml:space="preserve">
(</t>
        </r>
        <r>
          <rPr>
            <sz val="9"/>
            <color indexed="81"/>
            <rFont val="돋움"/>
            <family val="3"/>
            <charset val="129"/>
          </rPr>
          <t>상품</t>
        </r>
        <r>
          <rPr>
            <sz val="9"/>
            <color indexed="81"/>
            <rFont val="Tahoma"/>
            <family val="2"/>
          </rPr>
          <t xml:space="preserve"> </t>
        </r>
        <r>
          <rPr>
            <sz val="9"/>
            <color indexed="81"/>
            <rFont val="돋움"/>
            <family val="3"/>
            <charset val="129"/>
          </rPr>
          <t>등재가</t>
        </r>
        <r>
          <rPr>
            <sz val="9"/>
            <color indexed="81"/>
            <rFont val="Tahoma"/>
            <family val="2"/>
          </rPr>
          <t xml:space="preserve"> – </t>
        </r>
        <r>
          <rPr>
            <sz val="9"/>
            <color indexed="81"/>
            <rFont val="돋움"/>
            <family val="3"/>
            <charset val="129"/>
          </rPr>
          <t>판매자</t>
        </r>
        <r>
          <rPr>
            <sz val="9"/>
            <color indexed="81"/>
            <rFont val="Tahoma"/>
            <family val="2"/>
          </rPr>
          <t xml:space="preserve"> </t>
        </r>
        <r>
          <rPr>
            <sz val="9"/>
            <color indexed="81"/>
            <rFont val="돋움"/>
            <family val="3"/>
            <charset val="129"/>
          </rPr>
          <t>설정</t>
        </r>
        <r>
          <rPr>
            <sz val="9"/>
            <color indexed="81"/>
            <rFont val="Tahoma"/>
            <family val="2"/>
          </rPr>
          <t xml:space="preserve"> </t>
        </r>
        <r>
          <rPr>
            <sz val="9"/>
            <color indexed="81"/>
            <rFont val="돋움"/>
            <family val="3"/>
            <charset val="129"/>
          </rPr>
          <t>할인</t>
        </r>
        <r>
          <rPr>
            <sz val="9"/>
            <color indexed="81"/>
            <rFont val="Tahoma"/>
            <family val="2"/>
          </rPr>
          <t>) * 3%</t>
        </r>
      </text>
    </comment>
    <comment ref="V197" authorId="0" shapeId="0" xr:uid="{5A93F82A-8637-442B-B510-C53518E774D1}">
      <text>
        <r>
          <rPr>
            <b/>
            <sz val="9"/>
            <color indexed="81"/>
            <rFont val="Tahoma"/>
            <family val="2"/>
          </rPr>
          <t>user:</t>
        </r>
        <r>
          <rPr>
            <sz val="9"/>
            <color indexed="81"/>
            <rFont val="Tahoma"/>
            <family val="2"/>
          </rPr>
          <t xml:space="preserve">
(</t>
        </r>
        <r>
          <rPr>
            <sz val="9"/>
            <color indexed="81"/>
            <rFont val="돋움"/>
            <family val="3"/>
            <charset val="129"/>
          </rPr>
          <t>상품</t>
        </r>
        <r>
          <rPr>
            <sz val="9"/>
            <color indexed="81"/>
            <rFont val="Tahoma"/>
            <family val="2"/>
          </rPr>
          <t xml:space="preserve"> </t>
        </r>
        <r>
          <rPr>
            <sz val="9"/>
            <color indexed="81"/>
            <rFont val="돋움"/>
            <family val="3"/>
            <charset val="129"/>
          </rPr>
          <t>등재가</t>
        </r>
        <r>
          <rPr>
            <sz val="9"/>
            <color indexed="81"/>
            <rFont val="Tahoma"/>
            <family val="2"/>
          </rPr>
          <t xml:space="preserve"> – </t>
        </r>
        <r>
          <rPr>
            <sz val="9"/>
            <color indexed="81"/>
            <rFont val="돋움"/>
            <family val="3"/>
            <charset val="129"/>
          </rPr>
          <t>판매자</t>
        </r>
        <r>
          <rPr>
            <sz val="9"/>
            <color indexed="81"/>
            <rFont val="Tahoma"/>
            <family val="2"/>
          </rPr>
          <t xml:space="preserve"> </t>
        </r>
        <r>
          <rPr>
            <sz val="9"/>
            <color indexed="81"/>
            <rFont val="돋움"/>
            <family val="3"/>
            <charset val="129"/>
          </rPr>
          <t>설정</t>
        </r>
        <r>
          <rPr>
            <sz val="9"/>
            <color indexed="81"/>
            <rFont val="Tahoma"/>
            <family val="2"/>
          </rPr>
          <t xml:space="preserve"> </t>
        </r>
        <r>
          <rPr>
            <sz val="9"/>
            <color indexed="81"/>
            <rFont val="돋움"/>
            <family val="3"/>
            <charset val="129"/>
          </rPr>
          <t>할인</t>
        </r>
        <r>
          <rPr>
            <sz val="9"/>
            <color indexed="81"/>
            <rFont val="Tahoma"/>
            <family val="2"/>
          </rPr>
          <t>) * 3%</t>
        </r>
      </text>
    </comment>
    <comment ref="V204" authorId="0" shapeId="0" xr:uid="{407ECA20-9E43-43E4-9349-394E0CC0659B}">
      <text>
        <r>
          <rPr>
            <b/>
            <sz val="9"/>
            <color indexed="81"/>
            <rFont val="Tahoma"/>
            <family val="2"/>
          </rPr>
          <t>user:</t>
        </r>
        <r>
          <rPr>
            <sz val="9"/>
            <color indexed="81"/>
            <rFont val="Tahoma"/>
            <family val="2"/>
          </rPr>
          <t xml:space="preserve">
(</t>
        </r>
        <r>
          <rPr>
            <sz val="9"/>
            <color indexed="81"/>
            <rFont val="돋움"/>
            <family val="3"/>
            <charset val="129"/>
          </rPr>
          <t>상품</t>
        </r>
        <r>
          <rPr>
            <sz val="9"/>
            <color indexed="81"/>
            <rFont val="Tahoma"/>
            <family val="2"/>
          </rPr>
          <t xml:space="preserve"> </t>
        </r>
        <r>
          <rPr>
            <sz val="9"/>
            <color indexed="81"/>
            <rFont val="돋움"/>
            <family val="3"/>
            <charset val="129"/>
          </rPr>
          <t>등재가</t>
        </r>
        <r>
          <rPr>
            <sz val="9"/>
            <color indexed="81"/>
            <rFont val="Tahoma"/>
            <family val="2"/>
          </rPr>
          <t xml:space="preserve"> – </t>
        </r>
        <r>
          <rPr>
            <sz val="9"/>
            <color indexed="81"/>
            <rFont val="돋움"/>
            <family val="3"/>
            <charset val="129"/>
          </rPr>
          <t>판매자</t>
        </r>
        <r>
          <rPr>
            <sz val="9"/>
            <color indexed="81"/>
            <rFont val="Tahoma"/>
            <family val="2"/>
          </rPr>
          <t xml:space="preserve"> </t>
        </r>
        <r>
          <rPr>
            <sz val="9"/>
            <color indexed="81"/>
            <rFont val="돋움"/>
            <family val="3"/>
            <charset val="129"/>
          </rPr>
          <t>설정</t>
        </r>
        <r>
          <rPr>
            <sz val="9"/>
            <color indexed="81"/>
            <rFont val="Tahoma"/>
            <family val="2"/>
          </rPr>
          <t xml:space="preserve"> </t>
        </r>
        <r>
          <rPr>
            <sz val="9"/>
            <color indexed="81"/>
            <rFont val="돋움"/>
            <family val="3"/>
            <charset val="129"/>
          </rPr>
          <t>할인</t>
        </r>
        <r>
          <rPr>
            <sz val="9"/>
            <color indexed="81"/>
            <rFont val="Tahoma"/>
            <family val="2"/>
          </rPr>
          <t>) * 3%</t>
        </r>
      </text>
    </comment>
    <comment ref="V211" authorId="0" shapeId="0" xr:uid="{F9BAAC57-95C6-4A18-8C90-251FD9A9FF5B}">
      <text>
        <r>
          <rPr>
            <b/>
            <sz val="9"/>
            <color indexed="81"/>
            <rFont val="Tahoma"/>
            <family val="2"/>
          </rPr>
          <t>user:</t>
        </r>
        <r>
          <rPr>
            <sz val="9"/>
            <color indexed="81"/>
            <rFont val="Tahoma"/>
            <family val="2"/>
          </rPr>
          <t xml:space="preserve">
(</t>
        </r>
        <r>
          <rPr>
            <sz val="9"/>
            <color indexed="81"/>
            <rFont val="돋움"/>
            <family val="3"/>
            <charset val="129"/>
          </rPr>
          <t>상품</t>
        </r>
        <r>
          <rPr>
            <sz val="9"/>
            <color indexed="81"/>
            <rFont val="Tahoma"/>
            <family val="2"/>
          </rPr>
          <t xml:space="preserve"> </t>
        </r>
        <r>
          <rPr>
            <sz val="9"/>
            <color indexed="81"/>
            <rFont val="돋움"/>
            <family val="3"/>
            <charset val="129"/>
          </rPr>
          <t>등재가</t>
        </r>
        <r>
          <rPr>
            <sz val="9"/>
            <color indexed="81"/>
            <rFont val="Tahoma"/>
            <family val="2"/>
          </rPr>
          <t xml:space="preserve"> – </t>
        </r>
        <r>
          <rPr>
            <sz val="9"/>
            <color indexed="81"/>
            <rFont val="돋움"/>
            <family val="3"/>
            <charset val="129"/>
          </rPr>
          <t>판매자</t>
        </r>
        <r>
          <rPr>
            <sz val="9"/>
            <color indexed="81"/>
            <rFont val="Tahoma"/>
            <family val="2"/>
          </rPr>
          <t xml:space="preserve"> </t>
        </r>
        <r>
          <rPr>
            <sz val="9"/>
            <color indexed="81"/>
            <rFont val="돋움"/>
            <family val="3"/>
            <charset val="129"/>
          </rPr>
          <t>설정</t>
        </r>
        <r>
          <rPr>
            <sz val="9"/>
            <color indexed="81"/>
            <rFont val="Tahoma"/>
            <family val="2"/>
          </rPr>
          <t xml:space="preserve"> </t>
        </r>
        <r>
          <rPr>
            <sz val="9"/>
            <color indexed="81"/>
            <rFont val="돋움"/>
            <family val="3"/>
            <charset val="129"/>
          </rPr>
          <t>할인</t>
        </r>
        <r>
          <rPr>
            <sz val="9"/>
            <color indexed="81"/>
            <rFont val="Tahoma"/>
            <family val="2"/>
          </rPr>
          <t>) * 3%</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user</author>
  </authors>
  <commentList>
    <comment ref="V12" authorId="0" shapeId="0" xr:uid="{40A963FA-715D-4CBA-8E92-EAD9CC921992}">
      <text>
        <r>
          <rPr>
            <b/>
            <sz val="9"/>
            <color indexed="81"/>
            <rFont val="Tahoma"/>
            <family val="2"/>
          </rPr>
          <t>user:</t>
        </r>
        <r>
          <rPr>
            <sz val="9"/>
            <color indexed="81"/>
            <rFont val="Tahoma"/>
            <family val="2"/>
          </rPr>
          <t xml:space="preserve">
(</t>
        </r>
        <r>
          <rPr>
            <sz val="9"/>
            <color indexed="81"/>
            <rFont val="돋움"/>
            <family val="3"/>
            <charset val="129"/>
          </rPr>
          <t>상품</t>
        </r>
        <r>
          <rPr>
            <sz val="9"/>
            <color indexed="81"/>
            <rFont val="Tahoma"/>
            <family val="2"/>
          </rPr>
          <t xml:space="preserve"> </t>
        </r>
        <r>
          <rPr>
            <sz val="9"/>
            <color indexed="81"/>
            <rFont val="돋움"/>
            <family val="3"/>
            <charset val="129"/>
          </rPr>
          <t>등재가</t>
        </r>
        <r>
          <rPr>
            <sz val="9"/>
            <color indexed="81"/>
            <rFont val="Tahoma"/>
            <family val="2"/>
          </rPr>
          <t xml:space="preserve"> – </t>
        </r>
        <r>
          <rPr>
            <sz val="9"/>
            <color indexed="81"/>
            <rFont val="돋움"/>
            <family val="3"/>
            <charset val="129"/>
          </rPr>
          <t>판매자</t>
        </r>
        <r>
          <rPr>
            <sz val="9"/>
            <color indexed="81"/>
            <rFont val="Tahoma"/>
            <family val="2"/>
          </rPr>
          <t xml:space="preserve"> </t>
        </r>
        <r>
          <rPr>
            <sz val="9"/>
            <color indexed="81"/>
            <rFont val="돋움"/>
            <family val="3"/>
            <charset val="129"/>
          </rPr>
          <t>설정</t>
        </r>
        <r>
          <rPr>
            <sz val="9"/>
            <color indexed="81"/>
            <rFont val="Tahoma"/>
            <family val="2"/>
          </rPr>
          <t xml:space="preserve"> </t>
        </r>
        <r>
          <rPr>
            <sz val="9"/>
            <color indexed="81"/>
            <rFont val="돋움"/>
            <family val="3"/>
            <charset val="129"/>
          </rPr>
          <t>할인</t>
        </r>
        <r>
          <rPr>
            <sz val="9"/>
            <color indexed="81"/>
            <rFont val="Tahoma"/>
            <family val="2"/>
          </rPr>
          <t>) * 3%</t>
        </r>
      </text>
    </comment>
    <comment ref="V17" authorId="0" shapeId="0" xr:uid="{E1F160E3-9806-4E56-9C7C-CCF55E738A46}">
      <text>
        <r>
          <rPr>
            <b/>
            <sz val="9"/>
            <color indexed="81"/>
            <rFont val="Tahoma"/>
            <family val="2"/>
          </rPr>
          <t>user:</t>
        </r>
        <r>
          <rPr>
            <sz val="9"/>
            <color indexed="81"/>
            <rFont val="Tahoma"/>
            <family val="2"/>
          </rPr>
          <t xml:space="preserve">
(</t>
        </r>
        <r>
          <rPr>
            <sz val="9"/>
            <color indexed="81"/>
            <rFont val="돋움"/>
            <family val="3"/>
            <charset val="129"/>
          </rPr>
          <t>상품</t>
        </r>
        <r>
          <rPr>
            <sz val="9"/>
            <color indexed="81"/>
            <rFont val="Tahoma"/>
            <family val="2"/>
          </rPr>
          <t xml:space="preserve"> </t>
        </r>
        <r>
          <rPr>
            <sz val="9"/>
            <color indexed="81"/>
            <rFont val="돋움"/>
            <family val="3"/>
            <charset val="129"/>
          </rPr>
          <t>등재가</t>
        </r>
        <r>
          <rPr>
            <sz val="9"/>
            <color indexed="81"/>
            <rFont val="Tahoma"/>
            <family val="2"/>
          </rPr>
          <t xml:space="preserve"> – </t>
        </r>
        <r>
          <rPr>
            <sz val="9"/>
            <color indexed="81"/>
            <rFont val="돋움"/>
            <family val="3"/>
            <charset val="129"/>
          </rPr>
          <t>판매자</t>
        </r>
        <r>
          <rPr>
            <sz val="9"/>
            <color indexed="81"/>
            <rFont val="Tahoma"/>
            <family val="2"/>
          </rPr>
          <t xml:space="preserve"> </t>
        </r>
        <r>
          <rPr>
            <sz val="9"/>
            <color indexed="81"/>
            <rFont val="돋움"/>
            <family val="3"/>
            <charset val="129"/>
          </rPr>
          <t>설정</t>
        </r>
        <r>
          <rPr>
            <sz val="9"/>
            <color indexed="81"/>
            <rFont val="Tahoma"/>
            <family val="2"/>
          </rPr>
          <t xml:space="preserve"> </t>
        </r>
        <r>
          <rPr>
            <sz val="9"/>
            <color indexed="81"/>
            <rFont val="돋움"/>
            <family val="3"/>
            <charset val="129"/>
          </rPr>
          <t>할인</t>
        </r>
        <r>
          <rPr>
            <sz val="9"/>
            <color indexed="81"/>
            <rFont val="Tahoma"/>
            <family val="2"/>
          </rPr>
          <t>) * 3%</t>
        </r>
      </text>
    </comment>
    <comment ref="V24" authorId="0" shapeId="0" xr:uid="{6F128AAC-D3A7-456D-BB9A-5357297A59F8}">
      <text>
        <r>
          <rPr>
            <b/>
            <sz val="9"/>
            <color indexed="81"/>
            <rFont val="Tahoma"/>
            <family val="2"/>
          </rPr>
          <t>user:</t>
        </r>
        <r>
          <rPr>
            <sz val="9"/>
            <color indexed="81"/>
            <rFont val="Tahoma"/>
            <family val="2"/>
          </rPr>
          <t xml:space="preserve">
(</t>
        </r>
        <r>
          <rPr>
            <sz val="9"/>
            <color indexed="81"/>
            <rFont val="돋움"/>
            <family val="3"/>
            <charset val="129"/>
          </rPr>
          <t>상품</t>
        </r>
        <r>
          <rPr>
            <sz val="9"/>
            <color indexed="81"/>
            <rFont val="Tahoma"/>
            <family val="2"/>
          </rPr>
          <t xml:space="preserve"> </t>
        </r>
        <r>
          <rPr>
            <sz val="9"/>
            <color indexed="81"/>
            <rFont val="돋움"/>
            <family val="3"/>
            <charset val="129"/>
          </rPr>
          <t>등재가</t>
        </r>
        <r>
          <rPr>
            <sz val="9"/>
            <color indexed="81"/>
            <rFont val="Tahoma"/>
            <family val="2"/>
          </rPr>
          <t xml:space="preserve"> – </t>
        </r>
        <r>
          <rPr>
            <sz val="9"/>
            <color indexed="81"/>
            <rFont val="돋움"/>
            <family val="3"/>
            <charset val="129"/>
          </rPr>
          <t>판매자</t>
        </r>
        <r>
          <rPr>
            <sz val="9"/>
            <color indexed="81"/>
            <rFont val="Tahoma"/>
            <family val="2"/>
          </rPr>
          <t xml:space="preserve"> </t>
        </r>
        <r>
          <rPr>
            <sz val="9"/>
            <color indexed="81"/>
            <rFont val="돋움"/>
            <family val="3"/>
            <charset val="129"/>
          </rPr>
          <t>설정</t>
        </r>
        <r>
          <rPr>
            <sz val="9"/>
            <color indexed="81"/>
            <rFont val="Tahoma"/>
            <family val="2"/>
          </rPr>
          <t xml:space="preserve"> </t>
        </r>
        <r>
          <rPr>
            <sz val="9"/>
            <color indexed="81"/>
            <rFont val="돋움"/>
            <family val="3"/>
            <charset val="129"/>
          </rPr>
          <t>할인</t>
        </r>
        <r>
          <rPr>
            <sz val="9"/>
            <color indexed="81"/>
            <rFont val="Tahoma"/>
            <family val="2"/>
          </rPr>
          <t>) * 3%</t>
        </r>
      </text>
    </comment>
    <comment ref="V29" authorId="0" shapeId="0" xr:uid="{4C2E2BA8-F43B-430F-961F-F22BBEAE1FDE}">
      <text>
        <r>
          <rPr>
            <b/>
            <sz val="9"/>
            <color indexed="81"/>
            <rFont val="Tahoma"/>
            <family val="2"/>
          </rPr>
          <t>user:</t>
        </r>
        <r>
          <rPr>
            <sz val="9"/>
            <color indexed="81"/>
            <rFont val="Tahoma"/>
            <family val="2"/>
          </rPr>
          <t xml:space="preserve">
(</t>
        </r>
        <r>
          <rPr>
            <sz val="9"/>
            <color indexed="81"/>
            <rFont val="돋움"/>
            <family val="3"/>
            <charset val="129"/>
          </rPr>
          <t>상품</t>
        </r>
        <r>
          <rPr>
            <sz val="9"/>
            <color indexed="81"/>
            <rFont val="Tahoma"/>
            <family val="2"/>
          </rPr>
          <t xml:space="preserve"> </t>
        </r>
        <r>
          <rPr>
            <sz val="9"/>
            <color indexed="81"/>
            <rFont val="돋움"/>
            <family val="3"/>
            <charset val="129"/>
          </rPr>
          <t>등재가</t>
        </r>
        <r>
          <rPr>
            <sz val="9"/>
            <color indexed="81"/>
            <rFont val="Tahoma"/>
            <family val="2"/>
          </rPr>
          <t xml:space="preserve"> – </t>
        </r>
        <r>
          <rPr>
            <sz val="9"/>
            <color indexed="81"/>
            <rFont val="돋움"/>
            <family val="3"/>
            <charset val="129"/>
          </rPr>
          <t>판매자</t>
        </r>
        <r>
          <rPr>
            <sz val="9"/>
            <color indexed="81"/>
            <rFont val="Tahoma"/>
            <family val="2"/>
          </rPr>
          <t xml:space="preserve"> </t>
        </r>
        <r>
          <rPr>
            <sz val="9"/>
            <color indexed="81"/>
            <rFont val="돋움"/>
            <family val="3"/>
            <charset val="129"/>
          </rPr>
          <t>설정</t>
        </r>
        <r>
          <rPr>
            <sz val="9"/>
            <color indexed="81"/>
            <rFont val="Tahoma"/>
            <family val="2"/>
          </rPr>
          <t xml:space="preserve"> </t>
        </r>
        <r>
          <rPr>
            <sz val="9"/>
            <color indexed="81"/>
            <rFont val="돋움"/>
            <family val="3"/>
            <charset val="129"/>
          </rPr>
          <t>할인</t>
        </r>
        <r>
          <rPr>
            <sz val="9"/>
            <color indexed="81"/>
            <rFont val="Tahoma"/>
            <family val="2"/>
          </rPr>
          <t>) * 3%</t>
        </r>
      </text>
    </comment>
    <comment ref="V36" authorId="0" shapeId="0" xr:uid="{CCDE799D-9FF8-48A3-A4CE-94A98F0B7876}">
      <text>
        <r>
          <rPr>
            <b/>
            <sz val="9"/>
            <color indexed="81"/>
            <rFont val="Tahoma"/>
            <family val="2"/>
          </rPr>
          <t>user:</t>
        </r>
        <r>
          <rPr>
            <sz val="9"/>
            <color indexed="81"/>
            <rFont val="Tahoma"/>
            <family val="2"/>
          </rPr>
          <t xml:space="preserve">
(</t>
        </r>
        <r>
          <rPr>
            <sz val="9"/>
            <color indexed="81"/>
            <rFont val="돋움"/>
            <family val="3"/>
            <charset val="129"/>
          </rPr>
          <t>상품</t>
        </r>
        <r>
          <rPr>
            <sz val="9"/>
            <color indexed="81"/>
            <rFont val="Tahoma"/>
            <family val="2"/>
          </rPr>
          <t xml:space="preserve"> </t>
        </r>
        <r>
          <rPr>
            <sz val="9"/>
            <color indexed="81"/>
            <rFont val="돋움"/>
            <family val="3"/>
            <charset val="129"/>
          </rPr>
          <t>등재가</t>
        </r>
        <r>
          <rPr>
            <sz val="9"/>
            <color indexed="81"/>
            <rFont val="Tahoma"/>
            <family val="2"/>
          </rPr>
          <t xml:space="preserve"> – </t>
        </r>
        <r>
          <rPr>
            <sz val="9"/>
            <color indexed="81"/>
            <rFont val="돋움"/>
            <family val="3"/>
            <charset val="129"/>
          </rPr>
          <t>판매자</t>
        </r>
        <r>
          <rPr>
            <sz val="9"/>
            <color indexed="81"/>
            <rFont val="Tahoma"/>
            <family val="2"/>
          </rPr>
          <t xml:space="preserve"> </t>
        </r>
        <r>
          <rPr>
            <sz val="9"/>
            <color indexed="81"/>
            <rFont val="돋움"/>
            <family val="3"/>
            <charset val="129"/>
          </rPr>
          <t>설정</t>
        </r>
        <r>
          <rPr>
            <sz val="9"/>
            <color indexed="81"/>
            <rFont val="Tahoma"/>
            <family val="2"/>
          </rPr>
          <t xml:space="preserve"> </t>
        </r>
        <r>
          <rPr>
            <sz val="9"/>
            <color indexed="81"/>
            <rFont val="돋움"/>
            <family val="3"/>
            <charset val="129"/>
          </rPr>
          <t>할인</t>
        </r>
        <r>
          <rPr>
            <sz val="9"/>
            <color indexed="81"/>
            <rFont val="Tahoma"/>
            <family val="2"/>
          </rPr>
          <t>) * 3%</t>
        </r>
      </text>
    </comment>
    <comment ref="V41" authorId="0" shapeId="0" xr:uid="{6552A264-2D79-4D36-A0C5-D62E81DAEFAE}">
      <text>
        <r>
          <rPr>
            <b/>
            <sz val="9"/>
            <color indexed="81"/>
            <rFont val="Tahoma"/>
            <family val="2"/>
          </rPr>
          <t>user:</t>
        </r>
        <r>
          <rPr>
            <sz val="9"/>
            <color indexed="81"/>
            <rFont val="Tahoma"/>
            <family val="2"/>
          </rPr>
          <t xml:space="preserve">
(</t>
        </r>
        <r>
          <rPr>
            <sz val="9"/>
            <color indexed="81"/>
            <rFont val="돋움"/>
            <family val="3"/>
            <charset val="129"/>
          </rPr>
          <t>상품</t>
        </r>
        <r>
          <rPr>
            <sz val="9"/>
            <color indexed="81"/>
            <rFont val="Tahoma"/>
            <family val="2"/>
          </rPr>
          <t xml:space="preserve"> </t>
        </r>
        <r>
          <rPr>
            <sz val="9"/>
            <color indexed="81"/>
            <rFont val="돋움"/>
            <family val="3"/>
            <charset val="129"/>
          </rPr>
          <t>등재가</t>
        </r>
        <r>
          <rPr>
            <sz val="9"/>
            <color indexed="81"/>
            <rFont val="Tahoma"/>
            <family val="2"/>
          </rPr>
          <t xml:space="preserve"> – </t>
        </r>
        <r>
          <rPr>
            <sz val="9"/>
            <color indexed="81"/>
            <rFont val="돋움"/>
            <family val="3"/>
            <charset val="129"/>
          </rPr>
          <t>판매자</t>
        </r>
        <r>
          <rPr>
            <sz val="9"/>
            <color indexed="81"/>
            <rFont val="Tahoma"/>
            <family val="2"/>
          </rPr>
          <t xml:space="preserve"> </t>
        </r>
        <r>
          <rPr>
            <sz val="9"/>
            <color indexed="81"/>
            <rFont val="돋움"/>
            <family val="3"/>
            <charset val="129"/>
          </rPr>
          <t>설정</t>
        </r>
        <r>
          <rPr>
            <sz val="9"/>
            <color indexed="81"/>
            <rFont val="Tahoma"/>
            <family val="2"/>
          </rPr>
          <t xml:space="preserve"> </t>
        </r>
        <r>
          <rPr>
            <sz val="9"/>
            <color indexed="81"/>
            <rFont val="돋움"/>
            <family val="3"/>
            <charset val="129"/>
          </rPr>
          <t>할인</t>
        </r>
        <r>
          <rPr>
            <sz val="9"/>
            <color indexed="81"/>
            <rFont val="Tahoma"/>
            <family val="2"/>
          </rPr>
          <t>) * 3%</t>
        </r>
      </text>
    </comment>
    <comment ref="V51" authorId="0" shapeId="0" xr:uid="{CA88F30A-5241-451A-A431-F23A96625CCE}">
      <text>
        <r>
          <rPr>
            <b/>
            <sz val="9"/>
            <color indexed="81"/>
            <rFont val="Tahoma"/>
            <family val="2"/>
          </rPr>
          <t>user:</t>
        </r>
        <r>
          <rPr>
            <sz val="9"/>
            <color indexed="81"/>
            <rFont val="Tahoma"/>
            <family val="2"/>
          </rPr>
          <t xml:space="preserve">
(</t>
        </r>
        <r>
          <rPr>
            <sz val="9"/>
            <color indexed="81"/>
            <rFont val="돋움"/>
            <family val="3"/>
            <charset val="129"/>
          </rPr>
          <t>상품</t>
        </r>
        <r>
          <rPr>
            <sz val="9"/>
            <color indexed="81"/>
            <rFont val="Tahoma"/>
            <family val="2"/>
          </rPr>
          <t xml:space="preserve"> </t>
        </r>
        <r>
          <rPr>
            <sz val="9"/>
            <color indexed="81"/>
            <rFont val="돋움"/>
            <family val="3"/>
            <charset val="129"/>
          </rPr>
          <t>등재가</t>
        </r>
        <r>
          <rPr>
            <sz val="9"/>
            <color indexed="81"/>
            <rFont val="Tahoma"/>
            <family val="2"/>
          </rPr>
          <t xml:space="preserve"> – </t>
        </r>
        <r>
          <rPr>
            <sz val="9"/>
            <color indexed="81"/>
            <rFont val="돋움"/>
            <family val="3"/>
            <charset val="129"/>
          </rPr>
          <t>판매자</t>
        </r>
        <r>
          <rPr>
            <sz val="9"/>
            <color indexed="81"/>
            <rFont val="Tahoma"/>
            <family val="2"/>
          </rPr>
          <t xml:space="preserve"> </t>
        </r>
        <r>
          <rPr>
            <sz val="9"/>
            <color indexed="81"/>
            <rFont val="돋움"/>
            <family val="3"/>
            <charset val="129"/>
          </rPr>
          <t>설정</t>
        </r>
        <r>
          <rPr>
            <sz val="9"/>
            <color indexed="81"/>
            <rFont val="Tahoma"/>
            <family val="2"/>
          </rPr>
          <t xml:space="preserve"> </t>
        </r>
        <r>
          <rPr>
            <sz val="9"/>
            <color indexed="81"/>
            <rFont val="돋움"/>
            <family val="3"/>
            <charset val="129"/>
          </rPr>
          <t>할인</t>
        </r>
        <r>
          <rPr>
            <sz val="9"/>
            <color indexed="81"/>
            <rFont val="Tahoma"/>
            <family val="2"/>
          </rPr>
          <t>) * 3%</t>
        </r>
      </text>
    </comment>
    <comment ref="V56" authorId="0" shapeId="0" xr:uid="{BA1086C7-38DF-4827-9EE9-EFFD38DE537D}">
      <text>
        <r>
          <rPr>
            <b/>
            <sz val="9"/>
            <color indexed="81"/>
            <rFont val="Tahoma"/>
            <family val="2"/>
          </rPr>
          <t>user:</t>
        </r>
        <r>
          <rPr>
            <sz val="9"/>
            <color indexed="81"/>
            <rFont val="Tahoma"/>
            <family val="2"/>
          </rPr>
          <t xml:space="preserve">
(</t>
        </r>
        <r>
          <rPr>
            <sz val="9"/>
            <color indexed="81"/>
            <rFont val="돋움"/>
            <family val="3"/>
            <charset val="129"/>
          </rPr>
          <t>상품</t>
        </r>
        <r>
          <rPr>
            <sz val="9"/>
            <color indexed="81"/>
            <rFont val="Tahoma"/>
            <family val="2"/>
          </rPr>
          <t xml:space="preserve"> </t>
        </r>
        <r>
          <rPr>
            <sz val="9"/>
            <color indexed="81"/>
            <rFont val="돋움"/>
            <family val="3"/>
            <charset val="129"/>
          </rPr>
          <t>등재가</t>
        </r>
        <r>
          <rPr>
            <sz val="9"/>
            <color indexed="81"/>
            <rFont val="Tahoma"/>
            <family val="2"/>
          </rPr>
          <t xml:space="preserve"> – </t>
        </r>
        <r>
          <rPr>
            <sz val="9"/>
            <color indexed="81"/>
            <rFont val="돋움"/>
            <family val="3"/>
            <charset val="129"/>
          </rPr>
          <t>판매자</t>
        </r>
        <r>
          <rPr>
            <sz val="9"/>
            <color indexed="81"/>
            <rFont val="Tahoma"/>
            <family val="2"/>
          </rPr>
          <t xml:space="preserve"> </t>
        </r>
        <r>
          <rPr>
            <sz val="9"/>
            <color indexed="81"/>
            <rFont val="돋움"/>
            <family val="3"/>
            <charset val="129"/>
          </rPr>
          <t>설정</t>
        </r>
        <r>
          <rPr>
            <sz val="9"/>
            <color indexed="81"/>
            <rFont val="Tahoma"/>
            <family val="2"/>
          </rPr>
          <t xml:space="preserve"> </t>
        </r>
        <r>
          <rPr>
            <sz val="9"/>
            <color indexed="81"/>
            <rFont val="돋움"/>
            <family val="3"/>
            <charset val="129"/>
          </rPr>
          <t>할인</t>
        </r>
        <r>
          <rPr>
            <sz val="9"/>
            <color indexed="81"/>
            <rFont val="Tahoma"/>
            <family val="2"/>
          </rPr>
          <t>) * 3%</t>
        </r>
      </text>
    </comment>
    <comment ref="V66" authorId="0" shapeId="0" xr:uid="{764D7BDA-B91C-4C69-B416-0184AB6F25F1}">
      <text>
        <r>
          <rPr>
            <b/>
            <sz val="9"/>
            <color indexed="81"/>
            <rFont val="Tahoma"/>
            <family val="2"/>
          </rPr>
          <t>user:</t>
        </r>
        <r>
          <rPr>
            <sz val="9"/>
            <color indexed="81"/>
            <rFont val="Tahoma"/>
            <family val="2"/>
          </rPr>
          <t xml:space="preserve">
(</t>
        </r>
        <r>
          <rPr>
            <sz val="9"/>
            <color indexed="81"/>
            <rFont val="돋움"/>
            <family val="3"/>
            <charset val="129"/>
          </rPr>
          <t>상품</t>
        </r>
        <r>
          <rPr>
            <sz val="9"/>
            <color indexed="81"/>
            <rFont val="Tahoma"/>
            <family val="2"/>
          </rPr>
          <t xml:space="preserve"> </t>
        </r>
        <r>
          <rPr>
            <sz val="9"/>
            <color indexed="81"/>
            <rFont val="돋움"/>
            <family val="3"/>
            <charset val="129"/>
          </rPr>
          <t>등재가</t>
        </r>
        <r>
          <rPr>
            <sz val="9"/>
            <color indexed="81"/>
            <rFont val="Tahoma"/>
            <family val="2"/>
          </rPr>
          <t xml:space="preserve"> – </t>
        </r>
        <r>
          <rPr>
            <sz val="9"/>
            <color indexed="81"/>
            <rFont val="돋움"/>
            <family val="3"/>
            <charset val="129"/>
          </rPr>
          <t>판매자</t>
        </r>
        <r>
          <rPr>
            <sz val="9"/>
            <color indexed="81"/>
            <rFont val="Tahoma"/>
            <family val="2"/>
          </rPr>
          <t xml:space="preserve"> </t>
        </r>
        <r>
          <rPr>
            <sz val="9"/>
            <color indexed="81"/>
            <rFont val="돋움"/>
            <family val="3"/>
            <charset val="129"/>
          </rPr>
          <t>설정</t>
        </r>
        <r>
          <rPr>
            <sz val="9"/>
            <color indexed="81"/>
            <rFont val="Tahoma"/>
            <family val="2"/>
          </rPr>
          <t xml:space="preserve"> </t>
        </r>
        <r>
          <rPr>
            <sz val="9"/>
            <color indexed="81"/>
            <rFont val="돋움"/>
            <family val="3"/>
            <charset val="129"/>
          </rPr>
          <t>할인</t>
        </r>
        <r>
          <rPr>
            <sz val="9"/>
            <color indexed="81"/>
            <rFont val="Tahoma"/>
            <family val="2"/>
          </rPr>
          <t>) * 3%</t>
        </r>
      </text>
    </comment>
    <comment ref="V71" authorId="0" shapeId="0" xr:uid="{4BCAC30D-199B-40A6-857E-F2CE2D539936}">
      <text>
        <r>
          <rPr>
            <b/>
            <sz val="9"/>
            <color indexed="81"/>
            <rFont val="Tahoma"/>
            <family val="2"/>
          </rPr>
          <t>user:</t>
        </r>
        <r>
          <rPr>
            <sz val="9"/>
            <color indexed="81"/>
            <rFont val="Tahoma"/>
            <family val="2"/>
          </rPr>
          <t xml:space="preserve">
(</t>
        </r>
        <r>
          <rPr>
            <sz val="9"/>
            <color indexed="81"/>
            <rFont val="돋움"/>
            <family val="3"/>
            <charset val="129"/>
          </rPr>
          <t>상품</t>
        </r>
        <r>
          <rPr>
            <sz val="9"/>
            <color indexed="81"/>
            <rFont val="Tahoma"/>
            <family val="2"/>
          </rPr>
          <t xml:space="preserve"> </t>
        </r>
        <r>
          <rPr>
            <sz val="9"/>
            <color indexed="81"/>
            <rFont val="돋움"/>
            <family val="3"/>
            <charset val="129"/>
          </rPr>
          <t>등재가</t>
        </r>
        <r>
          <rPr>
            <sz val="9"/>
            <color indexed="81"/>
            <rFont val="Tahoma"/>
            <family val="2"/>
          </rPr>
          <t xml:space="preserve"> – </t>
        </r>
        <r>
          <rPr>
            <sz val="9"/>
            <color indexed="81"/>
            <rFont val="돋움"/>
            <family val="3"/>
            <charset val="129"/>
          </rPr>
          <t>판매자</t>
        </r>
        <r>
          <rPr>
            <sz val="9"/>
            <color indexed="81"/>
            <rFont val="Tahoma"/>
            <family val="2"/>
          </rPr>
          <t xml:space="preserve"> </t>
        </r>
        <r>
          <rPr>
            <sz val="9"/>
            <color indexed="81"/>
            <rFont val="돋움"/>
            <family val="3"/>
            <charset val="129"/>
          </rPr>
          <t>설정</t>
        </r>
        <r>
          <rPr>
            <sz val="9"/>
            <color indexed="81"/>
            <rFont val="Tahoma"/>
            <family val="2"/>
          </rPr>
          <t xml:space="preserve"> </t>
        </r>
        <r>
          <rPr>
            <sz val="9"/>
            <color indexed="81"/>
            <rFont val="돋움"/>
            <family val="3"/>
            <charset val="129"/>
          </rPr>
          <t>할인</t>
        </r>
        <r>
          <rPr>
            <sz val="9"/>
            <color indexed="81"/>
            <rFont val="Tahoma"/>
            <family val="2"/>
          </rPr>
          <t>) * 3%</t>
        </r>
      </text>
    </comment>
    <comment ref="V78" authorId="0" shapeId="0" xr:uid="{45498153-8E0B-4A97-932F-7B6148A64E59}">
      <text>
        <r>
          <rPr>
            <b/>
            <sz val="9"/>
            <color indexed="81"/>
            <rFont val="Tahoma"/>
            <family val="2"/>
          </rPr>
          <t>user:</t>
        </r>
        <r>
          <rPr>
            <sz val="9"/>
            <color indexed="81"/>
            <rFont val="Tahoma"/>
            <family val="2"/>
          </rPr>
          <t xml:space="preserve">
(</t>
        </r>
        <r>
          <rPr>
            <sz val="9"/>
            <color indexed="81"/>
            <rFont val="돋움"/>
            <family val="3"/>
            <charset val="129"/>
          </rPr>
          <t>상품</t>
        </r>
        <r>
          <rPr>
            <sz val="9"/>
            <color indexed="81"/>
            <rFont val="Tahoma"/>
            <family val="2"/>
          </rPr>
          <t xml:space="preserve"> </t>
        </r>
        <r>
          <rPr>
            <sz val="9"/>
            <color indexed="81"/>
            <rFont val="돋움"/>
            <family val="3"/>
            <charset val="129"/>
          </rPr>
          <t>등재가</t>
        </r>
        <r>
          <rPr>
            <sz val="9"/>
            <color indexed="81"/>
            <rFont val="Tahoma"/>
            <family val="2"/>
          </rPr>
          <t xml:space="preserve"> – </t>
        </r>
        <r>
          <rPr>
            <sz val="9"/>
            <color indexed="81"/>
            <rFont val="돋움"/>
            <family val="3"/>
            <charset val="129"/>
          </rPr>
          <t>판매자</t>
        </r>
        <r>
          <rPr>
            <sz val="9"/>
            <color indexed="81"/>
            <rFont val="Tahoma"/>
            <family val="2"/>
          </rPr>
          <t xml:space="preserve"> </t>
        </r>
        <r>
          <rPr>
            <sz val="9"/>
            <color indexed="81"/>
            <rFont val="돋움"/>
            <family val="3"/>
            <charset val="129"/>
          </rPr>
          <t>설정</t>
        </r>
        <r>
          <rPr>
            <sz val="9"/>
            <color indexed="81"/>
            <rFont val="Tahoma"/>
            <family val="2"/>
          </rPr>
          <t xml:space="preserve"> </t>
        </r>
        <r>
          <rPr>
            <sz val="9"/>
            <color indexed="81"/>
            <rFont val="돋움"/>
            <family val="3"/>
            <charset val="129"/>
          </rPr>
          <t>할인</t>
        </r>
        <r>
          <rPr>
            <sz val="9"/>
            <color indexed="81"/>
            <rFont val="Tahoma"/>
            <family val="2"/>
          </rPr>
          <t>) * 3%</t>
        </r>
      </text>
    </comment>
    <comment ref="V83" authorId="0" shapeId="0" xr:uid="{690D406A-87FF-45E3-9A12-66D59EA5C3AB}">
      <text>
        <r>
          <rPr>
            <b/>
            <sz val="9"/>
            <color indexed="81"/>
            <rFont val="Tahoma"/>
            <family val="2"/>
          </rPr>
          <t>user:</t>
        </r>
        <r>
          <rPr>
            <sz val="9"/>
            <color indexed="81"/>
            <rFont val="Tahoma"/>
            <family val="2"/>
          </rPr>
          <t xml:space="preserve">
(</t>
        </r>
        <r>
          <rPr>
            <sz val="9"/>
            <color indexed="81"/>
            <rFont val="돋움"/>
            <family val="3"/>
            <charset val="129"/>
          </rPr>
          <t>상품</t>
        </r>
        <r>
          <rPr>
            <sz val="9"/>
            <color indexed="81"/>
            <rFont val="Tahoma"/>
            <family val="2"/>
          </rPr>
          <t xml:space="preserve"> </t>
        </r>
        <r>
          <rPr>
            <sz val="9"/>
            <color indexed="81"/>
            <rFont val="돋움"/>
            <family val="3"/>
            <charset val="129"/>
          </rPr>
          <t>등재가</t>
        </r>
        <r>
          <rPr>
            <sz val="9"/>
            <color indexed="81"/>
            <rFont val="Tahoma"/>
            <family val="2"/>
          </rPr>
          <t xml:space="preserve"> – </t>
        </r>
        <r>
          <rPr>
            <sz val="9"/>
            <color indexed="81"/>
            <rFont val="돋움"/>
            <family val="3"/>
            <charset val="129"/>
          </rPr>
          <t>판매자</t>
        </r>
        <r>
          <rPr>
            <sz val="9"/>
            <color indexed="81"/>
            <rFont val="Tahoma"/>
            <family val="2"/>
          </rPr>
          <t xml:space="preserve"> </t>
        </r>
        <r>
          <rPr>
            <sz val="9"/>
            <color indexed="81"/>
            <rFont val="돋움"/>
            <family val="3"/>
            <charset val="129"/>
          </rPr>
          <t>설정</t>
        </r>
        <r>
          <rPr>
            <sz val="9"/>
            <color indexed="81"/>
            <rFont val="Tahoma"/>
            <family val="2"/>
          </rPr>
          <t xml:space="preserve"> </t>
        </r>
        <r>
          <rPr>
            <sz val="9"/>
            <color indexed="81"/>
            <rFont val="돋움"/>
            <family val="3"/>
            <charset val="129"/>
          </rPr>
          <t>할인</t>
        </r>
        <r>
          <rPr>
            <sz val="9"/>
            <color indexed="81"/>
            <rFont val="Tahoma"/>
            <family val="2"/>
          </rPr>
          <t>) * 3%</t>
        </r>
      </text>
    </comment>
    <comment ref="V93" authorId="0" shapeId="0" xr:uid="{4EE67230-04AF-4A14-9087-051D25C92DF2}">
      <text>
        <r>
          <rPr>
            <b/>
            <sz val="9"/>
            <color indexed="81"/>
            <rFont val="Tahoma"/>
            <family val="2"/>
          </rPr>
          <t>user:</t>
        </r>
        <r>
          <rPr>
            <sz val="9"/>
            <color indexed="81"/>
            <rFont val="Tahoma"/>
            <family val="2"/>
          </rPr>
          <t xml:space="preserve">
(</t>
        </r>
        <r>
          <rPr>
            <sz val="9"/>
            <color indexed="81"/>
            <rFont val="돋움"/>
            <family val="3"/>
            <charset val="129"/>
          </rPr>
          <t>상품</t>
        </r>
        <r>
          <rPr>
            <sz val="9"/>
            <color indexed="81"/>
            <rFont val="Tahoma"/>
            <family val="2"/>
          </rPr>
          <t xml:space="preserve"> </t>
        </r>
        <r>
          <rPr>
            <sz val="9"/>
            <color indexed="81"/>
            <rFont val="돋움"/>
            <family val="3"/>
            <charset val="129"/>
          </rPr>
          <t>등재가</t>
        </r>
        <r>
          <rPr>
            <sz val="9"/>
            <color indexed="81"/>
            <rFont val="Tahoma"/>
            <family val="2"/>
          </rPr>
          <t xml:space="preserve"> – </t>
        </r>
        <r>
          <rPr>
            <sz val="9"/>
            <color indexed="81"/>
            <rFont val="돋움"/>
            <family val="3"/>
            <charset val="129"/>
          </rPr>
          <t>판매자</t>
        </r>
        <r>
          <rPr>
            <sz val="9"/>
            <color indexed="81"/>
            <rFont val="Tahoma"/>
            <family val="2"/>
          </rPr>
          <t xml:space="preserve"> </t>
        </r>
        <r>
          <rPr>
            <sz val="9"/>
            <color indexed="81"/>
            <rFont val="돋움"/>
            <family val="3"/>
            <charset val="129"/>
          </rPr>
          <t>설정</t>
        </r>
        <r>
          <rPr>
            <sz val="9"/>
            <color indexed="81"/>
            <rFont val="Tahoma"/>
            <family val="2"/>
          </rPr>
          <t xml:space="preserve"> </t>
        </r>
        <r>
          <rPr>
            <sz val="9"/>
            <color indexed="81"/>
            <rFont val="돋움"/>
            <family val="3"/>
            <charset val="129"/>
          </rPr>
          <t>할인</t>
        </r>
        <r>
          <rPr>
            <sz val="9"/>
            <color indexed="81"/>
            <rFont val="Tahoma"/>
            <family val="2"/>
          </rPr>
          <t>) * 3%</t>
        </r>
      </text>
    </comment>
    <comment ref="V99" authorId="0" shapeId="0" xr:uid="{C429AF40-B449-466F-9140-E34FAB97A0FE}">
      <text>
        <r>
          <rPr>
            <b/>
            <sz val="9"/>
            <color indexed="81"/>
            <rFont val="Tahoma"/>
            <family val="2"/>
          </rPr>
          <t>user:</t>
        </r>
        <r>
          <rPr>
            <sz val="9"/>
            <color indexed="81"/>
            <rFont val="Tahoma"/>
            <family val="2"/>
          </rPr>
          <t xml:space="preserve">
(</t>
        </r>
        <r>
          <rPr>
            <sz val="9"/>
            <color indexed="81"/>
            <rFont val="돋움"/>
            <family val="3"/>
            <charset val="129"/>
          </rPr>
          <t>상품</t>
        </r>
        <r>
          <rPr>
            <sz val="9"/>
            <color indexed="81"/>
            <rFont val="Tahoma"/>
            <family val="2"/>
          </rPr>
          <t xml:space="preserve"> </t>
        </r>
        <r>
          <rPr>
            <sz val="9"/>
            <color indexed="81"/>
            <rFont val="돋움"/>
            <family val="3"/>
            <charset val="129"/>
          </rPr>
          <t>등재가</t>
        </r>
        <r>
          <rPr>
            <sz val="9"/>
            <color indexed="81"/>
            <rFont val="Tahoma"/>
            <family val="2"/>
          </rPr>
          <t xml:space="preserve"> – </t>
        </r>
        <r>
          <rPr>
            <sz val="9"/>
            <color indexed="81"/>
            <rFont val="돋움"/>
            <family val="3"/>
            <charset val="129"/>
          </rPr>
          <t>판매자</t>
        </r>
        <r>
          <rPr>
            <sz val="9"/>
            <color indexed="81"/>
            <rFont val="Tahoma"/>
            <family val="2"/>
          </rPr>
          <t xml:space="preserve"> </t>
        </r>
        <r>
          <rPr>
            <sz val="9"/>
            <color indexed="81"/>
            <rFont val="돋움"/>
            <family val="3"/>
            <charset val="129"/>
          </rPr>
          <t>설정</t>
        </r>
        <r>
          <rPr>
            <sz val="9"/>
            <color indexed="81"/>
            <rFont val="Tahoma"/>
            <family val="2"/>
          </rPr>
          <t xml:space="preserve"> </t>
        </r>
        <r>
          <rPr>
            <sz val="9"/>
            <color indexed="81"/>
            <rFont val="돋움"/>
            <family val="3"/>
            <charset val="129"/>
          </rPr>
          <t>할인</t>
        </r>
        <r>
          <rPr>
            <sz val="9"/>
            <color indexed="81"/>
            <rFont val="Tahoma"/>
            <family val="2"/>
          </rPr>
          <t>) * 3%</t>
        </r>
      </text>
    </comment>
    <comment ref="V109" authorId="0" shapeId="0" xr:uid="{C6084FC5-70D7-4A7B-AFE0-0F155C13C120}">
      <text>
        <r>
          <rPr>
            <b/>
            <sz val="9"/>
            <color indexed="81"/>
            <rFont val="Tahoma"/>
            <family val="2"/>
          </rPr>
          <t>user:</t>
        </r>
        <r>
          <rPr>
            <sz val="9"/>
            <color indexed="81"/>
            <rFont val="Tahoma"/>
            <family val="2"/>
          </rPr>
          <t xml:space="preserve">
(</t>
        </r>
        <r>
          <rPr>
            <sz val="9"/>
            <color indexed="81"/>
            <rFont val="돋움"/>
            <family val="3"/>
            <charset val="129"/>
          </rPr>
          <t>상품</t>
        </r>
        <r>
          <rPr>
            <sz val="9"/>
            <color indexed="81"/>
            <rFont val="Tahoma"/>
            <family val="2"/>
          </rPr>
          <t xml:space="preserve"> </t>
        </r>
        <r>
          <rPr>
            <sz val="9"/>
            <color indexed="81"/>
            <rFont val="돋움"/>
            <family val="3"/>
            <charset val="129"/>
          </rPr>
          <t>등재가</t>
        </r>
        <r>
          <rPr>
            <sz val="9"/>
            <color indexed="81"/>
            <rFont val="Tahoma"/>
            <family val="2"/>
          </rPr>
          <t xml:space="preserve"> – </t>
        </r>
        <r>
          <rPr>
            <sz val="9"/>
            <color indexed="81"/>
            <rFont val="돋움"/>
            <family val="3"/>
            <charset val="129"/>
          </rPr>
          <t>판매자</t>
        </r>
        <r>
          <rPr>
            <sz val="9"/>
            <color indexed="81"/>
            <rFont val="Tahoma"/>
            <family val="2"/>
          </rPr>
          <t xml:space="preserve"> </t>
        </r>
        <r>
          <rPr>
            <sz val="9"/>
            <color indexed="81"/>
            <rFont val="돋움"/>
            <family val="3"/>
            <charset val="129"/>
          </rPr>
          <t>설정</t>
        </r>
        <r>
          <rPr>
            <sz val="9"/>
            <color indexed="81"/>
            <rFont val="Tahoma"/>
            <family val="2"/>
          </rPr>
          <t xml:space="preserve"> </t>
        </r>
        <r>
          <rPr>
            <sz val="9"/>
            <color indexed="81"/>
            <rFont val="돋움"/>
            <family val="3"/>
            <charset val="129"/>
          </rPr>
          <t>할인</t>
        </r>
        <r>
          <rPr>
            <sz val="9"/>
            <color indexed="81"/>
            <rFont val="Tahoma"/>
            <family val="2"/>
          </rPr>
          <t>) * 3%</t>
        </r>
      </text>
    </comment>
    <comment ref="V114" authorId="0" shapeId="0" xr:uid="{2AF02665-6F1F-4A4F-BB01-27E68B1E3FC1}">
      <text>
        <r>
          <rPr>
            <b/>
            <sz val="9"/>
            <color indexed="81"/>
            <rFont val="Tahoma"/>
            <family val="2"/>
          </rPr>
          <t>user:</t>
        </r>
        <r>
          <rPr>
            <sz val="9"/>
            <color indexed="81"/>
            <rFont val="Tahoma"/>
            <family val="2"/>
          </rPr>
          <t xml:space="preserve">
(</t>
        </r>
        <r>
          <rPr>
            <sz val="9"/>
            <color indexed="81"/>
            <rFont val="돋움"/>
            <family val="3"/>
            <charset val="129"/>
          </rPr>
          <t>상품</t>
        </r>
        <r>
          <rPr>
            <sz val="9"/>
            <color indexed="81"/>
            <rFont val="Tahoma"/>
            <family val="2"/>
          </rPr>
          <t xml:space="preserve"> </t>
        </r>
        <r>
          <rPr>
            <sz val="9"/>
            <color indexed="81"/>
            <rFont val="돋움"/>
            <family val="3"/>
            <charset val="129"/>
          </rPr>
          <t>등재가</t>
        </r>
        <r>
          <rPr>
            <sz val="9"/>
            <color indexed="81"/>
            <rFont val="Tahoma"/>
            <family val="2"/>
          </rPr>
          <t xml:space="preserve"> – </t>
        </r>
        <r>
          <rPr>
            <sz val="9"/>
            <color indexed="81"/>
            <rFont val="돋움"/>
            <family val="3"/>
            <charset val="129"/>
          </rPr>
          <t>판매자</t>
        </r>
        <r>
          <rPr>
            <sz val="9"/>
            <color indexed="81"/>
            <rFont val="Tahoma"/>
            <family val="2"/>
          </rPr>
          <t xml:space="preserve"> </t>
        </r>
        <r>
          <rPr>
            <sz val="9"/>
            <color indexed="81"/>
            <rFont val="돋움"/>
            <family val="3"/>
            <charset val="129"/>
          </rPr>
          <t>설정</t>
        </r>
        <r>
          <rPr>
            <sz val="9"/>
            <color indexed="81"/>
            <rFont val="Tahoma"/>
            <family val="2"/>
          </rPr>
          <t xml:space="preserve"> </t>
        </r>
        <r>
          <rPr>
            <sz val="9"/>
            <color indexed="81"/>
            <rFont val="돋움"/>
            <family val="3"/>
            <charset val="129"/>
          </rPr>
          <t>할인</t>
        </r>
        <r>
          <rPr>
            <sz val="9"/>
            <color indexed="81"/>
            <rFont val="Tahoma"/>
            <family val="2"/>
          </rPr>
          <t>) * 3%</t>
        </r>
      </text>
    </comment>
    <comment ref="V121" authorId="0" shapeId="0" xr:uid="{77DEA4B6-C141-4E19-90CF-04F18D572C9E}">
      <text>
        <r>
          <rPr>
            <b/>
            <sz val="9"/>
            <color indexed="81"/>
            <rFont val="Tahoma"/>
            <family val="2"/>
          </rPr>
          <t>user:</t>
        </r>
        <r>
          <rPr>
            <sz val="9"/>
            <color indexed="81"/>
            <rFont val="Tahoma"/>
            <family val="2"/>
          </rPr>
          <t xml:space="preserve">
(</t>
        </r>
        <r>
          <rPr>
            <sz val="9"/>
            <color indexed="81"/>
            <rFont val="돋움"/>
            <family val="3"/>
            <charset val="129"/>
          </rPr>
          <t>상품</t>
        </r>
        <r>
          <rPr>
            <sz val="9"/>
            <color indexed="81"/>
            <rFont val="Tahoma"/>
            <family val="2"/>
          </rPr>
          <t xml:space="preserve"> </t>
        </r>
        <r>
          <rPr>
            <sz val="9"/>
            <color indexed="81"/>
            <rFont val="돋움"/>
            <family val="3"/>
            <charset val="129"/>
          </rPr>
          <t>등재가</t>
        </r>
        <r>
          <rPr>
            <sz val="9"/>
            <color indexed="81"/>
            <rFont val="Tahoma"/>
            <family val="2"/>
          </rPr>
          <t xml:space="preserve"> – </t>
        </r>
        <r>
          <rPr>
            <sz val="9"/>
            <color indexed="81"/>
            <rFont val="돋움"/>
            <family val="3"/>
            <charset val="129"/>
          </rPr>
          <t>판매자</t>
        </r>
        <r>
          <rPr>
            <sz val="9"/>
            <color indexed="81"/>
            <rFont val="Tahoma"/>
            <family val="2"/>
          </rPr>
          <t xml:space="preserve"> </t>
        </r>
        <r>
          <rPr>
            <sz val="9"/>
            <color indexed="81"/>
            <rFont val="돋움"/>
            <family val="3"/>
            <charset val="129"/>
          </rPr>
          <t>설정</t>
        </r>
        <r>
          <rPr>
            <sz val="9"/>
            <color indexed="81"/>
            <rFont val="Tahoma"/>
            <family val="2"/>
          </rPr>
          <t xml:space="preserve"> </t>
        </r>
        <r>
          <rPr>
            <sz val="9"/>
            <color indexed="81"/>
            <rFont val="돋움"/>
            <family val="3"/>
            <charset val="129"/>
          </rPr>
          <t>할인</t>
        </r>
        <r>
          <rPr>
            <sz val="9"/>
            <color indexed="81"/>
            <rFont val="Tahoma"/>
            <family val="2"/>
          </rPr>
          <t>) * 3%</t>
        </r>
      </text>
    </comment>
    <comment ref="V126" authorId="0" shapeId="0" xr:uid="{F100058D-FA43-4F01-A416-87E45FD33E2B}">
      <text>
        <r>
          <rPr>
            <b/>
            <sz val="9"/>
            <color indexed="81"/>
            <rFont val="Tahoma"/>
            <family val="2"/>
          </rPr>
          <t>user:</t>
        </r>
        <r>
          <rPr>
            <sz val="9"/>
            <color indexed="81"/>
            <rFont val="Tahoma"/>
            <family val="2"/>
          </rPr>
          <t xml:space="preserve">
(</t>
        </r>
        <r>
          <rPr>
            <sz val="9"/>
            <color indexed="81"/>
            <rFont val="돋움"/>
            <family val="3"/>
            <charset val="129"/>
          </rPr>
          <t>상품</t>
        </r>
        <r>
          <rPr>
            <sz val="9"/>
            <color indexed="81"/>
            <rFont val="Tahoma"/>
            <family val="2"/>
          </rPr>
          <t xml:space="preserve"> </t>
        </r>
        <r>
          <rPr>
            <sz val="9"/>
            <color indexed="81"/>
            <rFont val="돋움"/>
            <family val="3"/>
            <charset val="129"/>
          </rPr>
          <t>등재가</t>
        </r>
        <r>
          <rPr>
            <sz val="9"/>
            <color indexed="81"/>
            <rFont val="Tahoma"/>
            <family val="2"/>
          </rPr>
          <t xml:space="preserve"> – </t>
        </r>
        <r>
          <rPr>
            <sz val="9"/>
            <color indexed="81"/>
            <rFont val="돋움"/>
            <family val="3"/>
            <charset val="129"/>
          </rPr>
          <t>판매자</t>
        </r>
        <r>
          <rPr>
            <sz val="9"/>
            <color indexed="81"/>
            <rFont val="Tahoma"/>
            <family val="2"/>
          </rPr>
          <t xml:space="preserve"> </t>
        </r>
        <r>
          <rPr>
            <sz val="9"/>
            <color indexed="81"/>
            <rFont val="돋움"/>
            <family val="3"/>
            <charset val="129"/>
          </rPr>
          <t>설정</t>
        </r>
        <r>
          <rPr>
            <sz val="9"/>
            <color indexed="81"/>
            <rFont val="Tahoma"/>
            <family val="2"/>
          </rPr>
          <t xml:space="preserve"> </t>
        </r>
        <r>
          <rPr>
            <sz val="9"/>
            <color indexed="81"/>
            <rFont val="돋움"/>
            <family val="3"/>
            <charset val="129"/>
          </rPr>
          <t>할인</t>
        </r>
        <r>
          <rPr>
            <sz val="9"/>
            <color indexed="81"/>
            <rFont val="Tahoma"/>
            <family val="2"/>
          </rPr>
          <t>) * 3%</t>
        </r>
      </text>
    </comment>
    <comment ref="V133" authorId="0" shapeId="0" xr:uid="{35B08F3F-5B5D-4F88-9E66-C1AD58296911}">
      <text>
        <r>
          <rPr>
            <b/>
            <sz val="9"/>
            <color indexed="81"/>
            <rFont val="Tahoma"/>
            <family val="2"/>
          </rPr>
          <t>user:</t>
        </r>
        <r>
          <rPr>
            <sz val="9"/>
            <color indexed="81"/>
            <rFont val="Tahoma"/>
            <family val="2"/>
          </rPr>
          <t xml:space="preserve">
(</t>
        </r>
        <r>
          <rPr>
            <sz val="9"/>
            <color indexed="81"/>
            <rFont val="돋움"/>
            <family val="3"/>
            <charset val="129"/>
          </rPr>
          <t>상품</t>
        </r>
        <r>
          <rPr>
            <sz val="9"/>
            <color indexed="81"/>
            <rFont val="Tahoma"/>
            <family val="2"/>
          </rPr>
          <t xml:space="preserve"> </t>
        </r>
        <r>
          <rPr>
            <sz val="9"/>
            <color indexed="81"/>
            <rFont val="돋움"/>
            <family val="3"/>
            <charset val="129"/>
          </rPr>
          <t>등재가</t>
        </r>
        <r>
          <rPr>
            <sz val="9"/>
            <color indexed="81"/>
            <rFont val="Tahoma"/>
            <family val="2"/>
          </rPr>
          <t xml:space="preserve"> – </t>
        </r>
        <r>
          <rPr>
            <sz val="9"/>
            <color indexed="81"/>
            <rFont val="돋움"/>
            <family val="3"/>
            <charset val="129"/>
          </rPr>
          <t>판매자</t>
        </r>
        <r>
          <rPr>
            <sz val="9"/>
            <color indexed="81"/>
            <rFont val="Tahoma"/>
            <family val="2"/>
          </rPr>
          <t xml:space="preserve"> </t>
        </r>
        <r>
          <rPr>
            <sz val="9"/>
            <color indexed="81"/>
            <rFont val="돋움"/>
            <family val="3"/>
            <charset val="129"/>
          </rPr>
          <t>설정</t>
        </r>
        <r>
          <rPr>
            <sz val="9"/>
            <color indexed="81"/>
            <rFont val="Tahoma"/>
            <family val="2"/>
          </rPr>
          <t xml:space="preserve"> </t>
        </r>
        <r>
          <rPr>
            <sz val="9"/>
            <color indexed="81"/>
            <rFont val="돋움"/>
            <family val="3"/>
            <charset val="129"/>
          </rPr>
          <t>할인</t>
        </r>
        <r>
          <rPr>
            <sz val="9"/>
            <color indexed="81"/>
            <rFont val="Tahoma"/>
            <family val="2"/>
          </rPr>
          <t>) * 3%</t>
        </r>
      </text>
    </comment>
    <comment ref="V138" authorId="0" shapeId="0" xr:uid="{B31A5743-1282-4102-9BC2-049A18652B9F}">
      <text>
        <r>
          <rPr>
            <b/>
            <sz val="9"/>
            <color indexed="81"/>
            <rFont val="Tahoma"/>
            <family val="2"/>
          </rPr>
          <t>user:</t>
        </r>
        <r>
          <rPr>
            <sz val="9"/>
            <color indexed="81"/>
            <rFont val="Tahoma"/>
            <family val="2"/>
          </rPr>
          <t xml:space="preserve">
(</t>
        </r>
        <r>
          <rPr>
            <sz val="9"/>
            <color indexed="81"/>
            <rFont val="돋움"/>
            <family val="3"/>
            <charset val="129"/>
          </rPr>
          <t>상품</t>
        </r>
        <r>
          <rPr>
            <sz val="9"/>
            <color indexed="81"/>
            <rFont val="Tahoma"/>
            <family val="2"/>
          </rPr>
          <t xml:space="preserve"> </t>
        </r>
        <r>
          <rPr>
            <sz val="9"/>
            <color indexed="81"/>
            <rFont val="돋움"/>
            <family val="3"/>
            <charset val="129"/>
          </rPr>
          <t>등재가</t>
        </r>
        <r>
          <rPr>
            <sz val="9"/>
            <color indexed="81"/>
            <rFont val="Tahoma"/>
            <family val="2"/>
          </rPr>
          <t xml:space="preserve"> – </t>
        </r>
        <r>
          <rPr>
            <sz val="9"/>
            <color indexed="81"/>
            <rFont val="돋움"/>
            <family val="3"/>
            <charset val="129"/>
          </rPr>
          <t>판매자</t>
        </r>
        <r>
          <rPr>
            <sz val="9"/>
            <color indexed="81"/>
            <rFont val="Tahoma"/>
            <family val="2"/>
          </rPr>
          <t xml:space="preserve"> </t>
        </r>
        <r>
          <rPr>
            <sz val="9"/>
            <color indexed="81"/>
            <rFont val="돋움"/>
            <family val="3"/>
            <charset val="129"/>
          </rPr>
          <t>설정</t>
        </r>
        <r>
          <rPr>
            <sz val="9"/>
            <color indexed="81"/>
            <rFont val="Tahoma"/>
            <family val="2"/>
          </rPr>
          <t xml:space="preserve"> </t>
        </r>
        <r>
          <rPr>
            <sz val="9"/>
            <color indexed="81"/>
            <rFont val="돋움"/>
            <family val="3"/>
            <charset val="129"/>
          </rPr>
          <t>할인</t>
        </r>
        <r>
          <rPr>
            <sz val="9"/>
            <color indexed="81"/>
            <rFont val="Tahoma"/>
            <family val="2"/>
          </rPr>
          <t>) * 3%</t>
        </r>
      </text>
    </comment>
    <comment ref="V145" authorId="0" shapeId="0" xr:uid="{DAD750A6-1546-4CFB-A640-0AD30FBAB94C}">
      <text>
        <r>
          <rPr>
            <b/>
            <sz val="9"/>
            <color indexed="81"/>
            <rFont val="Tahoma"/>
            <family val="2"/>
          </rPr>
          <t>user:</t>
        </r>
        <r>
          <rPr>
            <sz val="9"/>
            <color indexed="81"/>
            <rFont val="Tahoma"/>
            <family val="2"/>
          </rPr>
          <t xml:space="preserve">
(</t>
        </r>
        <r>
          <rPr>
            <sz val="9"/>
            <color indexed="81"/>
            <rFont val="돋움"/>
            <family val="3"/>
            <charset val="129"/>
          </rPr>
          <t>상품</t>
        </r>
        <r>
          <rPr>
            <sz val="9"/>
            <color indexed="81"/>
            <rFont val="Tahoma"/>
            <family val="2"/>
          </rPr>
          <t xml:space="preserve"> </t>
        </r>
        <r>
          <rPr>
            <sz val="9"/>
            <color indexed="81"/>
            <rFont val="돋움"/>
            <family val="3"/>
            <charset val="129"/>
          </rPr>
          <t>등재가</t>
        </r>
        <r>
          <rPr>
            <sz val="9"/>
            <color indexed="81"/>
            <rFont val="Tahoma"/>
            <family val="2"/>
          </rPr>
          <t xml:space="preserve"> – </t>
        </r>
        <r>
          <rPr>
            <sz val="9"/>
            <color indexed="81"/>
            <rFont val="돋움"/>
            <family val="3"/>
            <charset val="129"/>
          </rPr>
          <t>판매자</t>
        </r>
        <r>
          <rPr>
            <sz val="9"/>
            <color indexed="81"/>
            <rFont val="Tahoma"/>
            <family val="2"/>
          </rPr>
          <t xml:space="preserve"> </t>
        </r>
        <r>
          <rPr>
            <sz val="9"/>
            <color indexed="81"/>
            <rFont val="돋움"/>
            <family val="3"/>
            <charset val="129"/>
          </rPr>
          <t>설정</t>
        </r>
        <r>
          <rPr>
            <sz val="9"/>
            <color indexed="81"/>
            <rFont val="Tahoma"/>
            <family val="2"/>
          </rPr>
          <t xml:space="preserve"> </t>
        </r>
        <r>
          <rPr>
            <sz val="9"/>
            <color indexed="81"/>
            <rFont val="돋움"/>
            <family val="3"/>
            <charset val="129"/>
          </rPr>
          <t>할인</t>
        </r>
        <r>
          <rPr>
            <sz val="9"/>
            <color indexed="81"/>
            <rFont val="Tahoma"/>
            <family val="2"/>
          </rPr>
          <t>) * 3%</t>
        </r>
      </text>
    </comment>
    <comment ref="V150" authorId="0" shapeId="0" xr:uid="{82CF9D1B-4978-4C75-8D4B-471EBCC12118}">
      <text>
        <r>
          <rPr>
            <b/>
            <sz val="9"/>
            <color indexed="81"/>
            <rFont val="Tahoma"/>
            <family val="2"/>
          </rPr>
          <t>user:</t>
        </r>
        <r>
          <rPr>
            <sz val="9"/>
            <color indexed="81"/>
            <rFont val="Tahoma"/>
            <family val="2"/>
          </rPr>
          <t xml:space="preserve">
(</t>
        </r>
        <r>
          <rPr>
            <sz val="9"/>
            <color indexed="81"/>
            <rFont val="돋움"/>
            <family val="3"/>
            <charset val="129"/>
          </rPr>
          <t>상품</t>
        </r>
        <r>
          <rPr>
            <sz val="9"/>
            <color indexed="81"/>
            <rFont val="Tahoma"/>
            <family val="2"/>
          </rPr>
          <t xml:space="preserve"> </t>
        </r>
        <r>
          <rPr>
            <sz val="9"/>
            <color indexed="81"/>
            <rFont val="돋움"/>
            <family val="3"/>
            <charset val="129"/>
          </rPr>
          <t>등재가</t>
        </r>
        <r>
          <rPr>
            <sz val="9"/>
            <color indexed="81"/>
            <rFont val="Tahoma"/>
            <family val="2"/>
          </rPr>
          <t xml:space="preserve"> – </t>
        </r>
        <r>
          <rPr>
            <sz val="9"/>
            <color indexed="81"/>
            <rFont val="돋움"/>
            <family val="3"/>
            <charset val="129"/>
          </rPr>
          <t>판매자</t>
        </r>
        <r>
          <rPr>
            <sz val="9"/>
            <color indexed="81"/>
            <rFont val="Tahoma"/>
            <family val="2"/>
          </rPr>
          <t xml:space="preserve"> </t>
        </r>
        <r>
          <rPr>
            <sz val="9"/>
            <color indexed="81"/>
            <rFont val="돋움"/>
            <family val="3"/>
            <charset val="129"/>
          </rPr>
          <t>설정</t>
        </r>
        <r>
          <rPr>
            <sz val="9"/>
            <color indexed="81"/>
            <rFont val="Tahoma"/>
            <family val="2"/>
          </rPr>
          <t xml:space="preserve"> </t>
        </r>
        <r>
          <rPr>
            <sz val="9"/>
            <color indexed="81"/>
            <rFont val="돋움"/>
            <family val="3"/>
            <charset val="129"/>
          </rPr>
          <t>할인</t>
        </r>
        <r>
          <rPr>
            <sz val="9"/>
            <color indexed="81"/>
            <rFont val="Tahoma"/>
            <family val="2"/>
          </rPr>
          <t>) * 3%</t>
        </r>
      </text>
    </comment>
    <comment ref="V155" authorId="0" shapeId="0" xr:uid="{BCE963A5-0593-4274-8946-0DCCF2609C46}">
      <text>
        <r>
          <rPr>
            <b/>
            <sz val="9"/>
            <color indexed="81"/>
            <rFont val="Tahoma"/>
            <family val="2"/>
          </rPr>
          <t>user:</t>
        </r>
        <r>
          <rPr>
            <sz val="9"/>
            <color indexed="81"/>
            <rFont val="Tahoma"/>
            <family val="2"/>
          </rPr>
          <t xml:space="preserve">
(</t>
        </r>
        <r>
          <rPr>
            <sz val="9"/>
            <color indexed="81"/>
            <rFont val="돋움"/>
            <family val="3"/>
            <charset val="129"/>
          </rPr>
          <t>상품</t>
        </r>
        <r>
          <rPr>
            <sz val="9"/>
            <color indexed="81"/>
            <rFont val="Tahoma"/>
            <family val="2"/>
          </rPr>
          <t xml:space="preserve"> </t>
        </r>
        <r>
          <rPr>
            <sz val="9"/>
            <color indexed="81"/>
            <rFont val="돋움"/>
            <family val="3"/>
            <charset val="129"/>
          </rPr>
          <t>등재가</t>
        </r>
        <r>
          <rPr>
            <sz val="9"/>
            <color indexed="81"/>
            <rFont val="Tahoma"/>
            <family val="2"/>
          </rPr>
          <t xml:space="preserve"> – </t>
        </r>
        <r>
          <rPr>
            <sz val="9"/>
            <color indexed="81"/>
            <rFont val="돋움"/>
            <family val="3"/>
            <charset val="129"/>
          </rPr>
          <t>판매자</t>
        </r>
        <r>
          <rPr>
            <sz val="9"/>
            <color indexed="81"/>
            <rFont val="Tahoma"/>
            <family val="2"/>
          </rPr>
          <t xml:space="preserve"> </t>
        </r>
        <r>
          <rPr>
            <sz val="9"/>
            <color indexed="81"/>
            <rFont val="돋움"/>
            <family val="3"/>
            <charset val="129"/>
          </rPr>
          <t>설정</t>
        </r>
        <r>
          <rPr>
            <sz val="9"/>
            <color indexed="81"/>
            <rFont val="Tahoma"/>
            <family val="2"/>
          </rPr>
          <t xml:space="preserve"> </t>
        </r>
        <r>
          <rPr>
            <sz val="9"/>
            <color indexed="81"/>
            <rFont val="돋움"/>
            <family val="3"/>
            <charset val="129"/>
          </rPr>
          <t>할인</t>
        </r>
        <r>
          <rPr>
            <sz val="9"/>
            <color indexed="81"/>
            <rFont val="Tahoma"/>
            <family val="2"/>
          </rPr>
          <t>) * 3%</t>
        </r>
      </text>
    </comment>
    <comment ref="V165" authorId="0" shapeId="0" xr:uid="{989C19C8-FC3A-49CA-9A80-075BB4760412}">
      <text>
        <r>
          <rPr>
            <b/>
            <sz val="9"/>
            <color indexed="81"/>
            <rFont val="Tahoma"/>
            <family val="2"/>
          </rPr>
          <t>user:</t>
        </r>
        <r>
          <rPr>
            <sz val="9"/>
            <color indexed="81"/>
            <rFont val="Tahoma"/>
            <family val="2"/>
          </rPr>
          <t xml:space="preserve">
(</t>
        </r>
        <r>
          <rPr>
            <sz val="9"/>
            <color indexed="81"/>
            <rFont val="돋움"/>
            <family val="3"/>
            <charset val="129"/>
          </rPr>
          <t>상품</t>
        </r>
        <r>
          <rPr>
            <sz val="9"/>
            <color indexed="81"/>
            <rFont val="Tahoma"/>
            <family val="2"/>
          </rPr>
          <t xml:space="preserve"> </t>
        </r>
        <r>
          <rPr>
            <sz val="9"/>
            <color indexed="81"/>
            <rFont val="돋움"/>
            <family val="3"/>
            <charset val="129"/>
          </rPr>
          <t>등재가</t>
        </r>
        <r>
          <rPr>
            <sz val="9"/>
            <color indexed="81"/>
            <rFont val="Tahoma"/>
            <family val="2"/>
          </rPr>
          <t xml:space="preserve"> – </t>
        </r>
        <r>
          <rPr>
            <sz val="9"/>
            <color indexed="81"/>
            <rFont val="돋움"/>
            <family val="3"/>
            <charset val="129"/>
          </rPr>
          <t>판매자</t>
        </r>
        <r>
          <rPr>
            <sz val="9"/>
            <color indexed="81"/>
            <rFont val="Tahoma"/>
            <family val="2"/>
          </rPr>
          <t xml:space="preserve"> </t>
        </r>
        <r>
          <rPr>
            <sz val="9"/>
            <color indexed="81"/>
            <rFont val="돋움"/>
            <family val="3"/>
            <charset val="129"/>
          </rPr>
          <t>설정</t>
        </r>
        <r>
          <rPr>
            <sz val="9"/>
            <color indexed="81"/>
            <rFont val="Tahoma"/>
            <family val="2"/>
          </rPr>
          <t xml:space="preserve"> </t>
        </r>
        <r>
          <rPr>
            <sz val="9"/>
            <color indexed="81"/>
            <rFont val="돋움"/>
            <family val="3"/>
            <charset val="129"/>
          </rPr>
          <t>할인</t>
        </r>
        <r>
          <rPr>
            <sz val="9"/>
            <color indexed="81"/>
            <rFont val="Tahoma"/>
            <family val="2"/>
          </rPr>
          <t>) * 3%</t>
        </r>
      </text>
    </comment>
    <comment ref="V171" authorId="0" shapeId="0" xr:uid="{0B521137-7C4B-4701-BE74-94B6F25BEFCA}">
      <text>
        <r>
          <rPr>
            <b/>
            <sz val="9"/>
            <color indexed="81"/>
            <rFont val="Tahoma"/>
            <family val="2"/>
          </rPr>
          <t>user:</t>
        </r>
        <r>
          <rPr>
            <sz val="9"/>
            <color indexed="81"/>
            <rFont val="Tahoma"/>
            <family val="2"/>
          </rPr>
          <t xml:space="preserve">
(</t>
        </r>
        <r>
          <rPr>
            <sz val="9"/>
            <color indexed="81"/>
            <rFont val="돋움"/>
            <family val="3"/>
            <charset val="129"/>
          </rPr>
          <t>상품</t>
        </r>
        <r>
          <rPr>
            <sz val="9"/>
            <color indexed="81"/>
            <rFont val="Tahoma"/>
            <family val="2"/>
          </rPr>
          <t xml:space="preserve"> </t>
        </r>
        <r>
          <rPr>
            <sz val="9"/>
            <color indexed="81"/>
            <rFont val="돋움"/>
            <family val="3"/>
            <charset val="129"/>
          </rPr>
          <t>등재가</t>
        </r>
        <r>
          <rPr>
            <sz val="9"/>
            <color indexed="81"/>
            <rFont val="Tahoma"/>
            <family val="2"/>
          </rPr>
          <t xml:space="preserve"> – </t>
        </r>
        <r>
          <rPr>
            <sz val="9"/>
            <color indexed="81"/>
            <rFont val="돋움"/>
            <family val="3"/>
            <charset val="129"/>
          </rPr>
          <t>판매자</t>
        </r>
        <r>
          <rPr>
            <sz val="9"/>
            <color indexed="81"/>
            <rFont val="Tahoma"/>
            <family val="2"/>
          </rPr>
          <t xml:space="preserve"> </t>
        </r>
        <r>
          <rPr>
            <sz val="9"/>
            <color indexed="81"/>
            <rFont val="돋움"/>
            <family val="3"/>
            <charset val="129"/>
          </rPr>
          <t>설정</t>
        </r>
        <r>
          <rPr>
            <sz val="9"/>
            <color indexed="81"/>
            <rFont val="Tahoma"/>
            <family val="2"/>
          </rPr>
          <t xml:space="preserve"> </t>
        </r>
        <r>
          <rPr>
            <sz val="9"/>
            <color indexed="81"/>
            <rFont val="돋움"/>
            <family val="3"/>
            <charset val="129"/>
          </rPr>
          <t>할인</t>
        </r>
        <r>
          <rPr>
            <sz val="9"/>
            <color indexed="81"/>
            <rFont val="Tahoma"/>
            <family val="2"/>
          </rPr>
          <t>) * 3%</t>
        </r>
      </text>
    </comment>
    <comment ref="V180" authorId="0" shapeId="0" xr:uid="{C9ADBA67-7B6D-431F-9B0E-512C95C7A01E}">
      <text>
        <r>
          <rPr>
            <b/>
            <sz val="9"/>
            <color indexed="81"/>
            <rFont val="Tahoma"/>
            <family val="2"/>
          </rPr>
          <t>user:</t>
        </r>
        <r>
          <rPr>
            <sz val="9"/>
            <color indexed="81"/>
            <rFont val="Tahoma"/>
            <family val="2"/>
          </rPr>
          <t xml:space="preserve">
(</t>
        </r>
        <r>
          <rPr>
            <sz val="9"/>
            <color indexed="81"/>
            <rFont val="돋움"/>
            <family val="3"/>
            <charset val="129"/>
          </rPr>
          <t>상품</t>
        </r>
        <r>
          <rPr>
            <sz val="9"/>
            <color indexed="81"/>
            <rFont val="Tahoma"/>
            <family val="2"/>
          </rPr>
          <t xml:space="preserve"> </t>
        </r>
        <r>
          <rPr>
            <sz val="9"/>
            <color indexed="81"/>
            <rFont val="돋움"/>
            <family val="3"/>
            <charset val="129"/>
          </rPr>
          <t>등재가</t>
        </r>
        <r>
          <rPr>
            <sz val="9"/>
            <color indexed="81"/>
            <rFont val="Tahoma"/>
            <family val="2"/>
          </rPr>
          <t xml:space="preserve"> – </t>
        </r>
        <r>
          <rPr>
            <sz val="9"/>
            <color indexed="81"/>
            <rFont val="돋움"/>
            <family val="3"/>
            <charset val="129"/>
          </rPr>
          <t>판매자</t>
        </r>
        <r>
          <rPr>
            <sz val="9"/>
            <color indexed="81"/>
            <rFont val="Tahoma"/>
            <family val="2"/>
          </rPr>
          <t xml:space="preserve"> </t>
        </r>
        <r>
          <rPr>
            <sz val="9"/>
            <color indexed="81"/>
            <rFont val="돋움"/>
            <family val="3"/>
            <charset val="129"/>
          </rPr>
          <t>설정</t>
        </r>
        <r>
          <rPr>
            <sz val="9"/>
            <color indexed="81"/>
            <rFont val="Tahoma"/>
            <family val="2"/>
          </rPr>
          <t xml:space="preserve"> </t>
        </r>
        <r>
          <rPr>
            <sz val="9"/>
            <color indexed="81"/>
            <rFont val="돋움"/>
            <family val="3"/>
            <charset val="129"/>
          </rPr>
          <t>할인</t>
        </r>
        <r>
          <rPr>
            <sz val="9"/>
            <color indexed="81"/>
            <rFont val="Tahoma"/>
            <family val="2"/>
          </rPr>
          <t>) * 3%</t>
        </r>
      </text>
    </comment>
    <comment ref="V186" authorId="0" shapeId="0" xr:uid="{D8ED9D41-759E-47E8-A086-1EA4759DC0E4}">
      <text>
        <r>
          <rPr>
            <b/>
            <sz val="9"/>
            <color indexed="81"/>
            <rFont val="Tahoma"/>
            <family val="2"/>
          </rPr>
          <t>user:</t>
        </r>
        <r>
          <rPr>
            <sz val="9"/>
            <color indexed="81"/>
            <rFont val="Tahoma"/>
            <family val="2"/>
          </rPr>
          <t xml:space="preserve">
(</t>
        </r>
        <r>
          <rPr>
            <sz val="9"/>
            <color indexed="81"/>
            <rFont val="돋움"/>
            <family val="3"/>
            <charset val="129"/>
          </rPr>
          <t>상품</t>
        </r>
        <r>
          <rPr>
            <sz val="9"/>
            <color indexed="81"/>
            <rFont val="Tahoma"/>
            <family val="2"/>
          </rPr>
          <t xml:space="preserve"> </t>
        </r>
        <r>
          <rPr>
            <sz val="9"/>
            <color indexed="81"/>
            <rFont val="돋움"/>
            <family val="3"/>
            <charset val="129"/>
          </rPr>
          <t>등재가</t>
        </r>
        <r>
          <rPr>
            <sz val="9"/>
            <color indexed="81"/>
            <rFont val="Tahoma"/>
            <family val="2"/>
          </rPr>
          <t xml:space="preserve"> – </t>
        </r>
        <r>
          <rPr>
            <sz val="9"/>
            <color indexed="81"/>
            <rFont val="돋움"/>
            <family val="3"/>
            <charset val="129"/>
          </rPr>
          <t>판매자</t>
        </r>
        <r>
          <rPr>
            <sz val="9"/>
            <color indexed="81"/>
            <rFont val="Tahoma"/>
            <family val="2"/>
          </rPr>
          <t xml:space="preserve"> </t>
        </r>
        <r>
          <rPr>
            <sz val="9"/>
            <color indexed="81"/>
            <rFont val="돋움"/>
            <family val="3"/>
            <charset val="129"/>
          </rPr>
          <t>설정</t>
        </r>
        <r>
          <rPr>
            <sz val="9"/>
            <color indexed="81"/>
            <rFont val="Tahoma"/>
            <family val="2"/>
          </rPr>
          <t xml:space="preserve"> </t>
        </r>
        <r>
          <rPr>
            <sz val="9"/>
            <color indexed="81"/>
            <rFont val="돋움"/>
            <family val="3"/>
            <charset val="129"/>
          </rPr>
          <t>할인</t>
        </r>
        <r>
          <rPr>
            <sz val="9"/>
            <color indexed="81"/>
            <rFont val="Tahoma"/>
            <family val="2"/>
          </rPr>
          <t>) * 3%</t>
        </r>
      </text>
    </comment>
    <comment ref="V193" authorId="0" shapeId="0" xr:uid="{4C0F6FA8-4EC0-4496-8B99-F42AC7D44A03}">
      <text>
        <r>
          <rPr>
            <b/>
            <sz val="9"/>
            <color indexed="81"/>
            <rFont val="Tahoma"/>
            <family val="2"/>
          </rPr>
          <t>user:</t>
        </r>
        <r>
          <rPr>
            <sz val="9"/>
            <color indexed="81"/>
            <rFont val="Tahoma"/>
            <family val="2"/>
          </rPr>
          <t xml:space="preserve">
(</t>
        </r>
        <r>
          <rPr>
            <sz val="9"/>
            <color indexed="81"/>
            <rFont val="돋움"/>
            <family val="3"/>
            <charset val="129"/>
          </rPr>
          <t>상품</t>
        </r>
        <r>
          <rPr>
            <sz val="9"/>
            <color indexed="81"/>
            <rFont val="Tahoma"/>
            <family val="2"/>
          </rPr>
          <t xml:space="preserve"> </t>
        </r>
        <r>
          <rPr>
            <sz val="9"/>
            <color indexed="81"/>
            <rFont val="돋움"/>
            <family val="3"/>
            <charset val="129"/>
          </rPr>
          <t>등재가</t>
        </r>
        <r>
          <rPr>
            <sz val="9"/>
            <color indexed="81"/>
            <rFont val="Tahoma"/>
            <family val="2"/>
          </rPr>
          <t xml:space="preserve"> – </t>
        </r>
        <r>
          <rPr>
            <sz val="9"/>
            <color indexed="81"/>
            <rFont val="돋움"/>
            <family val="3"/>
            <charset val="129"/>
          </rPr>
          <t>판매자</t>
        </r>
        <r>
          <rPr>
            <sz val="9"/>
            <color indexed="81"/>
            <rFont val="Tahoma"/>
            <family val="2"/>
          </rPr>
          <t xml:space="preserve"> </t>
        </r>
        <r>
          <rPr>
            <sz val="9"/>
            <color indexed="81"/>
            <rFont val="돋움"/>
            <family val="3"/>
            <charset val="129"/>
          </rPr>
          <t>설정</t>
        </r>
        <r>
          <rPr>
            <sz val="9"/>
            <color indexed="81"/>
            <rFont val="Tahoma"/>
            <family val="2"/>
          </rPr>
          <t xml:space="preserve"> </t>
        </r>
        <r>
          <rPr>
            <sz val="9"/>
            <color indexed="81"/>
            <rFont val="돋움"/>
            <family val="3"/>
            <charset val="129"/>
          </rPr>
          <t>할인</t>
        </r>
        <r>
          <rPr>
            <sz val="9"/>
            <color indexed="81"/>
            <rFont val="Tahoma"/>
            <family val="2"/>
          </rPr>
          <t>) * 3%</t>
        </r>
      </text>
    </comment>
    <comment ref="V198" authorId="0" shapeId="0" xr:uid="{655342E5-5732-445D-A799-2A489ED8A34C}">
      <text>
        <r>
          <rPr>
            <b/>
            <sz val="9"/>
            <color indexed="81"/>
            <rFont val="Tahoma"/>
            <family val="2"/>
          </rPr>
          <t>user:</t>
        </r>
        <r>
          <rPr>
            <sz val="9"/>
            <color indexed="81"/>
            <rFont val="Tahoma"/>
            <family val="2"/>
          </rPr>
          <t xml:space="preserve">
(</t>
        </r>
        <r>
          <rPr>
            <sz val="9"/>
            <color indexed="81"/>
            <rFont val="돋움"/>
            <family val="3"/>
            <charset val="129"/>
          </rPr>
          <t>상품</t>
        </r>
        <r>
          <rPr>
            <sz val="9"/>
            <color indexed="81"/>
            <rFont val="Tahoma"/>
            <family val="2"/>
          </rPr>
          <t xml:space="preserve"> </t>
        </r>
        <r>
          <rPr>
            <sz val="9"/>
            <color indexed="81"/>
            <rFont val="돋움"/>
            <family val="3"/>
            <charset val="129"/>
          </rPr>
          <t>등재가</t>
        </r>
        <r>
          <rPr>
            <sz val="9"/>
            <color indexed="81"/>
            <rFont val="Tahoma"/>
            <family val="2"/>
          </rPr>
          <t xml:space="preserve"> – </t>
        </r>
        <r>
          <rPr>
            <sz val="9"/>
            <color indexed="81"/>
            <rFont val="돋움"/>
            <family val="3"/>
            <charset val="129"/>
          </rPr>
          <t>판매자</t>
        </r>
        <r>
          <rPr>
            <sz val="9"/>
            <color indexed="81"/>
            <rFont val="Tahoma"/>
            <family val="2"/>
          </rPr>
          <t xml:space="preserve"> </t>
        </r>
        <r>
          <rPr>
            <sz val="9"/>
            <color indexed="81"/>
            <rFont val="돋움"/>
            <family val="3"/>
            <charset val="129"/>
          </rPr>
          <t>설정</t>
        </r>
        <r>
          <rPr>
            <sz val="9"/>
            <color indexed="81"/>
            <rFont val="Tahoma"/>
            <family val="2"/>
          </rPr>
          <t xml:space="preserve"> </t>
        </r>
        <r>
          <rPr>
            <sz val="9"/>
            <color indexed="81"/>
            <rFont val="돋움"/>
            <family val="3"/>
            <charset val="129"/>
          </rPr>
          <t>할인</t>
        </r>
        <r>
          <rPr>
            <sz val="9"/>
            <color indexed="81"/>
            <rFont val="Tahoma"/>
            <family val="2"/>
          </rPr>
          <t>) * 3%</t>
        </r>
      </text>
    </comment>
    <comment ref="V205" authorId="0" shapeId="0" xr:uid="{F8595C88-EC11-4A9F-A09A-8B4F765F7C25}">
      <text>
        <r>
          <rPr>
            <b/>
            <sz val="9"/>
            <color indexed="81"/>
            <rFont val="Tahoma"/>
            <family val="2"/>
          </rPr>
          <t>user:</t>
        </r>
        <r>
          <rPr>
            <sz val="9"/>
            <color indexed="81"/>
            <rFont val="Tahoma"/>
            <family val="2"/>
          </rPr>
          <t xml:space="preserve">
(</t>
        </r>
        <r>
          <rPr>
            <sz val="9"/>
            <color indexed="81"/>
            <rFont val="돋움"/>
            <family val="3"/>
            <charset val="129"/>
          </rPr>
          <t>상품</t>
        </r>
        <r>
          <rPr>
            <sz val="9"/>
            <color indexed="81"/>
            <rFont val="Tahoma"/>
            <family val="2"/>
          </rPr>
          <t xml:space="preserve"> </t>
        </r>
        <r>
          <rPr>
            <sz val="9"/>
            <color indexed="81"/>
            <rFont val="돋움"/>
            <family val="3"/>
            <charset val="129"/>
          </rPr>
          <t>등재가</t>
        </r>
        <r>
          <rPr>
            <sz val="9"/>
            <color indexed="81"/>
            <rFont val="Tahoma"/>
            <family val="2"/>
          </rPr>
          <t xml:space="preserve"> – </t>
        </r>
        <r>
          <rPr>
            <sz val="9"/>
            <color indexed="81"/>
            <rFont val="돋움"/>
            <family val="3"/>
            <charset val="129"/>
          </rPr>
          <t>판매자</t>
        </r>
        <r>
          <rPr>
            <sz val="9"/>
            <color indexed="81"/>
            <rFont val="Tahoma"/>
            <family val="2"/>
          </rPr>
          <t xml:space="preserve"> </t>
        </r>
        <r>
          <rPr>
            <sz val="9"/>
            <color indexed="81"/>
            <rFont val="돋움"/>
            <family val="3"/>
            <charset val="129"/>
          </rPr>
          <t>설정</t>
        </r>
        <r>
          <rPr>
            <sz val="9"/>
            <color indexed="81"/>
            <rFont val="Tahoma"/>
            <family val="2"/>
          </rPr>
          <t xml:space="preserve"> </t>
        </r>
        <r>
          <rPr>
            <sz val="9"/>
            <color indexed="81"/>
            <rFont val="돋움"/>
            <family val="3"/>
            <charset val="129"/>
          </rPr>
          <t>할인</t>
        </r>
        <r>
          <rPr>
            <sz val="9"/>
            <color indexed="81"/>
            <rFont val="Tahoma"/>
            <family val="2"/>
          </rPr>
          <t>) * 3%</t>
        </r>
      </text>
    </comment>
    <comment ref="V210" authorId="0" shapeId="0" xr:uid="{65FB89AD-AF27-478F-96B4-6D224250E262}">
      <text>
        <r>
          <rPr>
            <b/>
            <sz val="9"/>
            <color indexed="81"/>
            <rFont val="Tahoma"/>
            <family val="2"/>
          </rPr>
          <t>user:</t>
        </r>
        <r>
          <rPr>
            <sz val="9"/>
            <color indexed="81"/>
            <rFont val="Tahoma"/>
            <family val="2"/>
          </rPr>
          <t xml:space="preserve">
(</t>
        </r>
        <r>
          <rPr>
            <sz val="9"/>
            <color indexed="81"/>
            <rFont val="돋움"/>
            <family val="3"/>
            <charset val="129"/>
          </rPr>
          <t>상품</t>
        </r>
        <r>
          <rPr>
            <sz val="9"/>
            <color indexed="81"/>
            <rFont val="Tahoma"/>
            <family val="2"/>
          </rPr>
          <t xml:space="preserve"> </t>
        </r>
        <r>
          <rPr>
            <sz val="9"/>
            <color indexed="81"/>
            <rFont val="돋움"/>
            <family val="3"/>
            <charset val="129"/>
          </rPr>
          <t>등재가</t>
        </r>
        <r>
          <rPr>
            <sz val="9"/>
            <color indexed="81"/>
            <rFont val="Tahoma"/>
            <family val="2"/>
          </rPr>
          <t xml:space="preserve"> – </t>
        </r>
        <r>
          <rPr>
            <sz val="9"/>
            <color indexed="81"/>
            <rFont val="돋움"/>
            <family val="3"/>
            <charset val="129"/>
          </rPr>
          <t>판매자</t>
        </r>
        <r>
          <rPr>
            <sz val="9"/>
            <color indexed="81"/>
            <rFont val="Tahoma"/>
            <family val="2"/>
          </rPr>
          <t xml:space="preserve"> </t>
        </r>
        <r>
          <rPr>
            <sz val="9"/>
            <color indexed="81"/>
            <rFont val="돋움"/>
            <family val="3"/>
            <charset val="129"/>
          </rPr>
          <t>설정</t>
        </r>
        <r>
          <rPr>
            <sz val="9"/>
            <color indexed="81"/>
            <rFont val="Tahoma"/>
            <family val="2"/>
          </rPr>
          <t xml:space="preserve"> </t>
        </r>
        <r>
          <rPr>
            <sz val="9"/>
            <color indexed="81"/>
            <rFont val="돋움"/>
            <family val="3"/>
            <charset val="129"/>
          </rPr>
          <t>할인</t>
        </r>
        <r>
          <rPr>
            <sz val="9"/>
            <color indexed="81"/>
            <rFont val="Tahoma"/>
            <family val="2"/>
          </rPr>
          <t>) * 3%</t>
        </r>
      </text>
    </comment>
    <comment ref="V217" authorId="0" shapeId="0" xr:uid="{64198321-51A9-4FDA-8F3B-4B33614DC320}">
      <text>
        <r>
          <rPr>
            <b/>
            <sz val="9"/>
            <color indexed="81"/>
            <rFont val="Tahoma"/>
            <family val="2"/>
          </rPr>
          <t>user:</t>
        </r>
        <r>
          <rPr>
            <sz val="9"/>
            <color indexed="81"/>
            <rFont val="Tahoma"/>
            <family val="2"/>
          </rPr>
          <t xml:space="preserve">
(</t>
        </r>
        <r>
          <rPr>
            <sz val="9"/>
            <color indexed="81"/>
            <rFont val="돋움"/>
            <family val="3"/>
            <charset val="129"/>
          </rPr>
          <t>상품</t>
        </r>
        <r>
          <rPr>
            <sz val="9"/>
            <color indexed="81"/>
            <rFont val="Tahoma"/>
            <family val="2"/>
          </rPr>
          <t xml:space="preserve"> </t>
        </r>
        <r>
          <rPr>
            <sz val="9"/>
            <color indexed="81"/>
            <rFont val="돋움"/>
            <family val="3"/>
            <charset val="129"/>
          </rPr>
          <t>등재가</t>
        </r>
        <r>
          <rPr>
            <sz val="9"/>
            <color indexed="81"/>
            <rFont val="Tahoma"/>
            <family val="2"/>
          </rPr>
          <t xml:space="preserve"> – </t>
        </r>
        <r>
          <rPr>
            <sz val="9"/>
            <color indexed="81"/>
            <rFont val="돋움"/>
            <family val="3"/>
            <charset val="129"/>
          </rPr>
          <t>판매자</t>
        </r>
        <r>
          <rPr>
            <sz val="9"/>
            <color indexed="81"/>
            <rFont val="Tahoma"/>
            <family val="2"/>
          </rPr>
          <t xml:space="preserve"> </t>
        </r>
        <r>
          <rPr>
            <sz val="9"/>
            <color indexed="81"/>
            <rFont val="돋움"/>
            <family val="3"/>
            <charset val="129"/>
          </rPr>
          <t>설정</t>
        </r>
        <r>
          <rPr>
            <sz val="9"/>
            <color indexed="81"/>
            <rFont val="Tahoma"/>
            <family val="2"/>
          </rPr>
          <t xml:space="preserve"> </t>
        </r>
        <r>
          <rPr>
            <sz val="9"/>
            <color indexed="81"/>
            <rFont val="돋움"/>
            <family val="3"/>
            <charset val="129"/>
          </rPr>
          <t>할인</t>
        </r>
        <r>
          <rPr>
            <sz val="9"/>
            <color indexed="81"/>
            <rFont val="Tahoma"/>
            <family val="2"/>
          </rPr>
          <t>) * 3%</t>
        </r>
      </text>
    </comment>
    <comment ref="V222" authorId="0" shapeId="0" xr:uid="{C96DF21E-8359-4C69-B0CD-46EBEF384BE1}">
      <text>
        <r>
          <rPr>
            <b/>
            <sz val="9"/>
            <color indexed="81"/>
            <rFont val="Tahoma"/>
            <family val="2"/>
          </rPr>
          <t>user:</t>
        </r>
        <r>
          <rPr>
            <sz val="9"/>
            <color indexed="81"/>
            <rFont val="Tahoma"/>
            <family val="2"/>
          </rPr>
          <t xml:space="preserve">
(</t>
        </r>
        <r>
          <rPr>
            <sz val="9"/>
            <color indexed="81"/>
            <rFont val="돋움"/>
            <family val="3"/>
            <charset val="129"/>
          </rPr>
          <t>상품</t>
        </r>
        <r>
          <rPr>
            <sz val="9"/>
            <color indexed="81"/>
            <rFont val="Tahoma"/>
            <family val="2"/>
          </rPr>
          <t xml:space="preserve"> </t>
        </r>
        <r>
          <rPr>
            <sz val="9"/>
            <color indexed="81"/>
            <rFont val="돋움"/>
            <family val="3"/>
            <charset val="129"/>
          </rPr>
          <t>등재가</t>
        </r>
        <r>
          <rPr>
            <sz val="9"/>
            <color indexed="81"/>
            <rFont val="Tahoma"/>
            <family val="2"/>
          </rPr>
          <t xml:space="preserve"> – </t>
        </r>
        <r>
          <rPr>
            <sz val="9"/>
            <color indexed="81"/>
            <rFont val="돋움"/>
            <family val="3"/>
            <charset val="129"/>
          </rPr>
          <t>판매자</t>
        </r>
        <r>
          <rPr>
            <sz val="9"/>
            <color indexed="81"/>
            <rFont val="Tahoma"/>
            <family val="2"/>
          </rPr>
          <t xml:space="preserve"> </t>
        </r>
        <r>
          <rPr>
            <sz val="9"/>
            <color indexed="81"/>
            <rFont val="돋움"/>
            <family val="3"/>
            <charset val="129"/>
          </rPr>
          <t>설정</t>
        </r>
        <r>
          <rPr>
            <sz val="9"/>
            <color indexed="81"/>
            <rFont val="Tahoma"/>
            <family val="2"/>
          </rPr>
          <t xml:space="preserve"> </t>
        </r>
        <r>
          <rPr>
            <sz val="9"/>
            <color indexed="81"/>
            <rFont val="돋움"/>
            <family val="3"/>
            <charset val="129"/>
          </rPr>
          <t>할인</t>
        </r>
        <r>
          <rPr>
            <sz val="9"/>
            <color indexed="81"/>
            <rFont val="Tahoma"/>
            <family val="2"/>
          </rPr>
          <t>) * 3%</t>
        </r>
      </text>
    </comment>
    <comment ref="V229" authorId="0" shapeId="0" xr:uid="{AA81EDFE-8D53-4E73-81FB-A0460EF0689F}">
      <text>
        <r>
          <rPr>
            <b/>
            <sz val="9"/>
            <color indexed="81"/>
            <rFont val="Tahoma"/>
            <family val="2"/>
          </rPr>
          <t>user:</t>
        </r>
        <r>
          <rPr>
            <sz val="9"/>
            <color indexed="81"/>
            <rFont val="Tahoma"/>
            <family val="2"/>
          </rPr>
          <t xml:space="preserve">
(</t>
        </r>
        <r>
          <rPr>
            <sz val="9"/>
            <color indexed="81"/>
            <rFont val="돋움"/>
            <family val="3"/>
            <charset val="129"/>
          </rPr>
          <t>상품</t>
        </r>
        <r>
          <rPr>
            <sz val="9"/>
            <color indexed="81"/>
            <rFont val="Tahoma"/>
            <family val="2"/>
          </rPr>
          <t xml:space="preserve"> </t>
        </r>
        <r>
          <rPr>
            <sz val="9"/>
            <color indexed="81"/>
            <rFont val="돋움"/>
            <family val="3"/>
            <charset val="129"/>
          </rPr>
          <t>등재가</t>
        </r>
        <r>
          <rPr>
            <sz val="9"/>
            <color indexed="81"/>
            <rFont val="Tahoma"/>
            <family val="2"/>
          </rPr>
          <t xml:space="preserve"> – </t>
        </r>
        <r>
          <rPr>
            <sz val="9"/>
            <color indexed="81"/>
            <rFont val="돋움"/>
            <family val="3"/>
            <charset val="129"/>
          </rPr>
          <t>판매자</t>
        </r>
        <r>
          <rPr>
            <sz val="9"/>
            <color indexed="81"/>
            <rFont val="Tahoma"/>
            <family val="2"/>
          </rPr>
          <t xml:space="preserve"> </t>
        </r>
        <r>
          <rPr>
            <sz val="9"/>
            <color indexed="81"/>
            <rFont val="돋움"/>
            <family val="3"/>
            <charset val="129"/>
          </rPr>
          <t>설정</t>
        </r>
        <r>
          <rPr>
            <sz val="9"/>
            <color indexed="81"/>
            <rFont val="Tahoma"/>
            <family val="2"/>
          </rPr>
          <t xml:space="preserve"> </t>
        </r>
        <r>
          <rPr>
            <sz val="9"/>
            <color indexed="81"/>
            <rFont val="돋움"/>
            <family val="3"/>
            <charset val="129"/>
          </rPr>
          <t>할인</t>
        </r>
        <r>
          <rPr>
            <sz val="9"/>
            <color indexed="81"/>
            <rFont val="Tahoma"/>
            <family val="2"/>
          </rPr>
          <t>) * 3%</t>
        </r>
      </text>
    </comment>
    <comment ref="V234" authorId="0" shapeId="0" xr:uid="{05F1F3CD-B87C-4BC7-8071-C1717C61CA5E}">
      <text>
        <r>
          <rPr>
            <b/>
            <sz val="9"/>
            <color indexed="81"/>
            <rFont val="Tahoma"/>
            <family val="2"/>
          </rPr>
          <t>user:</t>
        </r>
        <r>
          <rPr>
            <sz val="9"/>
            <color indexed="81"/>
            <rFont val="Tahoma"/>
            <family val="2"/>
          </rPr>
          <t xml:space="preserve">
(</t>
        </r>
        <r>
          <rPr>
            <sz val="9"/>
            <color indexed="81"/>
            <rFont val="돋움"/>
            <family val="3"/>
            <charset val="129"/>
          </rPr>
          <t>상품</t>
        </r>
        <r>
          <rPr>
            <sz val="9"/>
            <color indexed="81"/>
            <rFont val="Tahoma"/>
            <family val="2"/>
          </rPr>
          <t xml:space="preserve"> </t>
        </r>
        <r>
          <rPr>
            <sz val="9"/>
            <color indexed="81"/>
            <rFont val="돋움"/>
            <family val="3"/>
            <charset val="129"/>
          </rPr>
          <t>등재가</t>
        </r>
        <r>
          <rPr>
            <sz val="9"/>
            <color indexed="81"/>
            <rFont val="Tahoma"/>
            <family val="2"/>
          </rPr>
          <t xml:space="preserve"> – </t>
        </r>
        <r>
          <rPr>
            <sz val="9"/>
            <color indexed="81"/>
            <rFont val="돋움"/>
            <family val="3"/>
            <charset val="129"/>
          </rPr>
          <t>판매자</t>
        </r>
        <r>
          <rPr>
            <sz val="9"/>
            <color indexed="81"/>
            <rFont val="Tahoma"/>
            <family val="2"/>
          </rPr>
          <t xml:space="preserve"> </t>
        </r>
        <r>
          <rPr>
            <sz val="9"/>
            <color indexed="81"/>
            <rFont val="돋움"/>
            <family val="3"/>
            <charset val="129"/>
          </rPr>
          <t>설정</t>
        </r>
        <r>
          <rPr>
            <sz val="9"/>
            <color indexed="81"/>
            <rFont val="Tahoma"/>
            <family val="2"/>
          </rPr>
          <t xml:space="preserve"> </t>
        </r>
        <r>
          <rPr>
            <sz val="9"/>
            <color indexed="81"/>
            <rFont val="돋움"/>
            <family val="3"/>
            <charset val="129"/>
          </rPr>
          <t>할인</t>
        </r>
        <r>
          <rPr>
            <sz val="9"/>
            <color indexed="81"/>
            <rFont val="Tahoma"/>
            <family val="2"/>
          </rPr>
          <t>) * 3%</t>
        </r>
      </text>
    </comment>
    <comment ref="V241" authorId="0" shapeId="0" xr:uid="{0E8A2288-2280-45C9-BE76-EF04D08DAC01}">
      <text>
        <r>
          <rPr>
            <b/>
            <sz val="9"/>
            <color indexed="81"/>
            <rFont val="Tahoma"/>
            <family val="2"/>
          </rPr>
          <t>user:</t>
        </r>
        <r>
          <rPr>
            <sz val="9"/>
            <color indexed="81"/>
            <rFont val="Tahoma"/>
            <family val="2"/>
          </rPr>
          <t xml:space="preserve">
(</t>
        </r>
        <r>
          <rPr>
            <sz val="9"/>
            <color indexed="81"/>
            <rFont val="돋움"/>
            <family val="3"/>
            <charset val="129"/>
          </rPr>
          <t>상품</t>
        </r>
        <r>
          <rPr>
            <sz val="9"/>
            <color indexed="81"/>
            <rFont val="Tahoma"/>
            <family val="2"/>
          </rPr>
          <t xml:space="preserve"> </t>
        </r>
        <r>
          <rPr>
            <sz val="9"/>
            <color indexed="81"/>
            <rFont val="돋움"/>
            <family val="3"/>
            <charset val="129"/>
          </rPr>
          <t>등재가</t>
        </r>
        <r>
          <rPr>
            <sz val="9"/>
            <color indexed="81"/>
            <rFont val="Tahoma"/>
            <family val="2"/>
          </rPr>
          <t xml:space="preserve"> – </t>
        </r>
        <r>
          <rPr>
            <sz val="9"/>
            <color indexed="81"/>
            <rFont val="돋움"/>
            <family val="3"/>
            <charset val="129"/>
          </rPr>
          <t>판매자</t>
        </r>
        <r>
          <rPr>
            <sz val="9"/>
            <color indexed="81"/>
            <rFont val="Tahoma"/>
            <family val="2"/>
          </rPr>
          <t xml:space="preserve"> </t>
        </r>
        <r>
          <rPr>
            <sz val="9"/>
            <color indexed="81"/>
            <rFont val="돋움"/>
            <family val="3"/>
            <charset val="129"/>
          </rPr>
          <t>설정</t>
        </r>
        <r>
          <rPr>
            <sz val="9"/>
            <color indexed="81"/>
            <rFont val="Tahoma"/>
            <family val="2"/>
          </rPr>
          <t xml:space="preserve"> </t>
        </r>
        <r>
          <rPr>
            <sz val="9"/>
            <color indexed="81"/>
            <rFont val="돋움"/>
            <family val="3"/>
            <charset val="129"/>
          </rPr>
          <t>할인</t>
        </r>
        <r>
          <rPr>
            <sz val="9"/>
            <color indexed="81"/>
            <rFont val="Tahoma"/>
            <family val="2"/>
          </rPr>
          <t>) * 3%</t>
        </r>
      </text>
    </comment>
    <comment ref="V246" authorId="0" shapeId="0" xr:uid="{56F50605-D79C-4CC0-998F-943C35AD843A}">
      <text>
        <r>
          <rPr>
            <b/>
            <sz val="9"/>
            <color indexed="81"/>
            <rFont val="Tahoma"/>
            <family val="2"/>
          </rPr>
          <t>user:</t>
        </r>
        <r>
          <rPr>
            <sz val="9"/>
            <color indexed="81"/>
            <rFont val="Tahoma"/>
            <family val="2"/>
          </rPr>
          <t xml:space="preserve">
(</t>
        </r>
        <r>
          <rPr>
            <sz val="9"/>
            <color indexed="81"/>
            <rFont val="돋움"/>
            <family val="3"/>
            <charset val="129"/>
          </rPr>
          <t>상품</t>
        </r>
        <r>
          <rPr>
            <sz val="9"/>
            <color indexed="81"/>
            <rFont val="Tahoma"/>
            <family val="2"/>
          </rPr>
          <t xml:space="preserve"> </t>
        </r>
        <r>
          <rPr>
            <sz val="9"/>
            <color indexed="81"/>
            <rFont val="돋움"/>
            <family val="3"/>
            <charset val="129"/>
          </rPr>
          <t>등재가</t>
        </r>
        <r>
          <rPr>
            <sz val="9"/>
            <color indexed="81"/>
            <rFont val="Tahoma"/>
            <family val="2"/>
          </rPr>
          <t xml:space="preserve"> – </t>
        </r>
        <r>
          <rPr>
            <sz val="9"/>
            <color indexed="81"/>
            <rFont val="돋움"/>
            <family val="3"/>
            <charset val="129"/>
          </rPr>
          <t>판매자</t>
        </r>
        <r>
          <rPr>
            <sz val="9"/>
            <color indexed="81"/>
            <rFont val="Tahoma"/>
            <family val="2"/>
          </rPr>
          <t xml:space="preserve"> </t>
        </r>
        <r>
          <rPr>
            <sz val="9"/>
            <color indexed="81"/>
            <rFont val="돋움"/>
            <family val="3"/>
            <charset val="129"/>
          </rPr>
          <t>설정</t>
        </r>
        <r>
          <rPr>
            <sz val="9"/>
            <color indexed="81"/>
            <rFont val="Tahoma"/>
            <family val="2"/>
          </rPr>
          <t xml:space="preserve"> </t>
        </r>
        <r>
          <rPr>
            <sz val="9"/>
            <color indexed="81"/>
            <rFont val="돋움"/>
            <family val="3"/>
            <charset val="129"/>
          </rPr>
          <t>할인</t>
        </r>
        <r>
          <rPr>
            <sz val="9"/>
            <color indexed="81"/>
            <rFont val="Tahoma"/>
            <family val="2"/>
          </rPr>
          <t>) * 3%</t>
        </r>
      </text>
    </comment>
    <comment ref="V253" authorId="0" shapeId="0" xr:uid="{168A14B4-72F5-4CBA-B643-CB4385F1D24B}">
      <text>
        <r>
          <rPr>
            <b/>
            <sz val="9"/>
            <color indexed="81"/>
            <rFont val="Tahoma"/>
            <family val="2"/>
          </rPr>
          <t>user:</t>
        </r>
        <r>
          <rPr>
            <sz val="9"/>
            <color indexed="81"/>
            <rFont val="Tahoma"/>
            <family val="2"/>
          </rPr>
          <t xml:space="preserve">
(</t>
        </r>
        <r>
          <rPr>
            <sz val="9"/>
            <color indexed="81"/>
            <rFont val="돋움"/>
            <family val="3"/>
            <charset val="129"/>
          </rPr>
          <t>상품</t>
        </r>
        <r>
          <rPr>
            <sz val="9"/>
            <color indexed="81"/>
            <rFont val="Tahoma"/>
            <family val="2"/>
          </rPr>
          <t xml:space="preserve"> </t>
        </r>
        <r>
          <rPr>
            <sz val="9"/>
            <color indexed="81"/>
            <rFont val="돋움"/>
            <family val="3"/>
            <charset val="129"/>
          </rPr>
          <t>등재가</t>
        </r>
        <r>
          <rPr>
            <sz val="9"/>
            <color indexed="81"/>
            <rFont val="Tahoma"/>
            <family val="2"/>
          </rPr>
          <t xml:space="preserve"> – </t>
        </r>
        <r>
          <rPr>
            <sz val="9"/>
            <color indexed="81"/>
            <rFont val="돋움"/>
            <family val="3"/>
            <charset val="129"/>
          </rPr>
          <t>판매자</t>
        </r>
        <r>
          <rPr>
            <sz val="9"/>
            <color indexed="81"/>
            <rFont val="Tahoma"/>
            <family val="2"/>
          </rPr>
          <t xml:space="preserve"> </t>
        </r>
        <r>
          <rPr>
            <sz val="9"/>
            <color indexed="81"/>
            <rFont val="돋움"/>
            <family val="3"/>
            <charset val="129"/>
          </rPr>
          <t>설정</t>
        </r>
        <r>
          <rPr>
            <sz val="9"/>
            <color indexed="81"/>
            <rFont val="Tahoma"/>
            <family val="2"/>
          </rPr>
          <t xml:space="preserve"> </t>
        </r>
        <r>
          <rPr>
            <sz val="9"/>
            <color indexed="81"/>
            <rFont val="돋움"/>
            <family val="3"/>
            <charset val="129"/>
          </rPr>
          <t>할인</t>
        </r>
        <r>
          <rPr>
            <sz val="9"/>
            <color indexed="81"/>
            <rFont val="Tahoma"/>
            <family val="2"/>
          </rPr>
          <t>) * 3%</t>
        </r>
      </text>
    </comment>
    <comment ref="V258" authorId="0" shapeId="0" xr:uid="{7AFA63BF-B1AA-4387-97A9-6FB0E755BC34}">
      <text>
        <r>
          <rPr>
            <b/>
            <sz val="9"/>
            <color indexed="81"/>
            <rFont val="Tahoma"/>
            <family val="2"/>
          </rPr>
          <t>user:</t>
        </r>
        <r>
          <rPr>
            <sz val="9"/>
            <color indexed="81"/>
            <rFont val="Tahoma"/>
            <family val="2"/>
          </rPr>
          <t xml:space="preserve">
(</t>
        </r>
        <r>
          <rPr>
            <sz val="9"/>
            <color indexed="81"/>
            <rFont val="돋움"/>
            <family val="3"/>
            <charset val="129"/>
          </rPr>
          <t>상품</t>
        </r>
        <r>
          <rPr>
            <sz val="9"/>
            <color indexed="81"/>
            <rFont val="Tahoma"/>
            <family val="2"/>
          </rPr>
          <t xml:space="preserve"> </t>
        </r>
        <r>
          <rPr>
            <sz val="9"/>
            <color indexed="81"/>
            <rFont val="돋움"/>
            <family val="3"/>
            <charset val="129"/>
          </rPr>
          <t>등재가</t>
        </r>
        <r>
          <rPr>
            <sz val="9"/>
            <color indexed="81"/>
            <rFont val="Tahoma"/>
            <family val="2"/>
          </rPr>
          <t xml:space="preserve"> – </t>
        </r>
        <r>
          <rPr>
            <sz val="9"/>
            <color indexed="81"/>
            <rFont val="돋움"/>
            <family val="3"/>
            <charset val="129"/>
          </rPr>
          <t>판매자</t>
        </r>
        <r>
          <rPr>
            <sz val="9"/>
            <color indexed="81"/>
            <rFont val="Tahoma"/>
            <family val="2"/>
          </rPr>
          <t xml:space="preserve"> </t>
        </r>
        <r>
          <rPr>
            <sz val="9"/>
            <color indexed="81"/>
            <rFont val="돋움"/>
            <family val="3"/>
            <charset val="129"/>
          </rPr>
          <t>설정</t>
        </r>
        <r>
          <rPr>
            <sz val="9"/>
            <color indexed="81"/>
            <rFont val="Tahoma"/>
            <family val="2"/>
          </rPr>
          <t xml:space="preserve"> </t>
        </r>
        <r>
          <rPr>
            <sz val="9"/>
            <color indexed="81"/>
            <rFont val="돋움"/>
            <family val="3"/>
            <charset val="129"/>
          </rPr>
          <t>할인</t>
        </r>
        <r>
          <rPr>
            <sz val="9"/>
            <color indexed="81"/>
            <rFont val="Tahoma"/>
            <family val="2"/>
          </rPr>
          <t>) * 3%</t>
        </r>
      </text>
    </comment>
    <comment ref="V265" authorId="0" shapeId="0" xr:uid="{D9EC667A-56FA-4963-B7F2-F6577B53530B}">
      <text>
        <r>
          <rPr>
            <b/>
            <sz val="9"/>
            <color indexed="81"/>
            <rFont val="Tahoma"/>
            <family val="2"/>
          </rPr>
          <t>user:</t>
        </r>
        <r>
          <rPr>
            <sz val="9"/>
            <color indexed="81"/>
            <rFont val="Tahoma"/>
            <family val="2"/>
          </rPr>
          <t xml:space="preserve">
(</t>
        </r>
        <r>
          <rPr>
            <sz val="9"/>
            <color indexed="81"/>
            <rFont val="돋움"/>
            <family val="3"/>
            <charset val="129"/>
          </rPr>
          <t>상품</t>
        </r>
        <r>
          <rPr>
            <sz val="9"/>
            <color indexed="81"/>
            <rFont val="Tahoma"/>
            <family val="2"/>
          </rPr>
          <t xml:space="preserve"> </t>
        </r>
        <r>
          <rPr>
            <sz val="9"/>
            <color indexed="81"/>
            <rFont val="돋움"/>
            <family val="3"/>
            <charset val="129"/>
          </rPr>
          <t>등재가</t>
        </r>
        <r>
          <rPr>
            <sz val="9"/>
            <color indexed="81"/>
            <rFont val="Tahoma"/>
            <family val="2"/>
          </rPr>
          <t xml:space="preserve"> – </t>
        </r>
        <r>
          <rPr>
            <sz val="9"/>
            <color indexed="81"/>
            <rFont val="돋움"/>
            <family val="3"/>
            <charset val="129"/>
          </rPr>
          <t>판매자</t>
        </r>
        <r>
          <rPr>
            <sz val="9"/>
            <color indexed="81"/>
            <rFont val="Tahoma"/>
            <family val="2"/>
          </rPr>
          <t xml:space="preserve"> </t>
        </r>
        <r>
          <rPr>
            <sz val="9"/>
            <color indexed="81"/>
            <rFont val="돋움"/>
            <family val="3"/>
            <charset val="129"/>
          </rPr>
          <t>설정</t>
        </r>
        <r>
          <rPr>
            <sz val="9"/>
            <color indexed="81"/>
            <rFont val="Tahoma"/>
            <family val="2"/>
          </rPr>
          <t xml:space="preserve"> </t>
        </r>
        <r>
          <rPr>
            <sz val="9"/>
            <color indexed="81"/>
            <rFont val="돋움"/>
            <family val="3"/>
            <charset val="129"/>
          </rPr>
          <t>할인</t>
        </r>
        <r>
          <rPr>
            <sz val="9"/>
            <color indexed="81"/>
            <rFont val="Tahoma"/>
            <family val="2"/>
          </rPr>
          <t>) * 3%</t>
        </r>
      </text>
    </comment>
    <comment ref="V270" authorId="0" shapeId="0" xr:uid="{CF0F92AA-F3D6-46AB-935C-BA6AF3482AC7}">
      <text>
        <r>
          <rPr>
            <b/>
            <sz val="9"/>
            <color indexed="81"/>
            <rFont val="Tahoma"/>
            <family val="2"/>
          </rPr>
          <t>user:</t>
        </r>
        <r>
          <rPr>
            <sz val="9"/>
            <color indexed="81"/>
            <rFont val="Tahoma"/>
            <family val="2"/>
          </rPr>
          <t xml:space="preserve">
(</t>
        </r>
        <r>
          <rPr>
            <sz val="9"/>
            <color indexed="81"/>
            <rFont val="돋움"/>
            <family val="3"/>
            <charset val="129"/>
          </rPr>
          <t>상품</t>
        </r>
        <r>
          <rPr>
            <sz val="9"/>
            <color indexed="81"/>
            <rFont val="Tahoma"/>
            <family val="2"/>
          </rPr>
          <t xml:space="preserve"> </t>
        </r>
        <r>
          <rPr>
            <sz val="9"/>
            <color indexed="81"/>
            <rFont val="돋움"/>
            <family val="3"/>
            <charset val="129"/>
          </rPr>
          <t>등재가</t>
        </r>
        <r>
          <rPr>
            <sz val="9"/>
            <color indexed="81"/>
            <rFont val="Tahoma"/>
            <family val="2"/>
          </rPr>
          <t xml:space="preserve"> – </t>
        </r>
        <r>
          <rPr>
            <sz val="9"/>
            <color indexed="81"/>
            <rFont val="돋움"/>
            <family val="3"/>
            <charset val="129"/>
          </rPr>
          <t>판매자</t>
        </r>
        <r>
          <rPr>
            <sz val="9"/>
            <color indexed="81"/>
            <rFont val="Tahoma"/>
            <family val="2"/>
          </rPr>
          <t xml:space="preserve"> </t>
        </r>
        <r>
          <rPr>
            <sz val="9"/>
            <color indexed="81"/>
            <rFont val="돋움"/>
            <family val="3"/>
            <charset val="129"/>
          </rPr>
          <t>설정</t>
        </r>
        <r>
          <rPr>
            <sz val="9"/>
            <color indexed="81"/>
            <rFont val="Tahoma"/>
            <family val="2"/>
          </rPr>
          <t xml:space="preserve"> </t>
        </r>
        <r>
          <rPr>
            <sz val="9"/>
            <color indexed="81"/>
            <rFont val="돋움"/>
            <family val="3"/>
            <charset val="129"/>
          </rPr>
          <t>할인</t>
        </r>
        <r>
          <rPr>
            <sz val="9"/>
            <color indexed="81"/>
            <rFont val="Tahoma"/>
            <family val="2"/>
          </rPr>
          <t>) * 3%</t>
        </r>
      </text>
    </comment>
    <comment ref="V277" authorId="0" shapeId="0" xr:uid="{EB08B53B-4366-40C9-95D6-CAA194EAE4E8}">
      <text>
        <r>
          <rPr>
            <b/>
            <sz val="9"/>
            <color indexed="81"/>
            <rFont val="Tahoma"/>
            <family val="2"/>
          </rPr>
          <t>user:</t>
        </r>
        <r>
          <rPr>
            <sz val="9"/>
            <color indexed="81"/>
            <rFont val="Tahoma"/>
            <family val="2"/>
          </rPr>
          <t xml:space="preserve">
(</t>
        </r>
        <r>
          <rPr>
            <sz val="9"/>
            <color indexed="81"/>
            <rFont val="돋움"/>
            <family val="3"/>
            <charset val="129"/>
          </rPr>
          <t>상품</t>
        </r>
        <r>
          <rPr>
            <sz val="9"/>
            <color indexed="81"/>
            <rFont val="Tahoma"/>
            <family val="2"/>
          </rPr>
          <t xml:space="preserve"> </t>
        </r>
        <r>
          <rPr>
            <sz val="9"/>
            <color indexed="81"/>
            <rFont val="돋움"/>
            <family val="3"/>
            <charset val="129"/>
          </rPr>
          <t>등재가</t>
        </r>
        <r>
          <rPr>
            <sz val="9"/>
            <color indexed="81"/>
            <rFont val="Tahoma"/>
            <family val="2"/>
          </rPr>
          <t xml:space="preserve"> – </t>
        </r>
        <r>
          <rPr>
            <sz val="9"/>
            <color indexed="81"/>
            <rFont val="돋움"/>
            <family val="3"/>
            <charset val="129"/>
          </rPr>
          <t>판매자</t>
        </r>
        <r>
          <rPr>
            <sz val="9"/>
            <color indexed="81"/>
            <rFont val="Tahoma"/>
            <family val="2"/>
          </rPr>
          <t xml:space="preserve"> </t>
        </r>
        <r>
          <rPr>
            <sz val="9"/>
            <color indexed="81"/>
            <rFont val="돋움"/>
            <family val="3"/>
            <charset val="129"/>
          </rPr>
          <t>설정</t>
        </r>
        <r>
          <rPr>
            <sz val="9"/>
            <color indexed="81"/>
            <rFont val="Tahoma"/>
            <family val="2"/>
          </rPr>
          <t xml:space="preserve"> </t>
        </r>
        <r>
          <rPr>
            <sz val="9"/>
            <color indexed="81"/>
            <rFont val="돋움"/>
            <family val="3"/>
            <charset val="129"/>
          </rPr>
          <t>할인</t>
        </r>
        <r>
          <rPr>
            <sz val="9"/>
            <color indexed="81"/>
            <rFont val="Tahoma"/>
            <family val="2"/>
          </rPr>
          <t>) * 3%</t>
        </r>
      </text>
    </comment>
    <comment ref="V282" authorId="0" shapeId="0" xr:uid="{3C83064B-DB7C-43DC-9381-1ECD369E7C93}">
      <text>
        <r>
          <rPr>
            <b/>
            <sz val="9"/>
            <color indexed="81"/>
            <rFont val="Tahoma"/>
            <family val="2"/>
          </rPr>
          <t>user:</t>
        </r>
        <r>
          <rPr>
            <sz val="9"/>
            <color indexed="81"/>
            <rFont val="Tahoma"/>
            <family val="2"/>
          </rPr>
          <t xml:space="preserve">
(</t>
        </r>
        <r>
          <rPr>
            <sz val="9"/>
            <color indexed="81"/>
            <rFont val="돋움"/>
            <family val="3"/>
            <charset val="129"/>
          </rPr>
          <t>상품</t>
        </r>
        <r>
          <rPr>
            <sz val="9"/>
            <color indexed="81"/>
            <rFont val="Tahoma"/>
            <family val="2"/>
          </rPr>
          <t xml:space="preserve"> </t>
        </r>
        <r>
          <rPr>
            <sz val="9"/>
            <color indexed="81"/>
            <rFont val="돋움"/>
            <family val="3"/>
            <charset val="129"/>
          </rPr>
          <t>등재가</t>
        </r>
        <r>
          <rPr>
            <sz val="9"/>
            <color indexed="81"/>
            <rFont val="Tahoma"/>
            <family val="2"/>
          </rPr>
          <t xml:space="preserve"> – </t>
        </r>
        <r>
          <rPr>
            <sz val="9"/>
            <color indexed="81"/>
            <rFont val="돋움"/>
            <family val="3"/>
            <charset val="129"/>
          </rPr>
          <t>판매자</t>
        </r>
        <r>
          <rPr>
            <sz val="9"/>
            <color indexed="81"/>
            <rFont val="Tahoma"/>
            <family val="2"/>
          </rPr>
          <t xml:space="preserve"> </t>
        </r>
        <r>
          <rPr>
            <sz val="9"/>
            <color indexed="81"/>
            <rFont val="돋움"/>
            <family val="3"/>
            <charset val="129"/>
          </rPr>
          <t>설정</t>
        </r>
        <r>
          <rPr>
            <sz val="9"/>
            <color indexed="81"/>
            <rFont val="Tahoma"/>
            <family val="2"/>
          </rPr>
          <t xml:space="preserve"> </t>
        </r>
        <r>
          <rPr>
            <sz val="9"/>
            <color indexed="81"/>
            <rFont val="돋움"/>
            <family val="3"/>
            <charset val="129"/>
          </rPr>
          <t>할인</t>
        </r>
        <r>
          <rPr>
            <sz val="9"/>
            <color indexed="81"/>
            <rFont val="Tahoma"/>
            <family val="2"/>
          </rPr>
          <t>) * 3%</t>
        </r>
      </text>
    </comment>
    <comment ref="V289" authorId="0" shapeId="0" xr:uid="{9CC115A7-A9CF-4B01-BE92-2BBE2311DCAB}">
      <text>
        <r>
          <rPr>
            <b/>
            <sz val="9"/>
            <color indexed="81"/>
            <rFont val="Tahoma"/>
            <family val="2"/>
          </rPr>
          <t>user:</t>
        </r>
        <r>
          <rPr>
            <sz val="9"/>
            <color indexed="81"/>
            <rFont val="Tahoma"/>
            <family val="2"/>
          </rPr>
          <t xml:space="preserve">
(</t>
        </r>
        <r>
          <rPr>
            <sz val="9"/>
            <color indexed="81"/>
            <rFont val="돋움"/>
            <family val="3"/>
            <charset val="129"/>
          </rPr>
          <t>상품</t>
        </r>
        <r>
          <rPr>
            <sz val="9"/>
            <color indexed="81"/>
            <rFont val="Tahoma"/>
            <family val="2"/>
          </rPr>
          <t xml:space="preserve"> </t>
        </r>
        <r>
          <rPr>
            <sz val="9"/>
            <color indexed="81"/>
            <rFont val="돋움"/>
            <family val="3"/>
            <charset val="129"/>
          </rPr>
          <t>등재가</t>
        </r>
        <r>
          <rPr>
            <sz val="9"/>
            <color indexed="81"/>
            <rFont val="Tahoma"/>
            <family val="2"/>
          </rPr>
          <t xml:space="preserve"> – </t>
        </r>
        <r>
          <rPr>
            <sz val="9"/>
            <color indexed="81"/>
            <rFont val="돋움"/>
            <family val="3"/>
            <charset val="129"/>
          </rPr>
          <t>판매자</t>
        </r>
        <r>
          <rPr>
            <sz val="9"/>
            <color indexed="81"/>
            <rFont val="Tahoma"/>
            <family val="2"/>
          </rPr>
          <t xml:space="preserve"> </t>
        </r>
        <r>
          <rPr>
            <sz val="9"/>
            <color indexed="81"/>
            <rFont val="돋움"/>
            <family val="3"/>
            <charset val="129"/>
          </rPr>
          <t>설정</t>
        </r>
        <r>
          <rPr>
            <sz val="9"/>
            <color indexed="81"/>
            <rFont val="Tahoma"/>
            <family val="2"/>
          </rPr>
          <t xml:space="preserve"> </t>
        </r>
        <r>
          <rPr>
            <sz val="9"/>
            <color indexed="81"/>
            <rFont val="돋움"/>
            <family val="3"/>
            <charset val="129"/>
          </rPr>
          <t>할인</t>
        </r>
        <r>
          <rPr>
            <sz val="9"/>
            <color indexed="81"/>
            <rFont val="Tahoma"/>
            <family val="2"/>
          </rPr>
          <t>) * 3%</t>
        </r>
      </text>
    </comment>
    <comment ref="V294" authorId="0" shapeId="0" xr:uid="{2E1CF27E-7573-410A-9887-A741A2F983A4}">
      <text>
        <r>
          <rPr>
            <b/>
            <sz val="9"/>
            <color indexed="81"/>
            <rFont val="Tahoma"/>
            <family val="2"/>
          </rPr>
          <t>user:</t>
        </r>
        <r>
          <rPr>
            <sz val="9"/>
            <color indexed="81"/>
            <rFont val="Tahoma"/>
            <family val="2"/>
          </rPr>
          <t xml:space="preserve">
(</t>
        </r>
        <r>
          <rPr>
            <sz val="9"/>
            <color indexed="81"/>
            <rFont val="돋움"/>
            <family val="3"/>
            <charset val="129"/>
          </rPr>
          <t>상품</t>
        </r>
        <r>
          <rPr>
            <sz val="9"/>
            <color indexed="81"/>
            <rFont val="Tahoma"/>
            <family val="2"/>
          </rPr>
          <t xml:space="preserve"> </t>
        </r>
        <r>
          <rPr>
            <sz val="9"/>
            <color indexed="81"/>
            <rFont val="돋움"/>
            <family val="3"/>
            <charset val="129"/>
          </rPr>
          <t>등재가</t>
        </r>
        <r>
          <rPr>
            <sz val="9"/>
            <color indexed="81"/>
            <rFont val="Tahoma"/>
            <family val="2"/>
          </rPr>
          <t xml:space="preserve"> – </t>
        </r>
        <r>
          <rPr>
            <sz val="9"/>
            <color indexed="81"/>
            <rFont val="돋움"/>
            <family val="3"/>
            <charset val="129"/>
          </rPr>
          <t>판매자</t>
        </r>
        <r>
          <rPr>
            <sz val="9"/>
            <color indexed="81"/>
            <rFont val="Tahoma"/>
            <family val="2"/>
          </rPr>
          <t xml:space="preserve"> </t>
        </r>
        <r>
          <rPr>
            <sz val="9"/>
            <color indexed="81"/>
            <rFont val="돋움"/>
            <family val="3"/>
            <charset val="129"/>
          </rPr>
          <t>설정</t>
        </r>
        <r>
          <rPr>
            <sz val="9"/>
            <color indexed="81"/>
            <rFont val="Tahoma"/>
            <family val="2"/>
          </rPr>
          <t xml:space="preserve"> </t>
        </r>
        <r>
          <rPr>
            <sz val="9"/>
            <color indexed="81"/>
            <rFont val="돋움"/>
            <family val="3"/>
            <charset val="129"/>
          </rPr>
          <t>할인</t>
        </r>
        <r>
          <rPr>
            <sz val="9"/>
            <color indexed="81"/>
            <rFont val="Tahoma"/>
            <family val="2"/>
          </rPr>
          <t>) * 3%</t>
        </r>
      </text>
    </comment>
    <comment ref="V299" authorId="0" shapeId="0" xr:uid="{C4F69C35-C46F-4BAB-B3FD-D438DE8224A5}">
      <text>
        <r>
          <rPr>
            <b/>
            <sz val="9"/>
            <color indexed="81"/>
            <rFont val="Tahoma"/>
            <family val="2"/>
          </rPr>
          <t>user:</t>
        </r>
        <r>
          <rPr>
            <sz val="9"/>
            <color indexed="81"/>
            <rFont val="Tahoma"/>
            <family val="2"/>
          </rPr>
          <t xml:space="preserve">
(</t>
        </r>
        <r>
          <rPr>
            <sz val="9"/>
            <color indexed="81"/>
            <rFont val="돋움"/>
            <family val="3"/>
            <charset val="129"/>
          </rPr>
          <t>상품</t>
        </r>
        <r>
          <rPr>
            <sz val="9"/>
            <color indexed="81"/>
            <rFont val="Tahoma"/>
            <family val="2"/>
          </rPr>
          <t xml:space="preserve"> </t>
        </r>
        <r>
          <rPr>
            <sz val="9"/>
            <color indexed="81"/>
            <rFont val="돋움"/>
            <family val="3"/>
            <charset val="129"/>
          </rPr>
          <t>등재가</t>
        </r>
        <r>
          <rPr>
            <sz val="9"/>
            <color indexed="81"/>
            <rFont val="Tahoma"/>
            <family val="2"/>
          </rPr>
          <t xml:space="preserve"> – </t>
        </r>
        <r>
          <rPr>
            <sz val="9"/>
            <color indexed="81"/>
            <rFont val="돋움"/>
            <family val="3"/>
            <charset val="129"/>
          </rPr>
          <t>판매자</t>
        </r>
        <r>
          <rPr>
            <sz val="9"/>
            <color indexed="81"/>
            <rFont val="Tahoma"/>
            <family val="2"/>
          </rPr>
          <t xml:space="preserve"> </t>
        </r>
        <r>
          <rPr>
            <sz val="9"/>
            <color indexed="81"/>
            <rFont val="돋움"/>
            <family val="3"/>
            <charset val="129"/>
          </rPr>
          <t>설정</t>
        </r>
        <r>
          <rPr>
            <sz val="9"/>
            <color indexed="81"/>
            <rFont val="Tahoma"/>
            <family val="2"/>
          </rPr>
          <t xml:space="preserve"> </t>
        </r>
        <r>
          <rPr>
            <sz val="9"/>
            <color indexed="81"/>
            <rFont val="돋움"/>
            <family val="3"/>
            <charset val="129"/>
          </rPr>
          <t>할인</t>
        </r>
        <r>
          <rPr>
            <sz val="9"/>
            <color indexed="81"/>
            <rFont val="Tahoma"/>
            <family val="2"/>
          </rPr>
          <t>) * 3%</t>
        </r>
      </text>
    </comment>
    <comment ref="V306" authorId="0" shapeId="0" xr:uid="{1C7A0200-9D13-4ABD-ADD4-66E09BF95CC1}">
      <text>
        <r>
          <rPr>
            <b/>
            <sz val="9"/>
            <color indexed="81"/>
            <rFont val="Tahoma"/>
            <family val="2"/>
          </rPr>
          <t>user:</t>
        </r>
        <r>
          <rPr>
            <sz val="9"/>
            <color indexed="81"/>
            <rFont val="Tahoma"/>
            <family val="2"/>
          </rPr>
          <t xml:space="preserve">
(</t>
        </r>
        <r>
          <rPr>
            <sz val="9"/>
            <color indexed="81"/>
            <rFont val="돋움"/>
            <family val="3"/>
            <charset val="129"/>
          </rPr>
          <t>상품</t>
        </r>
        <r>
          <rPr>
            <sz val="9"/>
            <color indexed="81"/>
            <rFont val="Tahoma"/>
            <family val="2"/>
          </rPr>
          <t xml:space="preserve"> </t>
        </r>
        <r>
          <rPr>
            <sz val="9"/>
            <color indexed="81"/>
            <rFont val="돋움"/>
            <family val="3"/>
            <charset val="129"/>
          </rPr>
          <t>등재가</t>
        </r>
        <r>
          <rPr>
            <sz val="9"/>
            <color indexed="81"/>
            <rFont val="Tahoma"/>
            <family val="2"/>
          </rPr>
          <t xml:space="preserve"> – </t>
        </r>
        <r>
          <rPr>
            <sz val="9"/>
            <color indexed="81"/>
            <rFont val="돋움"/>
            <family val="3"/>
            <charset val="129"/>
          </rPr>
          <t>판매자</t>
        </r>
        <r>
          <rPr>
            <sz val="9"/>
            <color indexed="81"/>
            <rFont val="Tahoma"/>
            <family val="2"/>
          </rPr>
          <t xml:space="preserve"> </t>
        </r>
        <r>
          <rPr>
            <sz val="9"/>
            <color indexed="81"/>
            <rFont val="돋움"/>
            <family val="3"/>
            <charset val="129"/>
          </rPr>
          <t>설정</t>
        </r>
        <r>
          <rPr>
            <sz val="9"/>
            <color indexed="81"/>
            <rFont val="Tahoma"/>
            <family val="2"/>
          </rPr>
          <t xml:space="preserve"> </t>
        </r>
        <r>
          <rPr>
            <sz val="9"/>
            <color indexed="81"/>
            <rFont val="돋움"/>
            <family val="3"/>
            <charset val="129"/>
          </rPr>
          <t>할인</t>
        </r>
        <r>
          <rPr>
            <sz val="9"/>
            <color indexed="81"/>
            <rFont val="Tahoma"/>
            <family val="2"/>
          </rPr>
          <t>) * 3%</t>
        </r>
      </text>
    </comment>
    <comment ref="V311" authorId="0" shapeId="0" xr:uid="{DD4AECB7-28CF-473C-9C1A-C8F6AF82AC3E}">
      <text>
        <r>
          <rPr>
            <b/>
            <sz val="9"/>
            <color indexed="81"/>
            <rFont val="Tahoma"/>
            <family val="2"/>
          </rPr>
          <t>user:</t>
        </r>
        <r>
          <rPr>
            <sz val="9"/>
            <color indexed="81"/>
            <rFont val="Tahoma"/>
            <family val="2"/>
          </rPr>
          <t xml:space="preserve">
(</t>
        </r>
        <r>
          <rPr>
            <sz val="9"/>
            <color indexed="81"/>
            <rFont val="돋움"/>
            <family val="3"/>
            <charset val="129"/>
          </rPr>
          <t>상품</t>
        </r>
        <r>
          <rPr>
            <sz val="9"/>
            <color indexed="81"/>
            <rFont val="Tahoma"/>
            <family val="2"/>
          </rPr>
          <t xml:space="preserve"> </t>
        </r>
        <r>
          <rPr>
            <sz val="9"/>
            <color indexed="81"/>
            <rFont val="돋움"/>
            <family val="3"/>
            <charset val="129"/>
          </rPr>
          <t>등재가</t>
        </r>
        <r>
          <rPr>
            <sz val="9"/>
            <color indexed="81"/>
            <rFont val="Tahoma"/>
            <family val="2"/>
          </rPr>
          <t xml:space="preserve"> – </t>
        </r>
        <r>
          <rPr>
            <sz val="9"/>
            <color indexed="81"/>
            <rFont val="돋움"/>
            <family val="3"/>
            <charset val="129"/>
          </rPr>
          <t>판매자</t>
        </r>
        <r>
          <rPr>
            <sz val="9"/>
            <color indexed="81"/>
            <rFont val="Tahoma"/>
            <family val="2"/>
          </rPr>
          <t xml:space="preserve"> </t>
        </r>
        <r>
          <rPr>
            <sz val="9"/>
            <color indexed="81"/>
            <rFont val="돋움"/>
            <family val="3"/>
            <charset val="129"/>
          </rPr>
          <t>설정</t>
        </r>
        <r>
          <rPr>
            <sz val="9"/>
            <color indexed="81"/>
            <rFont val="Tahoma"/>
            <family val="2"/>
          </rPr>
          <t xml:space="preserve"> </t>
        </r>
        <r>
          <rPr>
            <sz val="9"/>
            <color indexed="81"/>
            <rFont val="돋움"/>
            <family val="3"/>
            <charset val="129"/>
          </rPr>
          <t>할인</t>
        </r>
        <r>
          <rPr>
            <sz val="9"/>
            <color indexed="81"/>
            <rFont val="Tahoma"/>
            <family val="2"/>
          </rPr>
          <t>) * 3%</t>
        </r>
      </text>
    </comment>
    <comment ref="V318" authorId="0" shapeId="0" xr:uid="{E325F4D0-B4B4-45C1-ABE8-DDE886399453}">
      <text>
        <r>
          <rPr>
            <b/>
            <sz val="9"/>
            <color indexed="81"/>
            <rFont val="Tahoma"/>
            <family val="2"/>
          </rPr>
          <t>user:</t>
        </r>
        <r>
          <rPr>
            <sz val="9"/>
            <color indexed="81"/>
            <rFont val="Tahoma"/>
            <family val="2"/>
          </rPr>
          <t xml:space="preserve">
(</t>
        </r>
        <r>
          <rPr>
            <sz val="9"/>
            <color indexed="81"/>
            <rFont val="돋움"/>
            <family val="3"/>
            <charset val="129"/>
          </rPr>
          <t>상품</t>
        </r>
        <r>
          <rPr>
            <sz val="9"/>
            <color indexed="81"/>
            <rFont val="Tahoma"/>
            <family val="2"/>
          </rPr>
          <t xml:space="preserve"> </t>
        </r>
        <r>
          <rPr>
            <sz val="9"/>
            <color indexed="81"/>
            <rFont val="돋움"/>
            <family val="3"/>
            <charset val="129"/>
          </rPr>
          <t>등재가</t>
        </r>
        <r>
          <rPr>
            <sz val="9"/>
            <color indexed="81"/>
            <rFont val="Tahoma"/>
            <family val="2"/>
          </rPr>
          <t xml:space="preserve"> – </t>
        </r>
        <r>
          <rPr>
            <sz val="9"/>
            <color indexed="81"/>
            <rFont val="돋움"/>
            <family val="3"/>
            <charset val="129"/>
          </rPr>
          <t>판매자</t>
        </r>
        <r>
          <rPr>
            <sz val="9"/>
            <color indexed="81"/>
            <rFont val="Tahoma"/>
            <family val="2"/>
          </rPr>
          <t xml:space="preserve"> </t>
        </r>
        <r>
          <rPr>
            <sz val="9"/>
            <color indexed="81"/>
            <rFont val="돋움"/>
            <family val="3"/>
            <charset val="129"/>
          </rPr>
          <t>설정</t>
        </r>
        <r>
          <rPr>
            <sz val="9"/>
            <color indexed="81"/>
            <rFont val="Tahoma"/>
            <family val="2"/>
          </rPr>
          <t xml:space="preserve"> </t>
        </r>
        <r>
          <rPr>
            <sz val="9"/>
            <color indexed="81"/>
            <rFont val="돋움"/>
            <family val="3"/>
            <charset val="129"/>
          </rPr>
          <t>할인</t>
        </r>
        <r>
          <rPr>
            <sz val="9"/>
            <color indexed="81"/>
            <rFont val="Tahoma"/>
            <family val="2"/>
          </rPr>
          <t>) * 3%</t>
        </r>
      </text>
    </comment>
    <comment ref="V323" authorId="0" shapeId="0" xr:uid="{7DCBA7E8-3EAB-4D77-8270-F3BF8BBFEEDB}">
      <text>
        <r>
          <rPr>
            <b/>
            <sz val="9"/>
            <color indexed="81"/>
            <rFont val="Tahoma"/>
            <family val="2"/>
          </rPr>
          <t>user:</t>
        </r>
        <r>
          <rPr>
            <sz val="9"/>
            <color indexed="81"/>
            <rFont val="Tahoma"/>
            <family val="2"/>
          </rPr>
          <t xml:space="preserve">
(</t>
        </r>
        <r>
          <rPr>
            <sz val="9"/>
            <color indexed="81"/>
            <rFont val="돋움"/>
            <family val="3"/>
            <charset val="129"/>
          </rPr>
          <t>상품</t>
        </r>
        <r>
          <rPr>
            <sz val="9"/>
            <color indexed="81"/>
            <rFont val="Tahoma"/>
            <family val="2"/>
          </rPr>
          <t xml:space="preserve"> </t>
        </r>
        <r>
          <rPr>
            <sz val="9"/>
            <color indexed="81"/>
            <rFont val="돋움"/>
            <family val="3"/>
            <charset val="129"/>
          </rPr>
          <t>등재가</t>
        </r>
        <r>
          <rPr>
            <sz val="9"/>
            <color indexed="81"/>
            <rFont val="Tahoma"/>
            <family val="2"/>
          </rPr>
          <t xml:space="preserve"> – </t>
        </r>
        <r>
          <rPr>
            <sz val="9"/>
            <color indexed="81"/>
            <rFont val="돋움"/>
            <family val="3"/>
            <charset val="129"/>
          </rPr>
          <t>판매자</t>
        </r>
        <r>
          <rPr>
            <sz val="9"/>
            <color indexed="81"/>
            <rFont val="Tahoma"/>
            <family val="2"/>
          </rPr>
          <t xml:space="preserve"> </t>
        </r>
        <r>
          <rPr>
            <sz val="9"/>
            <color indexed="81"/>
            <rFont val="돋움"/>
            <family val="3"/>
            <charset val="129"/>
          </rPr>
          <t>설정</t>
        </r>
        <r>
          <rPr>
            <sz val="9"/>
            <color indexed="81"/>
            <rFont val="Tahoma"/>
            <family val="2"/>
          </rPr>
          <t xml:space="preserve"> </t>
        </r>
        <r>
          <rPr>
            <sz val="9"/>
            <color indexed="81"/>
            <rFont val="돋움"/>
            <family val="3"/>
            <charset val="129"/>
          </rPr>
          <t>할인</t>
        </r>
        <r>
          <rPr>
            <sz val="9"/>
            <color indexed="81"/>
            <rFont val="Tahoma"/>
            <family val="2"/>
          </rPr>
          <t>) * 3%</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user</author>
  </authors>
  <commentList>
    <comment ref="Z12" authorId="0" shapeId="0" xr:uid="{031E3C3F-1063-4A89-AA17-57A0F4D32F3B}">
      <text>
        <r>
          <rPr>
            <b/>
            <sz val="9"/>
            <color indexed="81"/>
            <rFont val="Tahoma"/>
            <family val="2"/>
          </rPr>
          <t>user:</t>
        </r>
        <r>
          <rPr>
            <sz val="9"/>
            <color indexed="81"/>
            <rFont val="Tahoma"/>
            <family val="2"/>
          </rPr>
          <t xml:space="preserve">
(</t>
        </r>
        <r>
          <rPr>
            <sz val="9"/>
            <color indexed="81"/>
            <rFont val="돋움"/>
            <family val="3"/>
            <charset val="129"/>
          </rPr>
          <t>상품</t>
        </r>
        <r>
          <rPr>
            <sz val="9"/>
            <color indexed="81"/>
            <rFont val="Tahoma"/>
            <family val="2"/>
          </rPr>
          <t xml:space="preserve"> </t>
        </r>
        <r>
          <rPr>
            <sz val="9"/>
            <color indexed="81"/>
            <rFont val="돋움"/>
            <family val="3"/>
            <charset val="129"/>
          </rPr>
          <t>등재가</t>
        </r>
        <r>
          <rPr>
            <sz val="9"/>
            <color indexed="81"/>
            <rFont val="Tahoma"/>
            <family val="2"/>
          </rPr>
          <t xml:space="preserve"> – </t>
        </r>
        <r>
          <rPr>
            <sz val="9"/>
            <color indexed="81"/>
            <rFont val="돋움"/>
            <family val="3"/>
            <charset val="129"/>
          </rPr>
          <t>판매자</t>
        </r>
        <r>
          <rPr>
            <sz val="9"/>
            <color indexed="81"/>
            <rFont val="Tahoma"/>
            <family val="2"/>
          </rPr>
          <t xml:space="preserve"> </t>
        </r>
        <r>
          <rPr>
            <sz val="9"/>
            <color indexed="81"/>
            <rFont val="돋움"/>
            <family val="3"/>
            <charset val="129"/>
          </rPr>
          <t>설정</t>
        </r>
        <r>
          <rPr>
            <sz val="9"/>
            <color indexed="81"/>
            <rFont val="Tahoma"/>
            <family val="2"/>
          </rPr>
          <t xml:space="preserve"> </t>
        </r>
        <r>
          <rPr>
            <sz val="9"/>
            <color indexed="81"/>
            <rFont val="돋움"/>
            <family val="3"/>
            <charset val="129"/>
          </rPr>
          <t>할인</t>
        </r>
        <r>
          <rPr>
            <sz val="9"/>
            <color indexed="81"/>
            <rFont val="Tahoma"/>
            <family val="2"/>
          </rPr>
          <t>) * 3%</t>
        </r>
      </text>
    </comment>
    <comment ref="Z19" authorId="0" shapeId="0" xr:uid="{8C564643-EFA6-498B-B803-6FCFA3DFC1F9}">
      <text>
        <r>
          <rPr>
            <b/>
            <sz val="9"/>
            <color indexed="81"/>
            <rFont val="Tahoma"/>
            <family val="2"/>
          </rPr>
          <t>user:</t>
        </r>
        <r>
          <rPr>
            <sz val="9"/>
            <color indexed="81"/>
            <rFont val="Tahoma"/>
            <family val="2"/>
          </rPr>
          <t xml:space="preserve">
(</t>
        </r>
        <r>
          <rPr>
            <sz val="9"/>
            <color indexed="81"/>
            <rFont val="돋움"/>
            <family val="3"/>
            <charset val="129"/>
          </rPr>
          <t>상품</t>
        </r>
        <r>
          <rPr>
            <sz val="9"/>
            <color indexed="81"/>
            <rFont val="Tahoma"/>
            <family val="2"/>
          </rPr>
          <t xml:space="preserve"> </t>
        </r>
        <r>
          <rPr>
            <sz val="9"/>
            <color indexed="81"/>
            <rFont val="돋움"/>
            <family val="3"/>
            <charset val="129"/>
          </rPr>
          <t>등재가</t>
        </r>
        <r>
          <rPr>
            <sz val="9"/>
            <color indexed="81"/>
            <rFont val="Tahoma"/>
            <family val="2"/>
          </rPr>
          <t xml:space="preserve"> – </t>
        </r>
        <r>
          <rPr>
            <sz val="9"/>
            <color indexed="81"/>
            <rFont val="돋움"/>
            <family val="3"/>
            <charset val="129"/>
          </rPr>
          <t>판매자</t>
        </r>
        <r>
          <rPr>
            <sz val="9"/>
            <color indexed="81"/>
            <rFont val="Tahoma"/>
            <family val="2"/>
          </rPr>
          <t xml:space="preserve"> </t>
        </r>
        <r>
          <rPr>
            <sz val="9"/>
            <color indexed="81"/>
            <rFont val="돋움"/>
            <family val="3"/>
            <charset val="129"/>
          </rPr>
          <t>설정</t>
        </r>
        <r>
          <rPr>
            <sz val="9"/>
            <color indexed="81"/>
            <rFont val="Tahoma"/>
            <family val="2"/>
          </rPr>
          <t xml:space="preserve"> </t>
        </r>
        <r>
          <rPr>
            <sz val="9"/>
            <color indexed="81"/>
            <rFont val="돋움"/>
            <family val="3"/>
            <charset val="129"/>
          </rPr>
          <t>할인</t>
        </r>
        <r>
          <rPr>
            <sz val="9"/>
            <color indexed="81"/>
            <rFont val="Tahoma"/>
            <family val="2"/>
          </rPr>
          <t>) * 3%</t>
        </r>
      </text>
    </comment>
    <comment ref="Z26" authorId="0" shapeId="0" xr:uid="{F2B947C3-7ADF-4BC7-B653-0DB52956596A}">
      <text>
        <r>
          <rPr>
            <b/>
            <sz val="9"/>
            <color indexed="81"/>
            <rFont val="Tahoma"/>
            <family val="2"/>
          </rPr>
          <t>user:</t>
        </r>
        <r>
          <rPr>
            <sz val="9"/>
            <color indexed="81"/>
            <rFont val="Tahoma"/>
            <family val="2"/>
          </rPr>
          <t xml:space="preserve">
(</t>
        </r>
        <r>
          <rPr>
            <sz val="9"/>
            <color indexed="81"/>
            <rFont val="돋움"/>
            <family val="3"/>
            <charset val="129"/>
          </rPr>
          <t>상품</t>
        </r>
        <r>
          <rPr>
            <sz val="9"/>
            <color indexed="81"/>
            <rFont val="Tahoma"/>
            <family val="2"/>
          </rPr>
          <t xml:space="preserve"> </t>
        </r>
        <r>
          <rPr>
            <sz val="9"/>
            <color indexed="81"/>
            <rFont val="돋움"/>
            <family val="3"/>
            <charset val="129"/>
          </rPr>
          <t>등재가</t>
        </r>
        <r>
          <rPr>
            <sz val="9"/>
            <color indexed="81"/>
            <rFont val="Tahoma"/>
            <family val="2"/>
          </rPr>
          <t xml:space="preserve"> – </t>
        </r>
        <r>
          <rPr>
            <sz val="9"/>
            <color indexed="81"/>
            <rFont val="돋움"/>
            <family val="3"/>
            <charset val="129"/>
          </rPr>
          <t>판매자</t>
        </r>
        <r>
          <rPr>
            <sz val="9"/>
            <color indexed="81"/>
            <rFont val="Tahoma"/>
            <family val="2"/>
          </rPr>
          <t xml:space="preserve"> </t>
        </r>
        <r>
          <rPr>
            <sz val="9"/>
            <color indexed="81"/>
            <rFont val="돋움"/>
            <family val="3"/>
            <charset val="129"/>
          </rPr>
          <t>설정</t>
        </r>
        <r>
          <rPr>
            <sz val="9"/>
            <color indexed="81"/>
            <rFont val="Tahoma"/>
            <family val="2"/>
          </rPr>
          <t xml:space="preserve"> </t>
        </r>
        <r>
          <rPr>
            <sz val="9"/>
            <color indexed="81"/>
            <rFont val="돋움"/>
            <family val="3"/>
            <charset val="129"/>
          </rPr>
          <t>할인</t>
        </r>
        <r>
          <rPr>
            <sz val="9"/>
            <color indexed="81"/>
            <rFont val="Tahoma"/>
            <family val="2"/>
          </rPr>
          <t>) * 3%</t>
        </r>
      </text>
    </comment>
    <comment ref="Z36" authorId="0" shapeId="0" xr:uid="{191C17FD-2D0A-44D1-85ED-FFECD577CBA4}">
      <text>
        <r>
          <rPr>
            <b/>
            <sz val="9"/>
            <color indexed="81"/>
            <rFont val="Tahoma"/>
            <family val="2"/>
          </rPr>
          <t>user:</t>
        </r>
        <r>
          <rPr>
            <sz val="9"/>
            <color indexed="81"/>
            <rFont val="Tahoma"/>
            <family val="2"/>
          </rPr>
          <t xml:space="preserve">
(</t>
        </r>
        <r>
          <rPr>
            <sz val="9"/>
            <color indexed="81"/>
            <rFont val="돋움"/>
            <family val="3"/>
            <charset val="129"/>
          </rPr>
          <t>상품</t>
        </r>
        <r>
          <rPr>
            <sz val="9"/>
            <color indexed="81"/>
            <rFont val="Tahoma"/>
            <family val="2"/>
          </rPr>
          <t xml:space="preserve"> </t>
        </r>
        <r>
          <rPr>
            <sz val="9"/>
            <color indexed="81"/>
            <rFont val="돋움"/>
            <family val="3"/>
            <charset val="129"/>
          </rPr>
          <t>등재가</t>
        </r>
        <r>
          <rPr>
            <sz val="9"/>
            <color indexed="81"/>
            <rFont val="Tahoma"/>
            <family val="2"/>
          </rPr>
          <t xml:space="preserve"> – </t>
        </r>
        <r>
          <rPr>
            <sz val="9"/>
            <color indexed="81"/>
            <rFont val="돋움"/>
            <family val="3"/>
            <charset val="129"/>
          </rPr>
          <t>판매자</t>
        </r>
        <r>
          <rPr>
            <sz val="9"/>
            <color indexed="81"/>
            <rFont val="Tahoma"/>
            <family val="2"/>
          </rPr>
          <t xml:space="preserve"> </t>
        </r>
        <r>
          <rPr>
            <sz val="9"/>
            <color indexed="81"/>
            <rFont val="돋움"/>
            <family val="3"/>
            <charset val="129"/>
          </rPr>
          <t>설정</t>
        </r>
        <r>
          <rPr>
            <sz val="9"/>
            <color indexed="81"/>
            <rFont val="Tahoma"/>
            <family val="2"/>
          </rPr>
          <t xml:space="preserve"> </t>
        </r>
        <r>
          <rPr>
            <sz val="9"/>
            <color indexed="81"/>
            <rFont val="돋움"/>
            <family val="3"/>
            <charset val="129"/>
          </rPr>
          <t>할인</t>
        </r>
        <r>
          <rPr>
            <sz val="9"/>
            <color indexed="81"/>
            <rFont val="Tahoma"/>
            <family val="2"/>
          </rPr>
          <t>) * 3%</t>
        </r>
      </text>
    </comment>
    <comment ref="Z46" authorId="0" shapeId="0" xr:uid="{DE761316-27A1-4D27-86A9-D43CB1DFC041}">
      <text>
        <r>
          <rPr>
            <b/>
            <sz val="9"/>
            <color indexed="81"/>
            <rFont val="Tahoma"/>
            <family val="2"/>
          </rPr>
          <t>user:</t>
        </r>
        <r>
          <rPr>
            <sz val="9"/>
            <color indexed="81"/>
            <rFont val="Tahoma"/>
            <family val="2"/>
          </rPr>
          <t xml:space="preserve">
(</t>
        </r>
        <r>
          <rPr>
            <sz val="9"/>
            <color indexed="81"/>
            <rFont val="돋움"/>
            <family val="3"/>
            <charset val="129"/>
          </rPr>
          <t>상품</t>
        </r>
        <r>
          <rPr>
            <sz val="9"/>
            <color indexed="81"/>
            <rFont val="Tahoma"/>
            <family val="2"/>
          </rPr>
          <t xml:space="preserve"> </t>
        </r>
        <r>
          <rPr>
            <sz val="9"/>
            <color indexed="81"/>
            <rFont val="돋움"/>
            <family val="3"/>
            <charset val="129"/>
          </rPr>
          <t>등재가</t>
        </r>
        <r>
          <rPr>
            <sz val="9"/>
            <color indexed="81"/>
            <rFont val="Tahoma"/>
            <family val="2"/>
          </rPr>
          <t xml:space="preserve"> – </t>
        </r>
        <r>
          <rPr>
            <sz val="9"/>
            <color indexed="81"/>
            <rFont val="돋움"/>
            <family val="3"/>
            <charset val="129"/>
          </rPr>
          <t>판매자</t>
        </r>
        <r>
          <rPr>
            <sz val="9"/>
            <color indexed="81"/>
            <rFont val="Tahoma"/>
            <family val="2"/>
          </rPr>
          <t xml:space="preserve"> </t>
        </r>
        <r>
          <rPr>
            <sz val="9"/>
            <color indexed="81"/>
            <rFont val="돋움"/>
            <family val="3"/>
            <charset val="129"/>
          </rPr>
          <t>설정</t>
        </r>
        <r>
          <rPr>
            <sz val="9"/>
            <color indexed="81"/>
            <rFont val="Tahoma"/>
            <family val="2"/>
          </rPr>
          <t xml:space="preserve"> </t>
        </r>
        <r>
          <rPr>
            <sz val="9"/>
            <color indexed="81"/>
            <rFont val="돋움"/>
            <family val="3"/>
            <charset val="129"/>
          </rPr>
          <t>할인</t>
        </r>
        <r>
          <rPr>
            <sz val="9"/>
            <color indexed="81"/>
            <rFont val="Tahoma"/>
            <family val="2"/>
          </rPr>
          <t>) * 3%</t>
        </r>
      </text>
    </comment>
    <comment ref="Z53" authorId="0" shapeId="0" xr:uid="{343588FE-86AF-46CE-886C-9A70DEBDB1C7}">
      <text>
        <r>
          <rPr>
            <b/>
            <sz val="9"/>
            <color indexed="81"/>
            <rFont val="Tahoma"/>
            <family val="2"/>
          </rPr>
          <t>user:</t>
        </r>
        <r>
          <rPr>
            <sz val="9"/>
            <color indexed="81"/>
            <rFont val="Tahoma"/>
            <family val="2"/>
          </rPr>
          <t xml:space="preserve">
(</t>
        </r>
        <r>
          <rPr>
            <sz val="9"/>
            <color indexed="81"/>
            <rFont val="돋움"/>
            <family val="3"/>
            <charset val="129"/>
          </rPr>
          <t>상품</t>
        </r>
        <r>
          <rPr>
            <sz val="9"/>
            <color indexed="81"/>
            <rFont val="Tahoma"/>
            <family val="2"/>
          </rPr>
          <t xml:space="preserve"> </t>
        </r>
        <r>
          <rPr>
            <sz val="9"/>
            <color indexed="81"/>
            <rFont val="돋움"/>
            <family val="3"/>
            <charset val="129"/>
          </rPr>
          <t>등재가</t>
        </r>
        <r>
          <rPr>
            <sz val="9"/>
            <color indexed="81"/>
            <rFont val="Tahoma"/>
            <family val="2"/>
          </rPr>
          <t xml:space="preserve"> – </t>
        </r>
        <r>
          <rPr>
            <sz val="9"/>
            <color indexed="81"/>
            <rFont val="돋움"/>
            <family val="3"/>
            <charset val="129"/>
          </rPr>
          <t>판매자</t>
        </r>
        <r>
          <rPr>
            <sz val="9"/>
            <color indexed="81"/>
            <rFont val="Tahoma"/>
            <family val="2"/>
          </rPr>
          <t xml:space="preserve"> </t>
        </r>
        <r>
          <rPr>
            <sz val="9"/>
            <color indexed="81"/>
            <rFont val="돋움"/>
            <family val="3"/>
            <charset val="129"/>
          </rPr>
          <t>설정</t>
        </r>
        <r>
          <rPr>
            <sz val="9"/>
            <color indexed="81"/>
            <rFont val="Tahoma"/>
            <family val="2"/>
          </rPr>
          <t xml:space="preserve"> </t>
        </r>
        <r>
          <rPr>
            <sz val="9"/>
            <color indexed="81"/>
            <rFont val="돋움"/>
            <family val="3"/>
            <charset val="129"/>
          </rPr>
          <t>할인</t>
        </r>
        <r>
          <rPr>
            <sz val="9"/>
            <color indexed="81"/>
            <rFont val="Tahoma"/>
            <family val="2"/>
          </rPr>
          <t>) * 3%</t>
        </r>
      </text>
    </comment>
    <comment ref="Z63" authorId="0" shapeId="0" xr:uid="{EB10049E-9C01-4F42-AD2E-6248A0962096}">
      <text>
        <r>
          <rPr>
            <b/>
            <sz val="9"/>
            <color indexed="81"/>
            <rFont val="Tahoma"/>
            <family val="2"/>
          </rPr>
          <t>user:</t>
        </r>
        <r>
          <rPr>
            <sz val="9"/>
            <color indexed="81"/>
            <rFont val="Tahoma"/>
            <family val="2"/>
          </rPr>
          <t xml:space="preserve">
(</t>
        </r>
        <r>
          <rPr>
            <sz val="9"/>
            <color indexed="81"/>
            <rFont val="돋움"/>
            <family val="3"/>
            <charset val="129"/>
          </rPr>
          <t>상품</t>
        </r>
        <r>
          <rPr>
            <sz val="9"/>
            <color indexed="81"/>
            <rFont val="Tahoma"/>
            <family val="2"/>
          </rPr>
          <t xml:space="preserve"> </t>
        </r>
        <r>
          <rPr>
            <sz val="9"/>
            <color indexed="81"/>
            <rFont val="돋움"/>
            <family val="3"/>
            <charset val="129"/>
          </rPr>
          <t>등재가</t>
        </r>
        <r>
          <rPr>
            <sz val="9"/>
            <color indexed="81"/>
            <rFont val="Tahoma"/>
            <family val="2"/>
          </rPr>
          <t xml:space="preserve"> – </t>
        </r>
        <r>
          <rPr>
            <sz val="9"/>
            <color indexed="81"/>
            <rFont val="돋움"/>
            <family val="3"/>
            <charset val="129"/>
          </rPr>
          <t>판매자</t>
        </r>
        <r>
          <rPr>
            <sz val="9"/>
            <color indexed="81"/>
            <rFont val="Tahoma"/>
            <family val="2"/>
          </rPr>
          <t xml:space="preserve"> </t>
        </r>
        <r>
          <rPr>
            <sz val="9"/>
            <color indexed="81"/>
            <rFont val="돋움"/>
            <family val="3"/>
            <charset val="129"/>
          </rPr>
          <t>설정</t>
        </r>
        <r>
          <rPr>
            <sz val="9"/>
            <color indexed="81"/>
            <rFont val="Tahoma"/>
            <family val="2"/>
          </rPr>
          <t xml:space="preserve"> </t>
        </r>
        <r>
          <rPr>
            <sz val="9"/>
            <color indexed="81"/>
            <rFont val="돋움"/>
            <family val="3"/>
            <charset val="129"/>
          </rPr>
          <t>할인</t>
        </r>
        <r>
          <rPr>
            <sz val="9"/>
            <color indexed="81"/>
            <rFont val="Tahoma"/>
            <family val="2"/>
          </rPr>
          <t>) * 3%</t>
        </r>
      </text>
    </comment>
    <comment ref="Z74" authorId="0" shapeId="0" xr:uid="{9A42EC32-C179-4964-BA44-18CD4FA5609D}">
      <text>
        <r>
          <rPr>
            <b/>
            <sz val="9"/>
            <color indexed="81"/>
            <rFont val="Tahoma"/>
            <family val="2"/>
          </rPr>
          <t>user:</t>
        </r>
        <r>
          <rPr>
            <sz val="9"/>
            <color indexed="81"/>
            <rFont val="Tahoma"/>
            <family val="2"/>
          </rPr>
          <t xml:space="preserve">
(</t>
        </r>
        <r>
          <rPr>
            <sz val="9"/>
            <color indexed="81"/>
            <rFont val="돋움"/>
            <family val="3"/>
            <charset val="129"/>
          </rPr>
          <t>상품</t>
        </r>
        <r>
          <rPr>
            <sz val="9"/>
            <color indexed="81"/>
            <rFont val="Tahoma"/>
            <family val="2"/>
          </rPr>
          <t xml:space="preserve"> </t>
        </r>
        <r>
          <rPr>
            <sz val="9"/>
            <color indexed="81"/>
            <rFont val="돋움"/>
            <family val="3"/>
            <charset val="129"/>
          </rPr>
          <t>등재가</t>
        </r>
        <r>
          <rPr>
            <sz val="9"/>
            <color indexed="81"/>
            <rFont val="Tahoma"/>
            <family val="2"/>
          </rPr>
          <t xml:space="preserve"> – </t>
        </r>
        <r>
          <rPr>
            <sz val="9"/>
            <color indexed="81"/>
            <rFont val="돋움"/>
            <family val="3"/>
            <charset val="129"/>
          </rPr>
          <t>판매자</t>
        </r>
        <r>
          <rPr>
            <sz val="9"/>
            <color indexed="81"/>
            <rFont val="Tahoma"/>
            <family val="2"/>
          </rPr>
          <t xml:space="preserve"> </t>
        </r>
        <r>
          <rPr>
            <sz val="9"/>
            <color indexed="81"/>
            <rFont val="돋움"/>
            <family val="3"/>
            <charset val="129"/>
          </rPr>
          <t>설정</t>
        </r>
        <r>
          <rPr>
            <sz val="9"/>
            <color indexed="81"/>
            <rFont val="Tahoma"/>
            <family val="2"/>
          </rPr>
          <t xml:space="preserve"> </t>
        </r>
        <r>
          <rPr>
            <sz val="9"/>
            <color indexed="81"/>
            <rFont val="돋움"/>
            <family val="3"/>
            <charset val="129"/>
          </rPr>
          <t>할인</t>
        </r>
        <r>
          <rPr>
            <sz val="9"/>
            <color indexed="81"/>
            <rFont val="Tahoma"/>
            <family val="2"/>
          </rPr>
          <t>) * 3%</t>
        </r>
      </text>
    </comment>
    <comment ref="Z81" authorId="0" shapeId="0" xr:uid="{1C0A4677-402B-4D28-9265-7560CD5FD9DA}">
      <text>
        <r>
          <rPr>
            <b/>
            <sz val="9"/>
            <color indexed="81"/>
            <rFont val="Tahoma"/>
            <family val="2"/>
          </rPr>
          <t>user:</t>
        </r>
        <r>
          <rPr>
            <sz val="9"/>
            <color indexed="81"/>
            <rFont val="Tahoma"/>
            <family val="2"/>
          </rPr>
          <t xml:space="preserve">
(</t>
        </r>
        <r>
          <rPr>
            <sz val="9"/>
            <color indexed="81"/>
            <rFont val="돋움"/>
            <family val="3"/>
            <charset val="129"/>
          </rPr>
          <t>상품</t>
        </r>
        <r>
          <rPr>
            <sz val="9"/>
            <color indexed="81"/>
            <rFont val="Tahoma"/>
            <family val="2"/>
          </rPr>
          <t xml:space="preserve"> </t>
        </r>
        <r>
          <rPr>
            <sz val="9"/>
            <color indexed="81"/>
            <rFont val="돋움"/>
            <family val="3"/>
            <charset val="129"/>
          </rPr>
          <t>등재가</t>
        </r>
        <r>
          <rPr>
            <sz val="9"/>
            <color indexed="81"/>
            <rFont val="Tahoma"/>
            <family val="2"/>
          </rPr>
          <t xml:space="preserve"> – </t>
        </r>
        <r>
          <rPr>
            <sz val="9"/>
            <color indexed="81"/>
            <rFont val="돋움"/>
            <family val="3"/>
            <charset val="129"/>
          </rPr>
          <t>판매자</t>
        </r>
        <r>
          <rPr>
            <sz val="9"/>
            <color indexed="81"/>
            <rFont val="Tahoma"/>
            <family val="2"/>
          </rPr>
          <t xml:space="preserve"> </t>
        </r>
        <r>
          <rPr>
            <sz val="9"/>
            <color indexed="81"/>
            <rFont val="돋움"/>
            <family val="3"/>
            <charset val="129"/>
          </rPr>
          <t>설정</t>
        </r>
        <r>
          <rPr>
            <sz val="9"/>
            <color indexed="81"/>
            <rFont val="Tahoma"/>
            <family val="2"/>
          </rPr>
          <t xml:space="preserve"> </t>
        </r>
        <r>
          <rPr>
            <sz val="9"/>
            <color indexed="81"/>
            <rFont val="돋움"/>
            <family val="3"/>
            <charset val="129"/>
          </rPr>
          <t>할인</t>
        </r>
        <r>
          <rPr>
            <sz val="9"/>
            <color indexed="81"/>
            <rFont val="Tahoma"/>
            <family val="2"/>
          </rPr>
          <t>) * 3%</t>
        </r>
      </text>
    </comment>
    <comment ref="Z88" authorId="0" shapeId="0" xr:uid="{B608FF2F-F22B-42A6-894F-87B97088C6E4}">
      <text>
        <r>
          <rPr>
            <b/>
            <sz val="9"/>
            <color indexed="81"/>
            <rFont val="Tahoma"/>
            <family val="2"/>
          </rPr>
          <t>user:</t>
        </r>
        <r>
          <rPr>
            <sz val="9"/>
            <color indexed="81"/>
            <rFont val="Tahoma"/>
            <family val="2"/>
          </rPr>
          <t xml:space="preserve">
(</t>
        </r>
        <r>
          <rPr>
            <sz val="9"/>
            <color indexed="81"/>
            <rFont val="돋움"/>
            <family val="3"/>
            <charset val="129"/>
          </rPr>
          <t>상품</t>
        </r>
        <r>
          <rPr>
            <sz val="9"/>
            <color indexed="81"/>
            <rFont val="Tahoma"/>
            <family val="2"/>
          </rPr>
          <t xml:space="preserve"> </t>
        </r>
        <r>
          <rPr>
            <sz val="9"/>
            <color indexed="81"/>
            <rFont val="돋움"/>
            <family val="3"/>
            <charset val="129"/>
          </rPr>
          <t>등재가</t>
        </r>
        <r>
          <rPr>
            <sz val="9"/>
            <color indexed="81"/>
            <rFont val="Tahoma"/>
            <family val="2"/>
          </rPr>
          <t xml:space="preserve"> – </t>
        </r>
        <r>
          <rPr>
            <sz val="9"/>
            <color indexed="81"/>
            <rFont val="돋움"/>
            <family val="3"/>
            <charset val="129"/>
          </rPr>
          <t>판매자</t>
        </r>
        <r>
          <rPr>
            <sz val="9"/>
            <color indexed="81"/>
            <rFont val="Tahoma"/>
            <family val="2"/>
          </rPr>
          <t xml:space="preserve"> </t>
        </r>
        <r>
          <rPr>
            <sz val="9"/>
            <color indexed="81"/>
            <rFont val="돋움"/>
            <family val="3"/>
            <charset val="129"/>
          </rPr>
          <t>설정</t>
        </r>
        <r>
          <rPr>
            <sz val="9"/>
            <color indexed="81"/>
            <rFont val="Tahoma"/>
            <family val="2"/>
          </rPr>
          <t xml:space="preserve"> </t>
        </r>
        <r>
          <rPr>
            <sz val="9"/>
            <color indexed="81"/>
            <rFont val="돋움"/>
            <family val="3"/>
            <charset val="129"/>
          </rPr>
          <t>할인</t>
        </r>
        <r>
          <rPr>
            <sz val="9"/>
            <color indexed="81"/>
            <rFont val="Tahoma"/>
            <family val="2"/>
          </rPr>
          <t>) * 3%</t>
        </r>
      </text>
    </comment>
    <comment ref="Z95" authorId="0" shapeId="0" xr:uid="{4074079A-7A6B-4863-844F-6C5F80CE83E2}">
      <text>
        <r>
          <rPr>
            <b/>
            <sz val="9"/>
            <color indexed="81"/>
            <rFont val="Tahoma"/>
            <family val="2"/>
          </rPr>
          <t>user:</t>
        </r>
        <r>
          <rPr>
            <sz val="9"/>
            <color indexed="81"/>
            <rFont val="Tahoma"/>
            <family val="2"/>
          </rPr>
          <t xml:space="preserve">
(</t>
        </r>
        <r>
          <rPr>
            <sz val="9"/>
            <color indexed="81"/>
            <rFont val="돋움"/>
            <family val="3"/>
            <charset val="129"/>
          </rPr>
          <t>상품</t>
        </r>
        <r>
          <rPr>
            <sz val="9"/>
            <color indexed="81"/>
            <rFont val="Tahoma"/>
            <family val="2"/>
          </rPr>
          <t xml:space="preserve"> </t>
        </r>
        <r>
          <rPr>
            <sz val="9"/>
            <color indexed="81"/>
            <rFont val="돋움"/>
            <family val="3"/>
            <charset val="129"/>
          </rPr>
          <t>등재가</t>
        </r>
        <r>
          <rPr>
            <sz val="9"/>
            <color indexed="81"/>
            <rFont val="Tahoma"/>
            <family val="2"/>
          </rPr>
          <t xml:space="preserve"> – </t>
        </r>
        <r>
          <rPr>
            <sz val="9"/>
            <color indexed="81"/>
            <rFont val="돋움"/>
            <family val="3"/>
            <charset val="129"/>
          </rPr>
          <t>판매자</t>
        </r>
        <r>
          <rPr>
            <sz val="9"/>
            <color indexed="81"/>
            <rFont val="Tahoma"/>
            <family val="2"/>
          </rPr>
          <t xml:space="preserve"> </t>
        </r>
        <r>
          <rPr>
            <sz val="9"/>
            <color indexed="81"/>
            <rFont val="돋움"/>
            <family val="3"/>
            <charset val="129"/>
          </rPr>
          <t>설정</t>
        </r>
        <r>
          <rPr>
            <sz val="9"/>
            <color indexed="81"/>
            <rFont val="Tahoma"/>
            <family val="2"/>
          </rPr>
          <t xml:space="preserve"> </t>
        </r>
        <r>
          <rPr>
            <sz val="9"/>
            <color indexed="81"/>
            <rFont val="돋움"/>
            <family val="3"/>
            <charset val="129"/>
          </rPr>
          <t>할인</t>
        </r>
        <r>
          <rPr>
            <sz val="9"/>
            <color indexed="81"/>
            <rFont val="Tahoma"/>
            <family val="2"/>
          </rPr>
          <t>) * 3%</t>
        </r>
      </text>
    </comment>
    <comment ref="Z102" authorId="0" shapeId="0" xr:uid="{B9C0CE69-B02D-4170-BC0F-1CDC7FD75845}">
      <text>
        <r>
          <rPr>
            <b/>
            <sz val="9"/>
            <color indexed="81"/>
            <rFont val="Tahoma"/>
            <family val="2"/>
          </rPr>
          <t>user:</t>
        </r>
        <r>
          <rPr>
            <sz val="9"/>
            <color indexed="81"/>
            <rFont val="Tahoma"/>
            <family val="2"/>
          </rPr>
          <t xml:space="preserve">
(</t>
        </r>
        <r>
          <rPr>
            <sz val="9"/>
            <color indexed="81"/>
            <rFont val="돋움"/>
            <family val="3"/>
            <charset val="129"/>
          </rPr>
          <t>상품</t>
        </r>
        <r>
          <rPr>
            <sz val="9"/>
            <color indexed="81"/>
            <rFont val="Tahoma"/>
            <family val="2"/>
          </rPr>
          <t xml:space="preserve"> </t>
        </r>
        <r>
          <rPr>
            <sz val="9"/>
            <color indexed="81"/>
            <rFont val="돋움"/>
            <family val="3"/>
            <charset val="129"/>
          </rPr>
          <t>등재가</t>
        </r>
        <r>
          <rPr>
            <sz val="9"/>
            <color indexed="81"/>
            <rFont val="Tahoma"/>
            <family val="2"/>
          </rPr>
          <t xml:space="preserve"> – </t>
        </r>
        <r>
          <rPr>
            <sz val="9"/>
            <color indexed="81"/>
            <rFont val="돋움"/>
            <family val="3"/>
            <charset val="129"/>
          </rPr>
          <t>판매자</t>
        </r>
        <r>
          <rPr>
            <sz val="9"/>
            <color indexed="81"/>
            <rFont val="Tahoma"/>
            <family val="2"/>
          </rPr>
          <t xml:space="preserve"> </t>
        </r>
        <r>
          <rPr>
            <sz val="9"/>
            <color indexed="81"/>
            <rFont val="돋움"/>
            <family val="3"/>
            <charset val="129"/>
          </rPr>
          <t>설정</t>
        </r>
        <r>
          <rPr>
            <sz val="9"/>
            <color indexed="81"/>
            <rFont val="Tahoma"/>
            <family val="2"/>
          </rPr>
          <t xml:space="preserve"> </t>
        </r>
        <r>
          <rPr>
            <sz val="9"/>
            <color indexed="81"/>
            <rFont val="돋움"/>
            <family val="3"/>
            <charset val="129"/>
          </rPr>
          <t>할인</t>
        </r>
        <r>
          <rPr>
            <sz val="9"/>
            <color indexed="81"/>
            <rFont val="Tahoma"/>
            <family val="2"/>
          </rPr>
          <t>) * 3%</t>
        </r>
      </text>
    </comment>
    <comment ref="Z112" authorId="0" shapeId="0" xr:uid="{37A97C13-B928-4F84-BFFC-8A307E14FB79}">
      <text>
        <r>
          <rPr>
            <b/>
            <sz val="9"/>
            <color indexed="81"/>
            <rFont val="Tahoma"/>
            <family val="2"/>
          </rPr>
          <t>user:</t>
        </r>
        <r>
          <rPr>
            <sz val="9"/>
            <color indexed="81"/>
            <rFont val="Tahoma"/>
            <family val="2"/>
          </rPr>
          <t xml:space="preserve">
(</t>
        </r>
        <r>
          <rPr>
            <sz val="9"/>
            <color indexed="81"/>
            <rFont val="돋움"/>
            <family val="3"/>
            <charset val="129"/>
          </rPr>
          <t>상품</t>
        </r>
        <r>
          <rPr>
            <sz val="9"/>
            <color indexed="81"/>
            <rFont val="Tahoma"/>
            <family val="2"/>
          </rPr>
          <t xml:space="preserve"> </t>
        </r>
        <r>
          <rPr>
            <sz val="9"/>
            <color indexed="81"/>
            <rFont val="돋움"/>
            <family val="3"/>
            <charset val="129"/>
          </rPr>
          <t>등재가</t>
        </r>
        <r>
          <rPr>
            <sz val="9"/>
            <color indexed="81"/>
            <rFont val="Tahoma"/>
            <family val="2"/>
          </rPr>
          <t xml:space="preserve"> – </t>
        </r>
        <r>
          <rPr>
            <sz val="9"/>
            <color indexed="81"/>
            <rFont val="돋움"/>
            <family val="3"/>
            <charset val="129"/>
          </rPr>
          <t>판매자</t>
        </r>
        <r>
          <rPr>
            <sz val="9"/>
            <color indexed="81"/>
            <rFont val="Tahoma"/>
            <family val="2"/>
          </rPr>
          <t xml:space="preserve"> </t>
        </r>
        <r>
          <rPr>
            <sz val="9"/>
            <color indexed="81"/>
            <rFont val="돋움"/>
            <family val="3"/>
            <charset val="129"/>
          </rPr>
          <t>설정</t>
        </r>
        <r>
          <rPr>
            <sz val="9"/>
            <color indexed="81"/>
            <rFont val="Tahoma"/>
            <family val="2"/>
          </rPr>
          <t xml:space="preserve"> </t>
        </r>
        <r>
          <rPr>
            <sz val="9"/>
            <color indexed="81"/>
            <rFont val="돋움"/>
            <family val="3"/>
            <charset val="129"/>
          </rPr>
          <t>할인</t>
        </r>
        <r>
          <rPr>
            <sz val="9"/>
            <color indexed="81"/>
            <rFont val="Tahoma"/>
            <family val="2"/>
          </rPr>
          <t>) * 3%</t>
        </r>
      </text>
    </comment>
    <comment ref="Z122" authorId="0" shapeId="0" xr:uid="{1CEF4BED-CFB5-4DFA-A305-867588B19BB3}">
      <text>
        <r>
          <rPr>
            <b/>
            <sz val="9"/>
            <color indexed="81"/>
            <rFont val="Tahoma"/>
            <family val="2"/>
          </rPr>
          <t>user:</t>
        </r>
        <r>
          <rPr>
            <sz val="9"/>
            <color indexed="81"/>
            <rFont val="Tahoma"/>
            <family val="2"/>
          </rPr>
          <t xml:space="preserve">
(</t>
        </r>
        <r>
          <rPr>
            <sz val="9"/>
            <color indexed="81"/>
            <rFont val="돋움"/>
            <family val="3"/>
            <charset val="129"/>
          </rPr>
          <t>상품</t>
        </r>
        <r>
          <rPr>
            <sz val="9"/>
            <color indexed="81"/>
            <rFont val="Tahoma"/>
            <family val="2"/>
          </rPr>
          <t xml:space="preserve"> </t>
        </r>
        <r>
          <rPr>
            <sz val="9"/>
            <color indexed="81"/>
            <rFont val="돋움"/>
            <family val="3"/>
            <charset val="129"/>
          </rPr>
          <t>등재가</t>
        </r>
        <r>
          <rPr>
            <sz val="9"/>
            <color indexed="81"/>
            <rFont val="Tahoma"/>
            <family val="2"/>
          </rPr>
          <t xml:space="preserve"> – </t>
        </r>
        <r>
          <rPr>
            <sz val="9"/>
            <color indexed="81"/>
            <rFont val="돋움"/>
            <family val="3"/>
            <charset val="129"/>
          </rPr>
          <t>판매자</t>
        </r>
        <r>
          <rPr>
            <sz val="9"/>
            <color indexed="81"/>
            <rFont val="Tahoma"/>
            <family val="2"/>
          </rPr>
          <t xml:space="preserve"> </t>
        </r>
        <r>
          <rPr>
            <sz val="9"/>
            <color indexed="81"/>
            <rFont val="돋움"/>
            <family val="3"/>
            <charset val="129"/>
          </rPr>
          <t>설정</t>
        </r>
        <r>
          <rPr>
            <sz val="9"/>
            <color indexed="81"/>
            <rFont val="Tahoma"/>
            <family val="2"/>
          </rPr>
          <t xml:space="preserve"> </t>
        </r>
        <r>
          <rPr>
            <sz val="9"/>
            <color indexed="81"/>
            <rFont val="돋움"/>
            <family val="3"/>
            <charset val="129"/>
          </rPr>
          <t>할인</t>
        </r>
        <r>
          <rPr>
            <sz val="9"/>
            <color indexed="81"/>
            <rFont val="Tahoma"/>
            <family val="2"/>
          </rPr>
          <t>) * 3%</t>
        </r>
      </text>
    </comment>
    <comment ref="Z130" authorId="0" shapeId="0" xr:uid="{AA5B8798-E9A1-44C7-B4FE-65E602309729}">
      <text>
        <r>
          <rPr>
            <b/>
            <sz val="9"/>
            <color indexed="81"/>
            <rFont val="Tahoma"/>
            <family val="2"/>
          </rPr>
          <t>user:</t>
        </r>
        <r>
          <rPr>
            <sz val="9"/>
            <color indexed="81"/>
            <rFont val="Tahoma"/>
            <family val="2"/>
          </rPr>
          <t xml:space="preserve">
(</t>
        </r>
        <r>
          <rPr>
            <sz val="9"/>
            <color indexed="81"/>
            <rFont val="돋움"/>
            <family val="3"/>
            <charset val="129"/>
          </rPr>
          <t>상품</t>
        </r>
        <r>
          <rPr>
            <sz val="9"/>
            <color indexed="81"/>
            <rFont val="Tahoma"/>
            <family val="2"/>
          </rPr>
          <t xml:space="preserve"> </t>
        </r>
        <r>
          <rPr>
            <sz val="9"/>
            <color indexed="81"/>
            <rFont val="돋움"/>
            <family val="3"/>
            <charset val="129"/>
          </rPr>
          <t>등재가</t>
        </r>
        <r>
          <rPr>
            <sz val="9"/>
            <color indexed="81"/>
            <rFont val="Tahoma"/>
            <family val="2"/>
          </rPr>
          <t xml:space="preserve"> – </t>
        </r>
        <r>
          <rPr>
            <sz val="9"/>
            <color indexed="81"/>
            <rFont val="돋움"/>
            <family val="3"/>
            <charset val="129"/>
          </rPr>
          <t>판매자</t>
        </r>
        <r>
          <rPr>
            <sz val="9"/>
            <color indexed="81"/>
            <rFont val="Tahoma"/>
            <family val="2"/>
          </rPr>
          <t xml:space="preserve"> </t>
        </r>
        <r>
          <rPr>
            <sz val="9"/>
            <color indexed="81"/>
            <rFont val="돋움"/>
            <family val="3"/>
            <charset val="129"/>
          </rPr>
          <t>설정</t>
        </r>
        <r>
          <rPr>
            <sz val="9"/>
            <color indexed="81"/>
            <rFont val="Tahoma"/>
            <family val="2"/>
          </rPr>
          <t xml:space="preserve"> </t>
        </r>
        <r>
          <rPr>
            <sz val="9"/>
            <color indexed="81"/>
            <rFont val="돋움"/>
            <family val="3"/>
            <charset val="129"/>
          </rPr>
          <t>할인</t>
        </r>
        <r>
          <rPr>
            <sz val="9"/>
            <color indexed="81"/>
            <rFont val="Tahoma"/>
            <family val="2"/>
          </rPr>
          <t>) * 3%</t>
        </r>
      </text>
    </comment>
    <comment ref="Z137" authorId="0" shapeId="0" xr:uid="{520A8310-806F-4CE7-AC63-6587211829DA}">
      <text>
        <r>
          <rPr>
            <b/>
            <sz val="9"/>
            <color indexed="81"/>
            <rFont val="Tahoma"/>
            <family val="2"/>
          </rPr>
          <t>user:</t>
        </r>
        <r>
          <rPr>
            <sz val="9"/>
            <color indexed="81"/>
            <rFont val="Tahoma"/>
            <family val="2"/>
          </rPr>
          <t xml:space="preserve">
(</t>
        </r>
        <r>
          <rPr>
            <sz val="9"/>
            <color indexed="81"/>
            <rFont val="돋움"/>
            <family val="3"/>
            <charset val="129"/>
          </rPr>
          <t>상품</t>
        </r>
        <r>
          <rPr>
            <sz val="9"/>
            <color indexed="81"/>
            <rFont val="Tahoma"/>
            <family val="2"/>
          </rPr>
          <t xml:space="preserve"> </t>
        </r>
        <r>
          <rPr>
            <sz val="9"/>
            <color indexed="81"/>
            <rFont val="돋움"/>
            <family val="3"/>
            <charset val="129"/>
          </rPr>
          <t>등재가</t>
        </r>
        <r>
          <rPr>
            <sz val="9"/>
            <color indexed="81"/>
            <rFont val="Tahoma"/>
            <family val="2"/>
          </rPr>
          <t xml:space="preserve"> – </t>
        </r>
        <r>
          <rPr>
            <sz val="9"/>
            <color indexed="81"/>
            <rFont val="돋움"/>
            <family val="3"/>
            <charset val="129"/>
          </rPr>
          <t>판매자</t>
        </r>
        <r>
          <rPr>
            <sz val="9"/>
            <color indexed="81"/>
            <rFont val="Tahoma"/>
            <family val="2"/>
          </rPr>
          <t xml:space="preserve"> </t>
        </r>
        <r>
          <rPr>
            <sz val="9"/>
            <color indexed="81"/>
            <rFont val="돋움"/>
            <family val="3"/>
            <charset val="129"/>
          </rPr>
          <t>설정</t>
        </r>
        <r>
          <rPr>
            <sz val="9"/>
            <color indexed="81"/>
            <rFont val="Tahoma"/>
            <family val="2"/>
          </rPr>
          <t xml:space="preserve"> </t>
        </r>
        <r>
          <rPr>
            <sz val="9"/>
            <color indexed="81"/>
            <rFont val="돋움"/>
            <family val="3"/>
            <charset val="129"/>
          </rPr>
          <t>할인</t>
        </r>
        <r>
          <rPr>
            <sz val="9"/>
            <color indexed="81"/>
            <rFont val="Tahoma"/>
            <family val="2"/>
          </rPr>
          <t>) * 3%</t>
        </r>
      </text>
    </comment>
    <comment ref="Z144" authorId="0" shapeId="0" xr:uid="{CFC36AEC-C083-4484-BF8E-4DAD087FCD77}">
      <text>
        <r>
          <rPr>
            <b/>
            <sz val="9"/>
            <color indexed="81"/>
            <rFont val="Tahoma"/>
            <family val="2"/>
          </rPr>
          <t>user:</t>
        </r>
        <r>
          <rPr>
            <sz val="9"/>
            <color indexed="81"/>
            <rFont val="Tahoma"/>
            <family val="2"/>
          </rPr>
          <t xml:space="preserve">
(</t>
        </r>
        <r>
          <rPr>
            <sz val="9"/>
            <color indexed="81"/>
            <rFont val="돋움"/>
            <family val="3"/>
            <charset val="129"/>
          </rPr>
          <t>상품</t>
        </r>
        <r>
          <rPr>
            <sz val="9"/>
            <color indexed="81"/>
            <rFont val="Tahoma"/>
            <family val="2"/>
          </rPr>
          <t xml:space="preserve"> </t>
        </r>
        <r>
          <rPr>
            <sz val="9"/>
            <color indexed="81"/>
            <rFont val="돋움"/>
            <family val="3"/>
            <charset val="129"/>
          </rPr>
          <t>등재가</t>
        </r>
        <r>
          <rPr>
            <sz val="9"/>
            <color indexed="81"/>
            <rFont val="Tahoma"/>
            <family val="2"/>
          </rPr>
          <t xml:space="preserve"> – </t>
        </r>
        <r>
          <rPr>
            <sz val="9"/>
            <color indexed="81"/>
            <rFont val="돋움"/>
            <family val="3"/>
            <charset val="129"/>
          </rPr>
          <t>판매자</t>
        </r>
        <r>
          <rPr>
            <sz val="9"/>
            <color indexed="81"/>
            <rFont val="Tahoma"/>
            <family val="2"/>
          </rPr>
          <t xml:space="preserve"> </t>
        </r>
        <r>
          <rPr>
            <sz val="9"/>
            <color indexed="81"/>
            <rFont val="돋움"/>
            <family val="3"/>
            <charset val="129"/>
          </rPr>
          <t>설정</t>
        </r>
        <r>
          <rPr>
            <sz val="9"/>
            <color indexed="81"/>
            <rFont val="Tahoma"/>
            <family val="2"/>
          </rPr>
          <t xml:space="preserve"> </t>
        </r>
        <r>
          <rPr>
            <sz val="9"/>
            <color indexed="81"/>
            <rFont val="돋움"/>
            <family val="3"/>
            <charset val="129"/>
          </rPr>
          <t>할인</t>
        </r>
        <r>
          <rPr>
            <sz val="9"/>
            <color indexed="81"/>
            <rFont val="Tahoma"/>
            <family val="2"/>
          </rPr>
          <t>) * 3%</t>
        </r>
      </text>
    </comment>
    <comment ref="Z151" authorId="0" shapeId="0" xr:uid="{D358748D-6752-4E31-98C1-81E4F8DC7A06}">
      <text>
        <r>
          <rPr>
            <b/>
            <sz val="9"/>
            <color indexed="81"/>
            <rFont val="Tahoma"/>
            <family val="2"/>
          </rPr>
          <t>user:</t>
        </r>
        <r>
          <rPr>
            <sz val="9"/>
            <color indexed="81"/>
            <rFont val="Tahoma"/>
            <family val="2"/>
          </rPr>
          <t xml:space="preserve">
(</t>
        </r>
        <r>
          <rPr>
            <sz val="9"/>
            <color indexed="81"/>
            <rFont val="돋움"/>
            <family val="3"/>
            <charset val="129"/>
          </rPr>
          <t>상품</t>
        </r>
        <r>
          <rPr>
            <sz val="9"/>
            <color indexed="81"/>
            <rFont val="Tahoma"/>
            <family val="2"/>
          </rPr>
          <t xml:space="preserve"> </t>
        </r>
        <r>
          <rPr>
            <sz val="9"/>
            <color indexed="81"/>
            <rFont val="돋움"/>
            <family val="3"/>
            <charset val="129"/>
          </rPr>
          <t>등재가</t>
        </r>
        <r>
          <rPr>
            <sz val="9"/>
            <color indexed="81"/>
            <rFont val="Tahoma"/>
            <family val="2"/>
          </rPr>
          <t xml:space="preserve"> – </t>
        </r>
        <r>
          <rPr>
            <sz val="9"/>
            <color indexed="81"/>
            <rFont val="돋움"/>
            <family val="3"/>
            <charset val="129"/>
          </rPr>
          <t>판매자</t>
        </r>
        <r>
          <rPr>
            <sz val="9"/>
            <color indexed="81"/>
            <rFont val="Tahoma"/>
            <family val="2"/>
          </rPr>
          <t xml:space="preserve"> </t>
        </r>
        <r>
          <rPr>
            <sz val="9"/>
            <color indexed="81"/>
            <rFont val="돋움"/>
            <family val="3"/>
            <charset val="129"/>
          </rPr>
          <t>설정</t>
        </r>
        <r>
          <rPr>
            <sz val="9"/>
            <color indexed="81"/>
            <rFont val="Tahoma"/>
            <family val="2"/>
          </rPr>
          <t xml:space="preserve"> </t>
        </r>
        <r>
          <rPr>
            <sz val="9"/>
            <color indexed="81"/>
            <rFont val="돋움"/>
            <family val="3"/>
            <charset val="129"/>
          </rPr>
          <t>할인</t>
        </r>
        <r>
          <rPr>
            <sz val="9"/>
            <color indexed="81"/>
            <rFont val="Tahoma"/>
            <family val="2"/>
          </rPr>
          <t>) * 3%</t>
        </r>
      </text>
    </comment>
    <comment ref="Z159" authorId="0" shapeId="0" xr:uid="{ED3D227E-461C-4C80-9170-EA1579CABC33}">
      <text>
        <r>
          <rPr>
            <b/>
            <sz val="9"/>
            <color indexed="81"/>
            <rFont val="Tahoma"/>
            <family val="2"/>
          </rPr>
          <t>user:</t>
        </r>
        <r>
          <rPr>
            <sz val="9"/>
            <color indexed="81"/>
            <rFont val="Tahoma"/>
            <family val="2"/>
          </rPr>
          <t xml:space="preserve">
(</t>
        </r>
        <r>
          <rPr>
            <sz val="9"/>
            <color indexed="81"/>
            <rFont val="돋움"/>
            <family val="3"/>
            <charset val="129"/>
          </rPr>
          <t>상품</t>
        </r>
        <r>
          <rPr>
            <sz val="9"/>
            <color indexed="81"/>
            <rFont val="Tahoma"/>
            <family val="2"/>
          </rPr>
          <t xml:space="preserve"> </t>
        </r>
        <r>
          <rPr>
            <sz val="9"/>
            <color indexed="81"/>
            <rFont val="돋움"/>
            <family val="3"/>
            <charset val="129"/>
          </rPr>
          <t>등재가</t>
        </r>
        <r>
          <rPr>
            <sz val="9"/>
            <color indexed="81"/>
            <rFont val="Tahoma"/>
            <family val="2"/>
          </rPr>
          <t xml:space="preserve"> – </t>
        </r>
        <r>
          <rPr>
            <sz val="9"/>
            <color indexed="81"/>
            <rFont val="돋움"/>
            <family val="3"/>
            <charset val="129"/>
          </rPr>
          <t>판매자</t>
        </r>
        <r>
          <rPr>
            <sz val="9"/>
            <color indexed="81"/>
            <rFont val="Tahoma"/>
            <family val="2"/>
          </rPr>
          <t xml:space="preserve"> </t>
        </r>
        <r>
          <rPr>
            <sz val="9"/>
            <color indexed="81"/>
            <rFont val="돋움"/>
            <family val="3"/>
            <charset val="129"/>
          </rPr>
          <t>설정</t>
        </r>
        <r>
          <rPr>
            <sz val="9"/>
            <color indexed="81"/>
            <rFont val="Tahoma"/>
            <family val="2"/>
          </rPr>
          <t xml:space="preserve"> </t>
        </r>
        <r>
          <rPr>
            <sz val="9"/>
            <color indexed="81"/>
            <rFont val="돋움"/>
            <family val="3"/>
            <charset val="129"/>
          </rPr>
          <t>할인</t>
        </r>
        <r>
          <rPr>
            <sz val="9"/>
            <color indexed="81"/>
            <rFont val="Tahoma"/>
            <family val="2"/>
          </rPr>
          <t>) * 3%</t>
        </r>
      </text>
    </comment>
    <comment ref="Z166" authorId="0" shapeId="0" xr:uid="{173576AB-5B12-4BF9-9E08-69F0AA6181EE}">
      <text>
        <r>
          <rPr>
            <b/>
            <sz val="9"/>
            <color indexed="81"/>
            <rFont val="Tahoma"/>
            <family val="2"/>
          </rPr>
          <t>user:</t>
        </r>
        <r>
          <rPr>
            <sz val="9"/>
            <color indexed="81"/>
            <rFont val="Tahoma"/>
            <family val="2"/>
          </rPr>
          <t xml:space="preserve">
(</t>
        </r>
        <r>
          <rPr>
            <sz val="9"/>
            <color indexed="81"/>
            <rFont val="돋움"/>
            <family val="3"/>
            <charset val="129"/>
          </rPr>
          <t>상품</t>
        </r>
        <r>
          <rPr>
            <sz val="9"/>
            <color indexed="81"/>
            <rFont val="Tahoma"/>
            <family val="2"/>
          </rPr>
          <t xml:space="preserve"> </t>
        </r>
        <r>
          <rPr>
            <sz val="9"/>
            <color indexed="81"/>
            <rFont val="돋움"/>
            <family val="3"/>
            <charset val="129"/>
          </rPr>
          <t>등재가</t>
        </r>
        <r>
          <rPr>
            <sz val="9"/>
            <color indexed="81"/>
            <rFont val="Tahoma"/>
            <family val="2"/>
          </rPr>
          <t xml:space="preserve"> – </t>
        </r>
        <r>
          <rPr>
            <sz val="9"/>
            <color indexed="81"/>
            <rFont val="돋움"/>
            <family val="3"/>
            <charset val="129"/>
          </rPr>
          <t>판매자</t>
        </r>
        <r>
          <rPr>
            <sz val="9"/>
            <color indexed="81"/>
            <rFont val="Tahoma"/>
            <family val="2"/>
          </rPr>
          <t xml:space="preserve"> </t>
        </r>
        <r>
          <rPr>
            <sz val="9"/>
            <color indexed="81"/>
            <rFont val="돋움"/>
            <family val="3"/>
            <charset val="129"/>
          </rPr>
          <t>설정</t>
        </r>
        <r>
          <rPr>
            <sz val="9"/>
            <color indexed="81"/>
            <rFont val="Tahoma"/>
            <family val="2"/>
          </rPr>
          <t xml:space="preserve"> </t>
        </r>
        <r>
          <rPr>
            <sz val="9"/>
            <color indexed="81"/>
            <rFont val="돋움"/>
            <family val="3"/>
            <charset val="129"/>
          </rPr>
          <t>할인</t>
        </r>
        <r>
          <rPr>
            <sz val="9"/>
            <color indexed="81"/>
            <rFont val="Tahoma"/>
            <family val="2"/>
          </rPr>
          <t>) * 3%</t>
        </r>
      </text>
    </comment>
    <comment ref="Z173" authorId="0" shapeId="0" xr:uid="{18F6E60D-903F-4F83-BA67-3260B32D1DB6}">
      <text>
        <r>
          <rPr>
            <b/>
            <sz val="9"/>
            <color indexed="81"/>
            <rFont val="Tahoma"/>
            <family val="2"/>
          </rPr>
          <t>user:</t>
        </r>
        <r>
          <rPr>
            <sz val="9"/>
            <color indexed="81"/>
            <rFont val="Tahoma"/>
            <family val="2"/>
          </rPr>
          <t xml:space="preserve">
(</t>
        </r>
        <r>
          <rPr>
            <sz val="9"/>
            <color indexed="81"/>
            <rFont val="돋움"/>
            <family val="3"/>
            <charset val="129"/>
          </rPr>
          <t>상품</t>
        </r>
        <r>
          <rPr>
            <sz val="9"/>
            <color indexed="81"/>
            <rFont val="Tahoma"/>
            <family val="2"/>
          </rPr>
          <t xml:space="preserve"> </t>
        </r>
        <r>
          <rPr>
            <sz val="9"/>
            <color indexed="81"/>
            <rFont val="돋움"/>
            <family val="3"/>
            <charset val="129"/>
          </rPr>
          <t>등재가</t>
        </r>
        <r>
          <rPr>
            <sz val="9"/>
            <color indexed="81"/>
            <rFont val="Tahoma"/>
            <family val="2"/>
          </rPr>
          <t xml:space="preserve"> – </t>
        </r>
        <r>
          <rPr>
            <sz val="9"/>
            <color indexed="81"/>
            <rFont val="돋움"/>
            <family val="3"/>
            <charset val="129"/>
          </rPr>
          <t>판매자</t>
        </r>
        <r>
          <rPr>
            <sz val="9"/>
            <color indexed="81"/>
            <rFont val="Tahoma"/>
            <family val="2"/>
          </rPr>
          <t xml:space="preserve"> </t>
        </r>
        <r>
          <rPr>
            <sz val="9"/>
            <color indexed="81"/>
            <rFont val="돋움"/>
            <family val="3"/>
            <charset val="129"/>
          </rPr>
          <t>설정</t>
        </r>
        <r>
          <rPr>
            <sz val="9"/>
            <color indexed="81"/>
            <rFont val="Tahoma"/>
            <family val="2"/>
          </rPr>
          <t xml:space="preserve"> </t>
        </r>
        <r>
          <rPr>
            <sz val="9"/>
            <color indexed="81"/>
            <rFont val="돋움"/>
            <family val="3"/>
            <charset val="129"/>
          </rPr>
          <t>할인</t>
        </r>
        <r>
          <rPr>
            <sz val="9"/>
            <color indexed="81"/>
            <rFont val="Tahoma"/>
            <family val="2"/>
          </rPr>
          <t>) * 3%</t>
        </r>
      </text>
    </comment>
    <comment ref="Z178" authorId="0" shapeId="0" xr:uid="{ADFD7486-17F4-4730-A751-DA3A5650B886}">
      <text>
        <r>
          <rPr>
            <b/>
            <sz val="9"/>
            <color indexed="81"/>
            <rFont val="Tahoma"/>
            <family val="2"/>
          </rPr>
          <t>user:</t>
        </r>
        <r>
          <rPr>
            <sz val="9"/>
            <color indexed="81"/>
            <rFont val="Tahoma"/>
            <family val="2"/>
          </rPr>
          <t xml:space="preserve">
(</t>
        </r>
        <r>
          <rPr>
            <sz val="9"/>
            <color indexed="81"/>
            <rFont val="돋움"/>
            <family val="3"/>
            <charset val="129"/>
          </rPr>
          <t>상품</t>
        </r>
        <r>
          <rPr>
            <sz val="9"/>
            <color indexed="81"/>
            <rFont val="Tahoma"/>
            <family val="2"/>
          </rPr>
          <t xml:space="preserve"> </t>
        </r>
        <r>
          <rPr>
            <sz val="9"/>
            <color indexed="81"/>
            <rFont val="돋움"/>
            <family val="3"/>
            <charset val="129"/>
          </rPr>
          <t>등재가</t>
        </r>
        <r>
          <rPr>
            <sz val="9"/>
            <color indexed="81"/>
            <rFont val="Tahoma"/>
            <family val="2"/>
          </rPr>
          <t xml:space="preserve"> – </t>
        </r>
        <r>
          <rPr>
            <sz val="9"/>
            <color indexed="81"/>
            <rFont val="돋움"/>
            <family val="3"/>
            <charset val="129"/>
          </rPr>
          <t>판매자</t>
        </r>
        <r>
          <rPr>
            <sz val="9"/>
            <color indexed="81"/>
            <rFont val="Tahoma"/>
            <family val="2"/>
          </rPr>
          <t xml:space="preserve"> </t>
        </r>
        <r>
          <rPr>
            <sz val="9"/>
            <color indexed="81"/>
            <rFont val="돋움"/>
            <family val="3"/>
            <charset val="129"/>
          </rPr>
          <t>설정</t>
        </r>
        <r>
          <rPr>
            <sz val="9"/>
            <color indexed="81"/>
            <rFont val="Tahoma"/>
            <family val="2"/>
          </rPr>
          <t xml:space="preserve"> </t>
        </r>
        <r>
          <rPr>
            <sz val="9"/>
            <color indexed="81"/>
            <rFont val="돋움"/>
            <family val="3"/>
            <charset val="129"/>
          </rPr>
          <t>할인</t>
        </r>
        <r>
          <rPr>
            <sz val="9"/>
            <color indexed="81"/>
            <rFont val="Tahoma"/>
            <family val="2"/>
          </rPr>
          <t>) * 3%</t>
        </r>
      </text>
    </comment>
    <comment ref="Z185" authorId="0" shapeId="0" xr:uid="{CB969E4D-225D-46DB-8282-501D54EBCE6F}">
      <text>
        <r>
          <rPr>
            <b/>
            <sz val="9"/>
            <color indexed="81"/>
            <rFont val="Tahoma"/>
            <family val="2"/>
          </rPr>
          <t>user:</t>
        </r>
        <r>
          <rPr>
            <sz val="9"/>
            <color indexed="81"/>
            <rFont val="Tahoma"/>
            <family val="2"/>
          </rPr>
          <t xml:space="preserve">
(</t>
        </r>
        <r>
          <rPr>
            <sz val="9"/>
            <color indexed="81"/>
            <rFont val="돋움"/>
            <family val="3"/>
            <charset val="129"/>
          </rPr>
          <t>상품</t>
        </r>
        <r>
          <rPr>
            <sz val="9"/>
            <color indexed="81"/>
            <rFont val="Tahoma"/>
            <family val="2"/>
          </rPr>
          <t xml:space="preserve"> </t>
        </r>
        <r>
          <rPr>
            <sz val="9"/>
            <color indexed="81"/>
            <rFont val="돋움"/>
            <family val="3"/>
            <charset val="129"/>
          </rPr>
          <t>등재가</t>
        </r>
        <r>
          <rPr>
            <sz val="9"/>
            <color indexed="81"/>
            <rFont val="Tahoma"/>
            <family val="2"/>
          </rPr>
          <t xml:space="preserve"> – </t>
        </r>
        <r>
          <rPr>
            <sz val="9"/>
            <color indexed="81"/>
            <rFont val="돋움"/>
            <family val="3"/>
            <charset val="129"/>
          </rPr>
          <t>판매자</t>
        </r>
        <r>
          <rPr>
            <sz val="9"/>
            <color indexed="81"/>
            <rFont val="Tahoma"/>
            <family val="2"/>
          </rPr>
          <t xml:space="preserve"> </t>
        </r>
        <r>
          <rPr>
            <sz val="9"/>
            <color indexed="81"/>
            <rFont val="돋움"/>
            <family val="3"/>
            <charset val="129"/>
          </rPr>
          <t>설정</t>
        </r>
        <r>
          <rPr>
            <sz val="9"/>
            <color indexed="81"/>
            <rFont val="Tahoma"/>
            <family val="2"/>
          </rPr>
          <t xml:space="preserve"> </t>
        </r>
        <r>
          <rPr>
            <sz val="9"/>
            <color indexed="81"/>
            <rFont val="돋움"/>
            <family val="3"/>
            <charset val="129"/>
          </rPr>
          <t>할인</t>
        </r>
        <r>
          <rPr>
            <sz val="9"/>
            <color indexed="81"/>
            <rFont val="Tahoma"/>
            <family val="2"/>
          </rPr>
          <t>) * 3%</t>
        </r>
      </text>
    </comment>
    <comment ref="Z192" authorId="0" shapeId="0" xr:uid="{0B093362-29D9-45BB-8CB7-BAF5B131B606}">
      <text>
        <r>
          <rPr>
            <b/>
            <sz val="9"/>
            <color indexed="81"/>
            <rFont val="Tahoma"/>
            <family val="2"/>
          </rPr>
          <t>user:</t>
        </r>
        <r>
          <rPr>
            <sz val="9"/>
            <color indexed="81"/>
            <rFont val="Tahoma"/>
            <family val="2"/>
          </rPr>
          <t xml:space="preserve">
(</t>
        </r>
        <r>
          <rPr>
            <sz val="9"/>
            <color indexed="81"/>
            <rFont val="돋움"/>
            <family val="3"/>
            <charset val="129"/>
          </rPr>
          <t>상품</t>
        </r>
        <r>
          <rPr>
            <sz val="9"/>
            <color indexed="81"/>
            <rFont val="Tahoma"/>
            <family val="2"/>
          </rPr>
          <t xml:space="preserve"> </t>
        </r>
        <r>
          <rPr>
            <sz val="9"/>
            <color indexed="81"/>
            <rFont val="돋움"/>
            <family val="3"/>
            <charset val="129"/>
          </rPr>
          <t>등재가</t>
        </r>
        <r>
          <rPr>
            <sz val="9"/>
            <color indexed="81"/>
            <rFont val="Tahoma"/>
            <family val="2"/>
          </rPr>
          <t xml:space="preserve"> – </t>
        </r>
        <r>
          <rPr>
            <sz val="9"/>
            <color indexed="81"/>
            <rFont val="돋움"/>
            <family val="3"/>
            <charset val="129"/>
          </rPr>
          <t>판매자</t>
        </r>
        <r>
          <rPr>
            <sz val="9"/>
            <color indexed="81"/>
            <rFont val="Tahoma"/>
            <family val="2"/>
          </rPr>
          <t xml:space="preserve"> </t>
        </r>
        <r>
          <rPr>
            <sz val="9"/>
            <color indexed="81"/>
            <rFont val="돋움"/>
            <family val="3"/>
            <charset val="129"/>
          </rPr>
          <t>설정</t>
        </r>
        <r>
          <rPr>
            <sz val="9"/>
            <color indexed="81"/>
            <rFont val="Tahoma"/>
            <family val="2"/>
          </rPr>
          <t xml:space="preserve"> </t>
        </r>
        <r>
          <rPr>
            <sz val="9"/>
            <color indexed="81"/>
            <rFont val="돋움"/>
            <family val="3"/>
            <charset val="129"/>
          </rPr>
          <t>할인</t>
        </r>
        <r>
          <rPr>
            <sz val="9"/>
            <color indexed="81"/>
            <rFont val="Tahoma"/>
            <family val="2"/>
          </rPr>
          <t>) * 3%</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user</author>
  </authors>
  <commentList>
    <comment ref="Z12" authorId="0" shapeId="0" xr:uid="{11D1B037-BD7B-474B-93BD-790236E40E33}">
      <text>
        <r>
          <rPr>
            <b/>
            <sz val="9"/>
            <color indexed="81"/>
            <rFont val="Tahoma"/>
            <family val="2"/>
          </rPr>
          <t>user:</t>
        </r>
        <r>
          <rPr>
            <sz val="9"/>
            <color indexed="81"/>
            <rFont val="Tahoma"/>
            <family val="2"/>
          </rPr>
          <t xml:space="preserve">
(</t>
        </r>
        <r>
          <rPr>
            <sz val="9"/>
            <color indexed="81"/>
            <rFont val="돋움"/>
            <family val="3"/>
            <charset val="129"/>
          </rPr>
          <t>상품</t>
        </r>
        <r>
          <rPr>
            <sz val="9"/>
            <color indexed="81"/>
            <rFont val="Tahoma"/>
            <family val="2"/>
          </rPr>
          <t xml:space="preserve"> </t>
        </r>
        <r>
          <rPr>
            <sz val="9"/>
            <color indexed="81"/>
            <rFont val="돋움"/>
            <family val="3"/>
            <charset val="129"/>
          </rPr>
          <t>등재가</t>
        </r>
        <r>
          <rPr>
            <sz val="9"/>
            <color indexed="81"/>
            <rFont val="Tahoma"/>
            <family val="2"/>
          </rPr>
          <t xml:space="preserve"> – </t>
        </r>
        <r>
          <rPr>
            <sz val="9"/>
            <color indexed="81"/>
            <rFont val="돋움"/>
            <family val="3"/>
            <charset val="129"/>
          </rPr>
          <t>판매자</t>
        </r>
        <r>
          <rPr>
            <sz val="9"/>
            <color indexed="81"/>
            <rFont val="Tahoma"/>
            <family val="2"/>
          </rPr>
          <t xml:space="preserve"> </t>
        </r>
        <r>
          <rPr>
            <sz val="9"/>
            <color indexed="81"/>
            <rFont val="돋움"/>
            <family val="3"/>
            <charset val="129"/>
          </rPr>
          <t>설정</t>
        </r>
        <r>
          <rPr>
            <sz val="9"/>
            <color indexed="81"/>
            <rFont val="Tahoma"/>
            <family val="2"/>
          </rPr>
          <t xml:space="preserve"> </t>
        </r>
        <r>
          <rPr>
            <sz val="9"/>
            <color indexed="81"/>
            <rFont val="돋움"/>
            <family val="3"/>
            <charset val="129"/>
          </rPr>
          <t>할인</t>
        </r>
        <r>
          <rPr>
            <sz val="9"/>
            <color indexed="81"/>
            <rFont val="Tahoma"/>
            <family val="2"/>
          </rPr>
          <t>) * 3%</t>
        </r>
      </text>
    </comment>
    <comment ref="Z19" authorId="0" shapeId="0" xr:uid="{7B5EB7FA-AF28-47AE-ACED-64AD4F91A0AD}">
      <text>
        <r>
          <rPr>
            <b/>
            <sz val="9"/>
            <color indexed="81"/>
            <rFont val="Tahoma"/>
            <family val="2"/>
          </rPr>
          <t>user:</t>
        </r>
        <r>
          <rPr>
            <sz val="9"/>
            <color indexed="81"/>
            <rFont val="Tahoma"/>
            <family val="2"/>
          </rPr>
          <t xml:space="preserve">
(</t>
        </r>
        <r>
          <rPr>
            <sz val="9"/>
            <color indexed="81"/>
            <rFont val="돋움"/>
            <family val="3"/>
            <charset val="129"/>
          </rPr>
          <t>상품</t>
        </r>
        <r>
          <rPr>
            <sz val="9"/>
            <color indexed="81"/>
            <rFont val="Tahoma"/>
            <family val="2"/>
          </rPr>
          <t xml:space="preserve"> </t>
        </r>
        <r>
          <rPr>
            <sz val="9"/>
            <color indexed="81"/>
            <rFont val="돋움"/>
            <family val="3"/>
            <charset val="129"/>
          </rPr>
          <t>등재가</t>
        </r>
        <r>
          <rPr>
            <sz val="9"/>
            <color indexed="81"/>
            <rFont val="Tahoma"/>
            <family val="2"/>
          </rPr>
          <t xml:space="preserve"> – </t>
        </r>
        <r>
          <rPr>
            <sz val="9"/>
            <color indexed="81"/>
            <rFont val="돋움"/>
            <family val="3"/>
            <charset val="129"/>
          </rPr>
          <t>판매자</t>
        </r>
        <r>
          <rPr>
            <sz val="9"/>
            <color indexed="81"/>
            <rFont val="Tahoma"/>
            <family val="2"/>
          </rPr>
          <t xml:space="preserve"> </t>
        </r>
        <r>
          <rPr>
            <sz val="9"/>
            <color indexed="81"/>
            <rFont val="돋움"/>
            <family val="3"/>
            <charset val="129"/>
          </rPr>
          <t>설정</t>
        </r>
        <r>
          <rPr>
            <sz val="9"/>
            <color indexed="81"/>
            <rFont val="Tahoma"/>
            <family val="2"/>
          </rPr>
          <t xml:space="preserve"> </t>
        </r>
        <r>
          <rPr>
            <sz val="9"/>
            <color indexed="81"/>
            <rFont val="돋움"/>
            <family val="3"/>
            <charset val="129"/>
          </rPr>
          <t>할인</t>
        </r>
        <r>
          <rPr>
            <sz val="9"/>
            <color indexed="81"/>
            <rFont val="Tahoma"/>
            <family val="2"/>
          </rPr>
          <t>) * 3%</t>
        </r>
      </text>
    </comment>
    <comment ref="Z26" authorId="0" shapeId="0" xr:uid="{DAE6236C-FAC5-4247-808B-482C5EB3949E}">
      <text>
        <r>
          <rPr>
            <b/>
            <sz val="9"/>
            <color indexed="81"/>
            <rFont val="Tahoma"/>
            <family val="2"/>
          </rPr>
          <t>user:</t>
        </r>
        <r>
          <rPr>
            <sz val="9"/>
            <color indexed="81"/>
            <rFont val="Tahoma"/>
            <family val="2"/>
          </rPr>
          <t xml:space="preserve">
(</t>
        </r>
        <r>
          <rPr>
            <sz val="9"/>
            <color indexed="81"/>
            <rFont val="돋움"/>
            <family val="3"/>
            <charset val="129"/>
          </rPr>
          <t>상품</t>
        </r>
        <r>
          <rPr>
            <sz val="9"/>
            <color indexed="81"/>
            <rFont val="Tahoma"/>
            <family val="2"/>
          </rPr>
          <t xml:space="preserve"> </t>
        </r>
        <r>
          <rPr>
            <sz val="9"/>
            <color indexed="81"/>
            <rFont val="돋움"/>
            <family val="3"/>
            <charset val="129"/>
          </rPr>
          <t>등재가</t>
        </r>
        <r>
          <rPr>
            <sz val="9"/>
            <color indexed="81"/>
            <rFont val="Tahoma"/>
            <family val="2"/>
          </rPr>
          <t xml:space="preserve"> – </t>
        </r>
        <r>
          <rPr>
            <sz val="9"/>
            <color indexed="81"/>
            <rFont val="돋움"/>
            <family val="3"/>
            <charset val="129"/>
          </rPr>
          <t>판매자</t>
        </r>
        <r>
          <rPr>
            <sz val="9"/>
            <color indexed="81"/>
            <rFont val="Tahoma"/>
            <family val="2"/>
          </rPr>
          <t xml:space="preserve"> </t>
        </r>
        <r>
          <rPr>
            <sz val="9"/>
            <color indexed="81"/>
            <rFont val="돋움"/>
            <family val="3"/>
            <charset val="129"/>
          </rPr>
          <t>설정</t>
        </r>
        <r>
          <rPr>
            <sz val="9"/>
            <color indexed="81"/>
            <rFont val="Tahoma"/>
            <family val="2"/>
          </rPr>
          <t xml:space="preserve"> </t>
        </r>
        <r>
          <rPr>
            <sz val="9"/>
            <color indexed="81"/>
            <rFont val="돋움"/>
            <family val="3"/>
            <charset val="129"/>
          </rPr>
          <t>할인</t>
        </r>
        <r>
          <rPr>
            <sz val="9"/>
            <color indexed="81"/>
            <rFont val="Tahoma"/>
            <family val="2"/>
          </rPr>
          <t>) * 3%</t>
        </r>
      </text>
    </comment>
    <comment ref="Z36" authorId="0" shapeId="0" xr:uid="{BC40375E-7AE8-4AF4-9C41-6BE5FFC00FA7}">
      <text>
        <r>
          <rPr>
            <b/>
            <sz val="9"/>
            <color indexed="81"/>
            <rFont val="Tahoma"/>
            <family val="2"/>
          </rPr>
          <t>user:</t>
        </r>
        <r>
          <rPr>
            <sz val="9"/>
            <color indexed="81"/>
            <rFont val="Tahoma"/>
            <family val="2"/>
          </rPr>
          <t xml:space="preserve">
(</t>
        </r>
        <r>
          <rPr>
            <sz val="9"/>
            <color indexed="81"/>
            <rFont val="돋움"/>
            <family val="3"/>
            <charset val="129"/>
          </rPr>
          <t>상품</t>
        </r>
        <r>
          <rPr>
            <sz val="9"/>
            <color indexed="81"/>
            <rFont val="Tahoma"/>
            <family val="2"/>
          </rPr>
          <t xml:space="preserve"> </t>
        </r>
        <r>
          <rPr>
            <sz val="9"/>
            <color indexed="81"/>
            <rFont val="돋움"/>
            <family val="3"/>
            <charset val="129"/>
          </rPr>
          <t>등재가</t>
        </r>
        <r>
          <rPr>
            <sz val="9"/>
            <color indexed="81"/>
            <rFont val="Tahoma"/>
            <family val="2"/>
          </rPr>
          <t xml:space="preserve"> – </t>
        </r>
        <r>
          <rPr>
            <sz val="9"/>
            <color indexed="81"/>
            <rFont val="돋움"/>
            <family val="3"/>
            <charset val="129"/>
          </rPr>
          <t>판매자</t>
        </r>
        <r>
          <rPr>
            <sz val="9"/>
            <color indexed="81"/>
            <rFont val="Tahoma"/>
            <family val="2"/>
          </rPr>
          <t xml:space="preserve"> </t>
        </r>
        <r>
          <rPr>
            <sz val="9"/>
            <color indexed="81"/>
            <rFont val="돋움"/>
            <family val="3"/>
            <charset val="129"/>
          </rPr>
          <t>설정</t>
        </r>
        <r>
          <rPr>
            <sz val="9"/>
            <color indexed="81"/>
            <rFont val="Tahoma"/>
            <family val="2"/>
          </rPr>
          <t xml:space="preserve"> </t>
        </r>
        <r>
          <rPr>
            <sz val="9"/>
            <color indexed="81"/>
            <rFont val="돋움"/>
            <family val="3"/>
            <charset val="129"/>
          </rPr>
          <t>할인</t>
        </r>
        <r>
          <rPr>
            <sz val="9"/>
            <color indexed="81"/>
            <rFont val="Tahoma"/>
            <family val="2"/>
          </rPr>
          <t>) * 3%</t>
        </r>
      </text>
    </comment>
    <comment ref="Z46" authorId="0" shapeId="0" xr:uid="{F7835603-A663-43F5-8E7D-67CD5B610490}">
      <text>
        <r>
          <rPr>
            <b/>
            <sz val="9"/>
            <color indexed="81"/>
            <rFont val="Tahoma"/>
            <family val="2"/>
          </rPr>
          <t>user:</t>
        </r>
        <r>
          <rPr>
            <sz val="9"/>
            <color indexed="81"/>
            <rFont val="Tahoma"/>
            <family val="2"/>
          </rPr>
          <t xml:space="preserve">
(</t>
        </r>
        <r>
          <rPr>
            <sz val="9"/>
            <color indexed="81"/>
            <rFont val="돋움"/>
            <family val="3"/>
            <charset val="129"/>
          </rPr>
          <t>상품</t>
        </r>
        <r>
          <rPr>
            <sz val="9"/>
            <color indexed="81"/>
            <rFont val="Tahoma"/>
            <family val="2"/>
          </rPr>
          <t xml:space="preserve"> </t>
        </r>
        <r>
          <rPr>
            <sz val="9"/>
            <color indexed="81"/>
            <rFont val="돋움"/>
            <family val="3"/>
            <charset val="129"/>
          </rPr>
          <t>등재가</t>
        </r>
        <r>
          <rPr>
            <sz val="9"/>
            <color indexed="81"/>
            <rFont val="Tahoma"/>
            <family val="2"/>
          </rPr>
          <t xml:space="preserve"> – </t>
        </r>
        <r>
          <rPr>
            <sz val="9"/>
            <color indexed="81"/>
            <rFont val="돋움"/>
            <family val="3"/>
            <charset val="129"/>
          </rPr>
          <t>판매자</t>
        </r>
        <r>
          <rPr>
            <sz val="9"/>
            <color indexed="81"/>
            <rFont val="Tahoma"/>
            <family val="2"/>
          </rPr>
          <t xml:space="preserve"> </t>
        </r>
        <r>
          <rPr>
            <sz val="9"/>
            <color indexed="81"/>
            <rFont val="돋움"/>
            <family val="3"/>
            <charset val="129"/>
          </rPr>
          <t>설정</t>
        </r>
        <r>
          <rPr>
            <sz val="9"/>
            <color indexed="81"/>
            <rFont val="Tahoma"/>
            <family val="2"/>
          </rPr>
          <t xml:space="preserve"> </t>
        </r>
        <r>
          <rPr>
            <sz val="9"/>
            <color indexed="81"/>
            <rFont val="돋움"/>
            <family val="3"/>
            <charset val="129"/>
          </rPr>
          <t>할인</t>
        </r>
        <r>
          <rPr>
            <sz val="9"/>
            <color indexed="81"/>
            <rFont val="Tahoma"/>
            <family val="2"/>
          </rPr>
          <t>) * 3%</t>
        </r>
      </text>
    </comment>
    <comment ref="Z53" authorId="0" shapeId="0" xr:uid="{9D2FBD64-6AF4-4C71-ACC2-3F9E7E53B424}">
      <text>
        <r>
          <rPr>
            <b/>
            <sz val="9"/>
            <color indexed="81"/>
            <rFont val="Tahoma"/>
            <family val="2"/>
          </rPr>
          <t>user:</t>
        </r>
        <r>
          <rPr>
            <sz val="9"/>
            <color indexed="81"/>
            <rFont val="Tahoma"/>
            <family val="2"/>
          </rPr>
          <t xml:space="preserve">
(</t>
        </r>
        <r>
          <rPr>
            <sz val="9"/>
            <color indexed="81"/>
            <rFont val="돋움"/>
            <family val="3"/>
            <charset val="129"/>
          </rPr>
          <t>상품</t>
        </r>
        <r>
          <rPr>
            <sz val="9"/>
            <color indexed="81"/>
            <rFont val="Tahoma"/>
            <family val="2"/>
          </rPr>
          <t xml:space="preserve"> </t>
        </r>
        <r>
          <rPr>
            <sz val="9"/>
            <color indexed="81"/>
            <rFont val="돋움"/>
            <family val="3"/>
            <charset val="129"/>
          </rPr>
          <t>등재가</t>
        </r>
        <r>
          <rPr>
            <sz val="9"/>
            <color indexed="81"/>
            <rFont val="Tahoma"/>
            <family val="2"/>
          </rPr>
          <t xml:space="preserve"> – </t>
        </r>
        <r>
          <rPr>
            <sz val="9"/>
            <color indexed="81"/>
            <rFont val="돋움"/>
            <family val="3"/>
            <charset val="129"/>
          </rPr>
          <t>판매자</t>
        </r>
        <r>
          <rPr>
            <sz val="9"/>
            <color indexed="81"/>
            <rFont val="Tahoma"/>
            <family val="2"/>
          </rPr>
          <t xml:space="preserve"> </t>
        </r>
        <r>
          <rPr>
            <sz val="9"/>
            <color indexed="81"/>
            <rFont val="돋움"/>
            <family val="3"/>
            <charset val="129"/>
          </rPr>
          <t>설정</t>
        </r>
        <r>
          <rPr>
            <sz val="9"/>
            <color indexed="81"/>
            <rFont val="Tahoma"/>
            <family val="2"/>
          </rPr>
          <t xml:space="preserve"> </t>
        </r>
        <r>
          <rPr>
            <sz val="9"/>
            <color indexed="81"/>
            <rFont val="돋움"/>
            <family val="3"/>
            <charset val="129"/>
          </rPr>
          <t>할인</t>
        </r>
        <r>
          <rPr>
            <sz val="9"/>
            <color indexed="81"/>
            <rFont val="Tahoma"/>
            <family val="2"/>
          </rPr>
          <t>) * 3%</t>
        </r>
      </text>
    </comment>
    <comment ref="Z63" authorId="0" shapeId="0" xr:uid="{981B60FB-7BC5-4D76-B329-857E30E4CCD4}">
      <text>
        <r>
          <rPr>
            <b/>
            <sz val="9"/>
            <color indexed="81"/>
            <rFont val="Tahoma"/>
            <family val="2"/>
          </rPr>
          <t>user:</t>
        </r>
        <r>
          <rPr>
            <sz val="9"/>
            <color indexed="81"/>
            <rFont val="Tahoma"/>
            <family val="2"/>
          </rPr>
          <t xml:space="preserve">
(</t>
        </r>
        <r>
          <rPr>
            <sz val="9"/>
            <color indexed="81"/>
            <rFont val="돋움"/>
            <family val="3"/>
            <charset val="129"/>
          </rPr>
          <t>상품</t>
        </r>
        <r>
          <rPr>
            <sz val="9"/>
            <color indexed="81"/>
            <rFont val="Tahoma"/>
            <family val="2"/>
          </rPr>
          <t xml:space="preserve"> </t>
        </r>
        <r>
          <rPr>
            <sz val="9"/>
            <color indexed="81"/>
            <rFont val="돋움"/>
            <family val="3"/>
            <charset val="129"/>
          </rPr>
          <t>등재가</t>
        </r>
        <r>
          <rPr>
            <sz val="9"/>
            <color indexed="81"/>
            <rFont val="Tahoma"/>
            <family val="2"/>
          </rPr>
          <t xml:space="preserve"> – </t>
        </r>
        <r>
          <rPr>
            <sz val="9"/>
            <color indexed="81"/>
            <rFont val="돋움"/>
            <family val="3"/>
            <charset val="129"/>
          </rPr>
          <t>판매자</t>
        </r>
        <r>
          <rPr>
            <sz val="9"/>
            <color indexed="81"/>
            <rFont val="Tahoma"/>
            <family val="2"/>
          </rPr>
          <t xml:space="preserve"> </t>
        </r>
        <r>
          <rPr>
            <sz val="9"/>
            <color indexed="81"/>
            <rFont val="돋움"/>
            <family val="3"/>
            <charset val="129"/>
          </rPr>
          <t>설정</t>
        </r>
        <r>
          <rPr>
            <sz val="9"/>
            <color indexed="81"/>
            <rFont val="Tahoma"/>
            <family val="2"/>
          </rPr>
          <t xml:space="preserve"> </t>
        </r>
        <r>
          <rPr>
            <sz val="9"/>
            <color indexed="81"/>
            <rFont val="돋움"/>
            <family val="3"/>
            <charset val="129"/>
          </rPr>
          <t>할인</t>
        </r>
        <r>
          <rPr>
            <sz val="9"/>
            <color indexed="81"/>
            <rFont val="Tahoma"/>
            <family val="2"/>
          </rPr>
          <t>) * 3%</t>
        </r>
      </text>
    </comment>
    <comment ref="Z74" authorId="0" shapeId="0" xr:uid="{64F287C9-F0C3-4747-BDEC-5BEE7F7B8971}">
      <text>
        <r>
          <rPr>
            <b/>
            <sz val="9"/>
            <color indexed="81"/>
            <rFont val="Tahoma"/>
            <family val="2"/>
          </rPr>
          <t>user:</t>
        </r>
        <r>
          <rPr>
            <sz val="9"/>
            <color indexed="81"/>
            <rFont val="Tahoma"/>
            <family val="2"/>
          </rPr>
          <t xml:space="preserve">
(</t>
        </r>
        <r>
          <rPr>
            <sz val="9"/>
            <color indexed="81"/>
            <rFont val="돋움"/>
            <family val="3"/>
            <charset val="129"/>
          </rPr>
          <t>상품</t>
        </r>
        <r>
          <rPr>
            <sz val="9"/>
            <color indexed="81"/>
            <rFont val="Tahoma"/>
            <family val="2"/>
          </rPr>
          <t xml:space="preserve"> </t>
        </r>
        <r>
          <rPr>
            <sz val="9"/>
            <color indexed="81"/>
            <rFont val="돋움"/>
            <family val="3"/>
            <charset val="129"/>
          </rPr>
          <t>등재가</t>
        </r>
        <r>
          <rPr>
            <sz val="9"/>
            <color indexed="81"/>
            <rFont val="Tahoma"/>
            <family val="2"/>
          </rPr>
          <t xml:space="preserve"> – </t>
        </r>
        <r>
          <rPr>
            <sz val="9"/>
            <color indexed="81"/>
            <rFont val="돋움"/>
            <family val="3"/>
            <charset val="129"/>
          </rPr>
          <t>판매자</t>
        </r>
        <r>
          <rPr>
            <sz val="9"/>
            <color indexed="81"/>
            <rFont val="Tahoma"/>
            <family val="2"/>
          </rPr>
          <t xml:space="preserve"> </t>
        </r>
        <r>
          <rPr>
            <sz val="9"/>
            <color indexed="81"/>
            <rFont val="돋움"/>
            <family val="3"/>
            <charset val="129"/>
          </rPr>
          <t>설정</t>
        </r>
        <r>
          <rPr>
            <sz val="9"/>
            <color indexed="81"/>
            <rFont val="Tahoma"/>
            <family val="2"/>
          </rPr>
          <t xml:space="preserve"> </t>
        </r>
        <r>
          <rPr>
            <sz val="9"/>
            <color indexed="81"/>
            <rFont val="돋움"/>
            <family val="3"/>
            <charset val="129"/>
          </rPr>
          <t>할인</t>
        </r>
        <r>
          <rPr>
            <sz val="9"/>
            <color indexed="81"/>
            <rFont val="Tahoma"/>
            <family val="2"/>
          </rPr>
          <t>) * 3%</t>
        </r>
      </text>
    </comment>
    <comment ref="Z81" authorId="0" shapeId="0" xr:uid="{BF0EDA83-336B-421C-9E66-64CD8198985F}">
      <text>
        <r>
          <rPr>
            <b/>
            <sz val="9"/>
            <color indexed="81"/>
            <rFont val="Tahoma"/>
            <family val="2"/>
          </rPr>
          <t>user:</t>
        </r>
        <r>
          <rPr>
            <sz val="9"/>
            <color indexed="81"/>
            <rFont val="Tahoma"/>
            <family val="2"/>
          </rPr>
          <t xml:space="preserve">
(</t>
        </r>
        <r>
          <rPr>
            <sz val="9"/>
            <color indexed="81"/>
            <rFont val="돋움"/>
            <family val="3"/>
            <charset val="129"/>
          </rPr>
          <t>상품</t>
        </r>
        <r>
          <rPr>
            <sz val="9"/>
            <color indexed="81"/>
            <rFont val="Tahoma"/>
            <family val="2"/>
          </rPr>
          <t xml:space="preserve"> </t>
        </r>
        <r>
          <rPr>
            <sz val="9"/>
            <color indexed="81"/>
            <rFont val="돋움"/>
            <family val="3"/>
            <charset val="129"/>
          </rPr>
          <t>등재가</t>
        </r>
        <r>
          <rPr>
            <sz val="9"/>
            <color indexed="81"/>
            <rFont val="Tahoma"/>
            <family val="2"/>
          </rPr>
          <t xml:space="preserve"> – </t>
        </r>
        <r>
          <rPr>
            <sz val="9"/>
            <color indexed="81"/>
            <rFont val="돋움"/>
            <family val="3"/>
            <charset val="129"/>
          </rPr>
          <t>판매자</t>
        </r>
        <r>
          <rPr>
            <sz val="9"/>
            <color indexed="81"/>
            <rFont val="Tahoma"/>
            <family val="2"/>
          </rPr>
          <t xml:space="preserve"> </t>
        </r>
        <r>
          <rPr>
            <sz val="9"/>
            <color indexed="81"/>
            <rFont val="돋움"/>
            <family val="3"/>
            <charset val="129"/>
          </rPr>
          <t>설정</t>
        </r>
        <r>
          <rPr>
            <sz val="9"/>
            <color indexed="81"/>
            <rFont val="Tahoma"/>
            <family val="2"/>
          </rPr>
          <t xml:space="preserve"> </t>
        </r>
        <r>
          <rPr>
            <sz val="9"/>
            <color indexed="81"/>
            <rFont val="돋움"/>
            <family val="3"/>
            <charset val="129"/>
          </rPr>
          <t>할인</t>
        </r>
        <r>
          <rPr>
            <sz val="9"/>
            <color indexed="81"/>
            <rFont val="Tahoma"/>
            <family val="2"/>
          </rPr>
          <t>) * 3%</t>
        </r>
      </text>
    </comment>
    <comment ref="Z88" authorId="0" shapeId="0" xr:uid="{D35659A5-9102-40FE-878D-BE87CDD681C9}">
      <text>
        <r>
          <rPr>
            <b/>
            <sz val="9"/>
            <color indexed="81"/>
            <rFont val="Tahoma"/>
            <family val="2"/>
          </rPr>
          <t>user:</t>
        </r>
        <r>
          <rPr>
            <sz val="9"/>
            <color indexed="81"/>
            <rFont val="Tahoma"/>
            <family val="2"/>
          </rPr>
          <t xml:space="preserve">
(</t>
        </r>
        <r>
          <rPr>
            <sz val="9"/>
            <color indexed="81"/>
            <rFont val="돋움"/>
            <family val="3"/>
            <charset val="129"/>
          </rPr>
          <t>상품</t>
        </r>
        <r>
          <rPr>
            <sz val="9"/>
            <color indexed="81"/>
            <rFont val="Tahoma"/>
            <family val="2"/>
          </rPr>
          <t xml:space="preserve"> </t>
        </r>
        <r>
          <rPr>
            <sz val="9"/>
            <color indexed="81"/>
            <rFont val="돋움"/>
            <family val="3"/>
            <charset val="129"/>
          </rPr>
          <t>등재가</t>
        </r>
        <r>
          <rPr>
            <sz val="9"/>
            <color indexed="81"/>
            <rFont val="Tahoma"/>
            <family val="2"/>
          </rPr>
          <t xml:space="preserve"> – </t>
        </r>
        <r>
          <rPr>
            <sz val="9"/>
            <color indexed="81"/>
            <rFont val="돋움"/>
            <family val="3"/>
            <charset val="129"/>
          </rPr>
          <t>판매자</t>
        </r>
        <r>
          <rPr>
            <sz val="9"/>
            <color indexed="81"/>
            <rFont val="Tahoma"/>
            <family val="2"/>
          </rPr>
          <t xml:space="preserve"> </t>
        </r>
        <r>
          <rPr>
            <sz val="9"/>
            <color indexed="81"/>
            <rFont val="돋움"/>
            <family val="3"/>
            <charset val="129"/>
          </rPr>
          <t>설정</t>
        </r>
        <r>
          <rPr>
            <sz val="9"/>
            <color indexed="81"/>
            <rFont val="Tahoma"/>
            <family val="2"/>
          </rPr>
          <t xml:space="preserve"> </t>
        </r>
        <r>
          <rPr>
            <sz val="9"/>
            <color indexed="81"/>
            <rFont val="돋움"/>
            <family val="3"/>
            <charset val="129"/>
          </rPr>
          <t>할인</t>
        </r>
        <r>
          <rPr>
            <sz val="9"/>
            <color indexed="81"/>
            <rFont val="Tahoma"/>
            <family val="2"/>
          </rPr>
          <t>) * 3%</t>
        </r>
      </text>
    </comment>
    <comment ref="Z95" authorId="0" shapeId="0" xr:uid="{B8D266F8-71B0-4D2D-B56D-336AD1C00A04}">
      <text>
        <r>
          <rPr>
            <b/>
            <sz val="9"/>
            <color indexed="81"/>
            <rFont val="Tahoma"/>
            <family val="2"/>
          </rPr>
          <t>user:</t>
        </r>
        <r>
          <rPr>
            <sz val="9"/>
            <color indexed="81"/>
            <rFont val="Tahoma"/>
            <family val="2"/>
          </rPr>
          <t xml:space="preserve">
(</t>
        </r>
        <r>
          <rPr>
            <sz val="9"/>
            <color indexed="81"/>
            <rFont val="돋움"/>
            <family val="3"/>
            <charset val="129"/>
          </rPr>
          <t>상품</t>
        </r>
        <r>
          <rPr>
            <sz val="9"/>
            <color indexed="81"/>
            <rFont val="Tahoma"/>
            <family val="2"/>
          </rPr>
          <t xml:space="preserve"> </t>
        </r>
        <r>
          <rPr>
            <sz val="9"/>
            <color indexed="81"/>
            <rFont val="돋움"/>
            <family val="3"/>
            <charset val="129"/>
          </rPr>
          <t>등재가</t>
        </r>
        <r>
          <rPr>
            <sz val="9"/>
            <color indexed="81"/>
            <rFont val="Tahoma"/>
            <family val="2"/>
          </rPr>
          <t xml:space="preserve"> – </t>
        </r>
        <r>
          <rPr>
            <sz val="9"/>
            <color indexed="81"/>
            <rFont val="돋움"/>
            <family val="3"/>
            <charset val="129"/>
          </rPr>
          <t>판매자</t>
        </r>
        <r>
          <rPr>
            <sz val="9"/>
            <color indexed="81"/>
            <rFont val="Tahoma"/>
            <family val="2"/>
          </rPr>
          <t xml:space="preserve"> </t>
        </r>
        <r>
          <rPr>
            <sz val="9"/>
            <color indexed="81"/>
            <rFont val="돋움"/>
            <family val="3"/>
            <charset val="129"/>
          </rPr>
          <t>설정</t>
        </r>
        <r>
          <rPr>
            <sz val="9"/>
            <color indexed="81"/>
            <rFont val="Tahoma"/>
            <family val="2"/>
          </rPr>
          <t xml:space="preserve"> </t>
        </r>
        <r>
          <rPr>
            <sz val="9"/>
            <color indexed="81"/>
            <rFont val="돋움"/>
            <family val="3"/>
            <charset val="129"/>
          </rPr>
          <t>할인</t>
        </r>
        <r>
          <rPr>
            <sz val="9"/>
            <color indexed="81"/>
            <rFont val="Tahoma"/>
            <family val="2"/>
          </rPr>
          <t>) * 3%</t>
        </r>
      </text>
    </comment>
    <comment ref="Z102" authorId="0" shapeId="0" xr:uid="{F7851BC5-BB81-4936-93F9-18E3C764E9E5}">
      <text>
        <r>
          <rPr>
            <b/>
            <sz val="9"/>
            <color indexed="81"/>
            <rFont val="Tahoma"/>
            <family val="2"/>
          </rPr>
          <t>user:</t>
        </r>
        <r>
          <rPr>
            <sz val="9"/>
            <color indexed="81"/>
            <rFont val="Tahoma"/>
            <family val="2"/>
          </rPr>
          <t xml:space="preserve">
(</t>
        </r>
        <r>
          <rPr>
            <sz val="9"/>
            <color indexed="81"/>
            <rFont val="돋움"/>
            <family val="3"/>
            <charset val="129"/>
          </rPr>
          <t>상품</t>
        </r>
        <r>
          <rPr>
            <sz val="9"/>
            <color indexed="81"/>
            <rFont val="Tahoma"/>
            <family val="2"/>
          </rPr>
          <t xml:space="preserve"> </t>
        </r>
        <r>
          <rPr>
            <sz val="9"/>
            <color indexed="81"/>
            <rFont val="돋움"/>
            <family val="3"/>
            <charset val="129"/>
          </rPr>
          <t>등재가</t>
        </r>
        <r>
          <rPr>
            <sz val="9"/>
            <color indexed="81"/>
            <rFont val="Tahoma"/>
            <family val="2"/>
          </rPr>
          <t xml:space="preserve"> – </t>
        </r>
        <r>
          <rPr>
            <sz val="9"/>
            <color indexed="81"/>
            <rFont val="돋움"/>
            <family val="3"/>
            <charset val="129"/>
          </rPr>
          <t>판매자</t>
        </r>
        <r>
          <rPr>
            <sz val="9"/>
            <color indexed="81"/>
            <rFont val="Tahoma"/>
            <family val="2"/>
          </rPr>
          <t xml:space="preserve"> </t>
        </r>
        <r>
          <rPr>
            <sz val="9"/>
            <color indexed="81"/>
            <rFont val="돋움"/>
            <family val="3"/>
            <charset val="129"/>
          </rPr>
          <t>설정</t>
        </r>
        <r>
          <rPr>
            <sz val="9"/>
            <color indexed="81"/>
            <rFont val="Tahoma"/>
            <family val="2"/>
          </rPr>
          <t xml:space="preserve"> </t>
        </r>
        <r>
          <rPr>
            <sz val="9"/>
            <color indexed="81"/>
            <rFont val="돋움"/>
            <family val="3"/>
            <charset val="129"/>
          </rPr>
          <t>할인</t>
        </r>
        <r>
          <rPr>
            <sz val="9"/>
            <color indexed="81"/>
            <rFont val="Tahoma"/>
            <family val="2"/>
          </rPr>
          <t>) * 3%</t>
        </r>
      </text>
    </comment>
    <comment ref="Z112" authorId="0" shapeId="0" xr:uid="{6E043861-F3C1-4863-8C10-BFCE0493B08F}">
      <text>
        <r>
          <rPr>
            <b/>
            <sz val="9"/>
            <color indexed="81"/>
            <rFont val="Tahoma"/>
            <family val="2"/>
          </rPr>
          <t>user:</t>
        </r>
        <r>
          <rPr>
            <sz val="9"/>
            <color indexed="81"/>
            <rFont val="Tahoma"/>
            <family val="2"/>
          </rPr>
          <t xml:space="preserve">
(</t>
        </r>
        <r>
          <rPr>
            <sz val="9"/>
            <color indexed="81"/>
            <rFont val="돋움"/>
            <family val="3"/>
            <charset val="129"/>
          </rPr>
          <t>상품</t>
        </r>
        <r>
          <rPr>
            <sz val="9"/>
            <color indexed="81"/>
            <rFont val="Tahoma"/>
            <family val="2"/>
          </rPr>
          <t xml:space="preserve"> </t>
        </r>
        <r>
          <rPr>
            <sz val="9"/>
            <color indexed="81"/>
            <rFont val="돋움"/>
            <family val="3"/>
            <charset val="129"/>
          </rPr>
          <t>등재가</t>
        </r>
        <r>
          <rPr>
            <sz val="9"/>
            <color indexed="81"/>
            <rFont val="Tahoma"/>
            <family val="2"/>
          </rPr>
          <t xml:space="preserve"> – </t>
        </r>
        <r>
          <rPr>
            <sz val="9"/>
            <color indexed="81"/>
            <rFont val="돋움"/>
            <family val="3"/>
            <charset val="129"/>
          </rPr>
          <t>판매자</t>
        </r>
        <r>
          <rPr>
            <sz val="9"/>
            <color indexed="81"/>
            <rFont val="Tahoma"/>
            <family val="2"/>
          </rPr>
          <t xml:space="preserve"> </t>
        </r>
        <r>
          <rPr>
            <sz val="9"/>
            <color indexed="81"/>
            <rFont val="돋움"/>
            <family val="3"/>
            <charset val="129"/>
          </rPr>
          <t>설정</t>
        </r>
        <r>
          <rPr>
            <sz val="9"/>
            <color indexed="81"/>
            <rFont val="Tahoma"/>
            <family val="2"/>
          </rPr>
          <t xml:space="preserve"> </t>
        </r>
        <r>
          <rPr>
            <sz val="9"/>
            <color indexed="81"/>
            <rFont val="돋움"/>
            <family val="3"/>
            <charset val="129"/>
          </rPr>
          <t>할인</t>
        </r>
        <r>
          <rPr>
            <sz val="9"/>
            <color indexed="81"/>
            <rFont val="Tahoma"/>
            <family val="2"/>
          </rPr>
          <t>) * 3%</t>
        </r>
      </text>
    </comment>
    <comment ref="Z117" authorId="0" shapeId="0" xr:uid="{57A946E2-DEF8-4D55-9C49-6803930EDAEC}">
      <text>
        <r>
          <rPr>
            <b/>
            <sz val="9"/>
            <color indexed="81"/>
            <rFont val="Tahoma"/>
            <family val="2"/>
          </rPr>
          <t>user:</t>
        </r>
        <r>
          <rPr>
            <sz val="9"/>
            <color indexed="81"/>
            <rFont val="Tahoma"/>
            <family val="2"/>
          </rPr>
          <t xml:space="preserve">
(</t>
        </r>
        <r>
          <rPr>
            <sz val="9"/>
            <color indexed="81"/>
            <rFont val="돋움"/>
            <family val="3"/>
            <charset val="129"/>
          </rPr>
          <t>상품</t>
        </r>
        <r>
          <rPr>
            <sz val="9"/>
            <color indexed="81"/>
            <rFont val="Tahoma"/>
            <family val="2"/>
          </rPr>
          <t xml:space="preserve"> </t>
        </r>
        <r>
          <rPr>
            <sz val="9"/>
            <color indexed="81"/>
            <rFont val="돋움"/>
            <family val="3"/>
            <charset val="129"/>
          </rPr>
          <t>등재가</t>
        </r>
        <r>
          <rPr>
            <sz val="9"/>
            <color indexed="81"/>
            <rFont val="Tahoma"/>
            <family val="2"/>
          </rPr>
          <t xml:space="preserve"> – </t>
        </r>
        <r>
          <rPr>
            <sz val="9"/>
            <color indexed="81"/>
            <rFont val="돋움"/>
            <family val="3"/>
            <charset val="129"/>
          </rPr>
          <t>판매자</t>
        </r>
        <r>
          <rPr>
            <sz val="9"/>
            <color indexed="81"/>
            <rFont val="Tahoma"/>
            <family val="2"/>
          </rPr>
          <t xml:space="preserve"> </t>
        </r>
        <r>
          <rPr>
            <sz val="9"/>
            <color indexed="81"/>
            <rFont val="돋움"/>
            <family val="3"/>
            <charset val="129"/>
          </rPr>
          <t>설정</t>
        </r>
        <r>
          <rPr>
            <sz val="9"/>
            <color indexed="81"/>
            <rFont val="Tahoma"/>
            <family val="2"/>
          </rPr>
          <t xml:space="preserve"> </t>
        </r>
        <r>
          <rPr>
            <sz val="9"/>
            <color indexed="81"/>
            <rFont val="돋움"/>
            <family val="3"/>
            <charset val="129"/>
          </rPr>
          <t>할인</t>
        </r>
        <r>
          <rPr>
            <sz val="9"/>
            <color indexed="81"/>
            <rFont val="Tahoma"/>
            <family val="2"/>
          </rPr>
          <t>) * 3%</t>
        </r>
      </text>
    </comment>
    <comment ref="Z127" authorId="0" shapeId="0" xr:uid="{57DF7180-EC99-4CFF-8B16-45740AB7EB68}">
      <text>
        <r>
          <rPr>
            <b/>
            <sz val="9"/>
            <color indexed="81"/>
            <rFont val="Tahoma"/>
            <family val="2"/>
          </rPr>
          <t>user:</t>
        </r>
        <r>
          <rPr>
            <sz val="9"/>
            <color indexed="81"/>
            <rFont val="Tahoma"/>
            <family val="2"/>
          </rPr>
          <t xml:space="preserve">
(</t>
        </r>
        <r>
          <rPr>
            <sz val="9"/>
            <color indexed="81"/>
            <rFont val="돋움"/>
            <family val="3"/>
            <charset val="129"/>
          </rPr>
          <t>상품</t>
        </r>
        <r>
          <rPr>
            <sz val="9"/>
            <color indexed="81"/>
            <rFont val="Tahoma"/>
            <family val="2"/>
          </rPr>
          <t xml:space="preserve"> </t>
        </r>
        <r>
          <rPr>
            <sz val="9"/>
            <color indexed="81"/>
            <rFont val="돋움"/>
            <family val="3"/>
            <charset val="129"/>
          </rPr>
          <t>등재가</t>
        </r>
        <r>
          <rPr>
            <sz val="9"/>
            <color indexed="81"/>
            <rFont val="Tahoma"/>
            <family val="2"/>
          </rPr>
          <t xml:space="preserve"> – </t>
        </r>
        <r>
          <rPr>
            <sz val="9"/>
            <color indexed="81"/>
            <rFont val="돋움"/>
            <family val="3"/>
            <charset val="129"/>
          </rPr>
          <t>판매자</t>
        </r>
        <r>
          <rPr>
            <sz val="9"/>
            <color indexed="81"/>
            <rFont val="Tahoma"/>
            <family val="2"/>
          </rPr>
          <t xml:space="preserve"> </t>
        </r>
        <r>
          <rPr>
            <sz val="9"/>
            <color indexed="81"/>
            <rFont val="돋움"/>
            <family val="3"/>
            <charset val="129"/>
          </rPr>
          <t>설정</t>
        </r>
        <r>
          <rPr>
            <sz val="9"/>
            <color indexed="81"/>
            <rFont val="Tahoma"/>
            <family val="2"/>
          </rPr>
          <t xml:space="preserve"> </t>
        </r>
        <r>
          <rPr>
            <sz val="9"/>
            <color indexed="81"/>
            <rFont val="돋움"/>
            <family val="3"/>
            <charset val="129"/>
          </rPr>
          <t>할인</t>
        </r>
        <r>
          <rPr>
            <sz val="9"/>
            <color indexed="81"/>
            <rFont val="Tahoma"/>
            <family val="2"/>
          </rPr>
          <t>) * 3%</t>
        </r>
      </text>
    </comment>
    <comment ref="Z135" authorId="0" shapeId="0" xr:uid="{BE679E94-D7E6-476A-BF3C-75ACB791A29C}">
      <text>
        <r>
          <rPr>
            <b/>
            <sz val="9"/>
            <color indexed="81"/>
            <rFont val="Tahoma"/>
            <family val="2"/>
          </rPr>
          <t>user:</t>
        </r>
        <r>
          <rPr>
            <sz val="9"/>
            <color indexed="81"/>
            <rFont val="Tahoma"/>
            <family val="2"/>
          </rPr>
          <t xml:space="preserve">
(</t>
        </r>
        <r>
          <rPr>
            <sz val="9"/>
            <color indexed="81"/>
            <rFont val="돋움"/>
            <family val="3"/>
            <charset val="129"/>
          </rPr>
          <t>상품</t>
        </r>
        <r>
          <rPr>
            <sz val="9"/>
            <color indexed="81"/>
            <rFont val="Tahoma"/>
            <family val="2"/>
          </rPr>
          <t xml:space="preserve"> </t>
        </r>
        <r>
          <rPr>
            <sz val="9"/>
            <color indexed="81"/>
            <rFont val="돋움"/>
            <family val="3"/>
            <charset val="129"/>
          </rPr>
          <t>등재가</t>
        </r>
        <r>
          <rPr>
            <sz val="9"/>
            <color indexed="81"/>
            <rFont val="Tahoma"/>
            <family val="2"/>
          </rPr>
          <t xml:space="preserve"> – </t>
        </r>
        <r>
          <rPr>
            <sz val="9"/>
            <color indexed="81"/>
            <rFont val="돋움"/>
            <family val="3"/>
            <charset val="129"/>
          </rPr>
          <t>판매자</t>
        </r>
        <r>
          <rPr>
            <sz val="9"/>
            <color indexed="81"/>
            <rFont val="Tahoma"/>
            <family val="2"/>
          </rPr>
          <t xml:space="preserve"> </t>
        </r>
        <r>
          <rPr>
            <sz val="9"/>
            <color indexed="81"/>
            <rFont val="돋움"/>
            <family val="3"/>
            <charset val="129"/>
          </rPr>
          <t>설정</t>
        </r>
        <r>
          <rPr>
            <sz val="9"/>
            <color indexed="81"/>
            <rFont val="Tahoma"/>
            <family val="2"/>
          </rPr>
          <t xml:space="preserve"> </t>
        </r>
        <r>
          <rPr>
            <sz val="9"/>
            <color indexed="81"/>
            <rFont val="돋움"/>
            <family val="3"/>
            <charset val="129"/>
          </rPr>
          <t>할인</t>
        </r>
        <r>
          <rPr>
            <sz val="9"/>
            <color indexed="81"/>
            <rFont val="Tahoma"/>
            <family val="2"/>
          </rPr>
          <t>) * 3%</t>
        </r>
      </text>
    </comment>
    <comment ref="Z142" authorId="0" shapeId="0" xr:uid="{974DD5B8-726A-4FCC-AA8B-AF6B40765E2A}">
      <text>
        <r>
          <rPr>
            <b/>
            <sz val="9"/>
            <color indexed="81"/>
            <rFont val="Tahoma"/>
            <family val="2"/>
          </rPr>
          <t>user:</t>
        </r>
        <r>
          <rPr>
            <sz val="9"/>
            <color indexed="81"/>
            <rFont val="Tahoma"/>
            <family val="2"/>
          </rPr>
          <t xml:space="preserve">
(</t>
        </r>
        <r>
          <rPr>
            <sz val="9"/>
            <color indexed="81"/>
            <rFont val="돋움"/>
            <family val="3"/>
            <charset val="129"/>
          </rPr>
          <t>상품</t>
        </r>
        <r>
          <rPr>
            <sz val="9"/>
            <color indexed="81"/>
            <rFont val="Tahoma"/>
            <family val="2"/>
          </rPr>
          <t xml:space="preserve"> </t>
        </r>
        <r>
          <rPr>
            <sz val="9"/>
            <color indexed="81"/>
            <rFont val="돋움"/>
            <family val="3"/>
            <charset val="129"/>
          </rPr>
          <t>등재가</t>
        </r>
        <r>
          <rPr>
            <sz val="9"/>
            <color indexed="81"/>
            <rFont val="Tahoma"/>
            <family val="2"/>
          </rPr>
          <t xml:space="preserve"> – </t>
        </r>
        <r>
          <rPr>
            <sz val="9"/>
            <color indexed="81"/>
            <rFont val="돋움"/>
            <family val="3"/>
            <charset val="129"/>
          </rPr>
          <t>판매자</t>
        </r>
        <r>
          <rPr>
            <sz val="9"/>
            <color indexed="81"/>
            <rFont val="Tahoma"/>
            <family val="2"/>
          </rPr>
          <t xml:space="preserve"> </t>
        </r>
        <r>
          <rPr>
            <sz val="9"/>
            <color indexed="81"/>
            <rFont val="돋움"/>
            <family val="3"/>
            <charset val="129"/>
          </rPr>
          <t>설정</t>
        </r>
        <r>
          <rPr>
            <sz val="9"/>
            <color indexed="81"/>
            <rFont val="Tahoma"/>
            <family val="2"/>
          </rPr>
          <t xml:space="preserve"> </t>
        </r>
        <r>
          <rPr>
            <sz val="9"/>
            <color indexed="81"/>
            <rFont val="돋움"/>
            <family val="3"/>
            <charset val="129"/>
          </rPr>
          <t>할인</t>
        </r>
        <r>
          <rPr>
            <sz val="9"/>
            <color indexed="81"/>
            <rFont val="Tahoma"/>
            <family val="2"/>
          </rPr>
          <t>) * 3%</t>
        </r>
      </text>
    </comment>
    <comment ref="Z149" authorId="0" shapeId="0" xr:uid="{11A71A82-207F-4A31-A158-2CCD87496A21}">
      <text>
        <r>
          <rPr>
            <b/>
            <sz val="9"/>
            <color indexed="81"/>
            <rFont val="Tahoma"/>
            <family val="2"/>
          </rPr>
          <t>user:</t>
        </r>
        <r>
          <rPr>
            <sz val="9"/>
            <color indexed="81"/>
            <rFont val="Tahoma"/>
            <family val="2"/>
          </rPr>
          <t xml:space="preserve">
(</t>
        </r>
        <r>
          <rPr>
            <sz val="9"/>
            <color indexed="81"/>
            <rFont val="돋움"/>
            <family val="3"/>
            <charset val="129"/>
          </rPr>
          <t>상품</t>
        </r>
        <r>
          <rPr>
            <sz val="9"/>
            <color indexed="81"/>
            <rFont val="Tahoma"/>
            <family val="2"/>
          </rPr>
          <t xml:space="preserve"> </t>
        </r>
        <r>
          <rPr>
            <sz val="9"/>
            <color indexed="81"/>
            <rFont val="돋움"/>
            <family val="3"/>
            <charset val="129"/>
          </rPr>
          <t>등재가</t>
        </r>
        <r>
          <rPr>
            <sz val="9"/>
            <color indexed="81"/>
            <rFont val="Tahoma"/>
            <family val="2"/>
          </rPr>
          <t xml:space="preserve"> – </t>
        </r>
        <r>
          <rPr>
            <sz val="9"/>
            <color indexed="81"/>
            <rFont val="돋움"/>
            <family val="3"/>
            <charset val="129"/>
          </rPr>
          <t>판매자</t>
        </r>
        <r>
          <rPr>
            <sz val="9"/>
            <color indexed="81"/>
            <rFont val="Tahoma"/>
            <family val="2"/>
          </rPr>
          <t xml:space="preserve"> </t>
        </r>
        <r>
          <rPr>
            <sz val="9"/>
            <color indexed="81"/>
            <rFont val="돋움"/>
            <family val="3"/>
            <charset val="129"/>
          </rPr>
          <t>설정</t>
        </r>
        <r>
          <rPr>
            <sz val="9"/>
            <color indexed="81"/>
            <rFont val="Tahoma"/>
            <family val="2"/>
          </rPr>
          <t xml:space="preserve"> </t>
        </r>
        <r>
          <rPr>
            <sz val="9"/>
            <color indexed="81"/>
            <rFont val="돋움"/>
            <family val="3"/>
            <charset val="129"/>
          </rPr>
          <t>할인</t>
        </r>
        <r>
          <rPr>
            <sz val="9"/>
            <color indexed="81"/>
            <rFont val="Tahoma"/>
            <family val="2"/>
          </rPr>
          <t>) * 3%</t>
        </r>
      </text>
    </comment>
    <comment ref="Z156" authorId="0" shapeId="0" xr:uid="{E76E0119-F478-4966-91F6-ACBAACABD36F}">
      <text>
        <r>
          <rPr>
            <b/>
            <sz val="9"/>
            <color indexed="81"/>
            <rFont val="Tahoma"/>
            <family val="2"/>
          </rPr>
          <t>user:</t>
        </r>
        <r>
          <rPr>
            <sz val="9"/>
            <color indexed="81"/>
            <rFont val="Tahoma"/>
            <family val="2"/>
          </rPr>
          <t xml:space="preserve">
(</t>
        </r>
        <r>
          <rPr>
            <sz val="9"/>
            <color indexed="81"/>
            <rFont val="돋움"/>
            <family val="3"/>
            <charset val="129"/>
          </rPr>
          <t>상품</t>
        </r>
        <r>
          <rPr>
            <sz val="9"/>
            <color indexed="81"/>
            <rFont val="Tahoma"/>
            <family val="2"/>
          </rPr>
          <t xml:space="preserve"> </t>
        </r>
        <r>
          <rPr>
            <sz val="9"/>
            <color indexed="81"/>
            <rFont val="돋움"/>
            <family val="3"/>
            <charset val="129"/>
          </rPr>
          <t>등재가</t>
        </r>
        <r>
          <rPr>
            <sz val="9"/>
            <color indexed="81"/>
            <rFont val="Tahoma"/>
            <family val="2"/>
          </rPr>
          <t xml:space="preserve"> – </t>
        </r>
        <r>
          <rPr>
            <sz val="9"/>
            <color indexed="81"/>
            <rFont val="돋움"/>
            <family val="3"/>
            <charset val="129"/>
          </rPr>
          <t>판매자</t>
        </r>
        <r>
          <rPr>
            <sz val="9"/>
            <color indexed="81"/>
            <rFont val="Tahoma"/>
            <family val="2"/>
          </rPr>
          <t xml:space="preserve"> </t>
        </r>
        <r>
          <rPr>
            <sz val="9"/>
            <color indexed="81"/>
            <rFont val="돋움"/>
            <family val="3"/>
            <charset val="129"/>
          </rPr>
          <t>설정</t>
        </r>
        <r>
          <rPr>
            <sz val="9"/>
            <color indexed="81"/>
            <rFont val="Tahoma"/>
            <family val="2"/>
          </rPr>
          <t xml:space="preserve"> </t>
        </r>
        <r>
          <rPr>
            <sz val="9"/>
            <color indexed="81"/>
            <rFont val="돋움"/>
            <family val="3"/>
            <charset val="129"/>
          </rPr>
          <t>할인</t>
        </r>
        <r>
          <rPr>
            <sz val="9"/>
            <color indexed="81"/>
            <rFont val="Tahoma"/>
            <family val="2"/>
          </rPr>
          <t>) * 3%</t>
        </r>
      </text>
    </comment>
    <comment ref="Z164" authorId="0" shapeId="0" xr:uid="{A76E735C-2920-4CE7-A3A8-F2B627D3B74F}">
      <text>
        <r>
          <rPr>
            <b/>
            <sz val="9"/>
            <color indexed="81"/>
            <rFont val="Tahoma"/>
            <family val="2"/>
          </rPr>
          <t>user:</t>
        </r>
        <r>
          <rPr>
            <sz val="9"/>
            <color indexed="81"/>
            <rFont val="Tahoma"/>
            <family val="2"/>
          </rPr>
          <t xml:space="preserve">
(</t>
        </r>
        <r>
          <rPr>
            <sz val="9"/>
            <color indexed="81"/>
            <rFont val="돋움"/>
            <family val="3"/>
            <charset val="129"/>
          </rPr>
          <t>상품</t>
        </r>
        <r>
          <rPr>
            <sz val="9"/>
            <color indexed="81"/>
            <rFont val="Tahoma"/>
            <family val="2"/>
          </rPr>
          <t xml:space="preserve"> </t>
        </r>
        <r>
          <rPr>
            <sz val="9"/>
            <color indexed="81"/>
            <rFont val="돋움"/>
            <family val="3"/>
            <charset val="129"/>
          </rPr>
          <t>등재가</t>
        </r>
        <r>
          <rPr>
            <sz val="9"/>
            <color indexed="81"/>
            <rFont val="Tahoma"/>
            <family val="2"/>
          </rPr>
          <t xml:space="preserve"> – </t>
        </r>
        <r>
          <rPr>
            <sz val="9"/>
            <color indexed="81"/>
            <rFont val="돋움"/>
            <family val="3"/>
            <charset val="129"/>
          </rPr>
          <t>판매자</t>
        </r>
        <r>
          <rPr>
            <sz val="9"/>
            <color indexed="81"/>
            <rFont val="Tahoma"/>
            <family val="2"/>
          </rPr>
          <t xml:space="preserve"> </t>
        </r>
        <r>
          <rPr>
            <sz val="9"/>
            <color indexed="81"/>
            <rFont val="돋움"/>
            <family val="3"/>
            <charset val="129"/>
          </rPr>
          <t>설정</t>
        </r>
        <r>
          <rPr>
            <sz val="9"/>
            <color indexed="81"/>
            <rFont val="Tahoma"/>
            <family val="2"/>
          </rPr>
          <t xml:space="preserve"> </t>
        </r>
        <r>
          <rPr>
            <sz val="9"/>
            <color indexed="81"/>
            <rFont val="돋움"/>
            <family val="3"/>
            <charset val="129"/>
          </rPr>
          <t>할인</t>
        </r>
        <r>
          <rPr>
            <sz val="9"/>
            <color indexed="81"/>
            <rFont val="Tahoma"/>
            <family val="2"/>
          </rPr>
          <t>) * 3%</t>
        </r>
      </text>
    </comment>
    <comment ref="Z171" authorId="0" shapeId="0" xr:uid="{7ABE9C1F-E6AB-4223-A09E-1971663ACBFC}">
      <text>
        <r>
          <rPr>
            <b/>
            <sz val="9"/>
            <color indexed="81"/>
            <rFont val="Tahoma"/>
            <family val="2"/>
          </rPr>
          <t>user:</t>
        </r>
        <r>
          <rPr>
            <sz val="9"/>
            <color indexed="81"/>
            <rFont val="Tahoma"/>
            <family val="2"/>
          </rPr>
          <t xml:space="preserve">
(</t>
        </r>
        <r>
          <rPr>
            <sz val="9"/>
            <color indexed="81"/>
            <rFont val="돋움"/>
            <family val="3"/>
            <charset val="129"/>
          </rPr>
          <t>상품</t>
        </r>
        <r>
          <rPr>
            <sz val="9"/>
            <color indexed="81"/>
            <rFont val="Tahoma"/>
            <family val="2"/>
          </rPr>
          <t xml:space="preserve"> </t>
        </r>
        <r>
          <rPr>
            <sz val="9"/>
            <color indexed="81"/>
            <rFont val="돋움"/>
            <family val="3"/>
            <charset val="129"/>
          </rPr>
          <t>등재가</t>
        </r>
        <r>
          <rPr>
            <sz val="9"/>
            <color indexed="81"/>
            <rFont val="Tahoma"/>
            <family val="2"/>
          </rPr>
          <t xml:space="preserve"> – </t>
        </r>
        <r>
          <rPr>
            <sz val="9"/>
            <color indexed="81"/>
            <rFont val="돋움"/>
            <family val="3"/>
            <charset val="129"/>
          </rPr>
          <t>판매자</t>
        </r>
        <r>
          <rPr>
            <sz val="9"/>
            <color indexed="81"/>
            <rFont val="Tahoma"/>
            <family val="2"/>
          </rPr>
          <t xml:space="preserve"> </t>
        </r>
        <r>
          <rPr>
            <sz val="9"/>
            <color indexed="81"/>
            <rFont val="돋움"/>
            <family val="3"/>
            <charset val="129"/>
          </rPr>
          <t>설정</t>
        </r>
        <r>
          <rPr>
            <sz val="9"/>
            <color indexed="81"/>
            <rFont val="Tahoma"/>
            <family val="2"/>
          </rPr>
          <t xml:space="preserve"> </t>
        </r>
        <r>
          <rPr>
            <sz val="9"/>
            <color indexed="81"/>
            <rFont val="돋움"/>
            <family val="3"/>
            <charset val="129"/>
          </rPr>
          <t>할인</t>
        </r>
        <r>
          <rPr>
            <sz val="9"/>
            <color indexed="81"/>
            <rFont val="Tahoma"/>
            <family val="2"/>
          </rPr>
          <t>) * 3%</t>
        </r>
      </text>
    </comment>
    <comment ref="Z178" authorId="0" shapeId="0" xr:uid="{3F6CFDB2-BDEA-4BF5-97D9-E8AB3D8895F9}">
      <text>
        <r>
          <rPr>
            <b/>
            <sz val="9"/>
            <color indexed="81"/>
            <rFont val="Tahoma"/>
            <family val="2"/>
          </rPr>
          <t>user:</t>
        </r>
        <r>
          <rPr>
            <sz val="9"/>
            <color indexed="81"/>
            <rFont val="Tahoma"/>
            <family val="2"/>
          </rPr>
          <t xml:space="preserve">
(</t>
        </r>
        <r>
          <rPr>
            <sz val="9"/>
            <color indexed="81"/>
            <rFont val="돋움"/>
            <family val="3"/>
            <charset val="129"/>
          </rPr>
          <t>상품</t>
        </r>
        <r>
          <rPr>
            <sz val="9"/>
            <color indexed="81"/>
            <rFont val="Tahoma"/>
            <family val="2"/>
          </rPr>
          <t xml:space="preserve"> </t>
        </r>
        <r>
          <rPr>
            <sz val="9"/>
            <color indexed="81"/>
            <rFont val="돋움"/>
            <family val="3"/>
            <charset val="129"/>
          </rPr>
          <t>등재가</t>
        </r>
        <r>
          <rPr>
            <sz val="9"/>
            <color indexed="81"/>
            <rFont val="Tahoma"/>
            <family val="2"/>
          </rPr>
          <t xml:space="preserve"> – </t>
        </r>
        <r>
          <rPr>
            <sz val="9"/>
            <color indexed="81"/>
            <rFont val="돋움"/>
            <family val="3"/>
            <charset val="129"/>
          </rPr>
          <t>판매자</t>
        </r>
        <r>
          <rPr>
            <sz val="9"/>
            <color indexed="81"/>
            <rFont val="Tahoma"/>
            <family val="2"/>
          </rPr>
          <t xml:space="preserve"> </t>
        </r>
        <r>
          <rPr>
            <sz val="9"/>
            <color indexed="81"/>
            <rFont val="돋움"/>
            <family val="3"/>
            <charset val="129"/>
          </rPr>
          <t>설정</t>
        </r>
        <r>
          <rPr>
            <sz val="9"/>
            <color indexed="81"/>
            <rFont val="Tahoma"/>
            <family val="2"/>
          </rPr>
          <t xml:space="preserve"> </t>
        </r>
        <r>
          <rPr>
            <sz val="9"/>
            <color indexed="81"/>
            <rFont val="돋움"/>
            <family val="3"/>
            <charset val="129"/>
          </rPr>
          <t>할인</t>
        </r>
        <r>
          <rPr>
            <sz val="9"/>
            <color indexed="81"/>
            <rFont val="Tahoma"/>
            <family val="2"/>
          </rPr>
          <t>) * 3%</t>
        </r>
      </text>
    </comment>
    <comment ref="Z183" authorId="0" shapeId="0" xr:uid="{56411908-B997-4DF4-B18F-A287EF944AA6}">
      <text>
        <r>
          <rPr>
            <b/>
            <sz val="9"/>
            <color indexed="81"/>
            <rFont val="Tahoma"/>
            <family val="2"/>
          </rPr>
          <t>user:</t>
        </r>
        <r>
          <rPr>
            <sz val="9"/>
            <color indexed="81"/>
            <rFont val="Tahoma"/>
            <family val="2"/>
          </rPr>
          <t xml:space="preserve">
(</t>
        </r>
        <r>
          <rPr>
            <sz val="9"/>
            <color indexed="81"/>
            <rFont val="돋움"/>
            <family val="3"/>
            <charset val="129"/>
          </rPr>
          <t>상품</t>
        </r>
        <r>
          <rPr>
            <sz val="9"/>
            <color indexed="81"/>
            <rFont val="Tahoma"/>
            <family val="2"/>
          </rPr>
          <t xml:space="preserve"> </t>
        </r>
        <r>
          <rPr>
            <sz val="9"/>
            <color indexed="81"/>
            <rFont val="돋움"/>
            <family val="3"/>
            <charset val="129"/>
          </rPr>
          <t>등재가</t>
        </r>
        <r>
          <rPr>
            <sz val="9"/>
            <color indexed="81"/>
            <rFont val="Tahoma"/>
            <family val="2"/>
          </rPr>
          <t xml:space="preserve"> – </t>
        </r>
        <r>
          <rPr>
            <sz val="9"/>
            <color indexed="81"/>
            <rFont val="돋움"/>
            <family val="3"/>
            <charset val="129"/>
          </rPr>
          <t>판매자</t>
        </r>
        <r>
          <rPr>
            <sz val="9"/>
            <color indexed="81"/>
            <rFont val="Tahoma"/>
            <family val="2"/>
          </rPr>
          <t xml:space="preserve"> </t>
        </r>
        <r>
          <rPr>
            <sz val="9"/>
            <color indexed="81"/>
            <rFont val="돋움"/>
            <family val="3"/>
            <charset val="129"/>
          </rPr>
          <t>설정</t>
        </r>
        <r>
          <rPr>
            <sz val="9"/>
            <color indexed="81"/>
            <rFont val="Tahoma"/>
            <family val="2"/>
          </rPr>
          <t xml:space="preserve"> </t>
        </r>
        <r>
          <rPr>
            <sz val="9"/>
            <color indexed="81"/>
            <rFont val="돋움"/>
            <family val="3"/>
            <charset val="129"/>
          </rPr>
          <t>할인</t>
        </r>
        <r>
          <rPr>
            <sz val="9"/>
            <color indexed="81"/>
            <rFont val="Tahoma"/>
            <family val="2"/>
          </rPr>
          <t>) * 3%</t>
        </r>
      </text>
    </comment>
    <comment ref="Z190" authorId="0" shapeId="0" xr:uid="{9F4E97AC-C169-4DE6-974D-B26C86398DED}">
      <text>
        <r>
          <rPr>
            <b/>
            <sz val="9"/>
            <color indexed="81"/>
            <rFont val="Tahoma"/>
            <family val="2"/>
          </rPr>
          <t>user:</t>
        </r>
        <r>
          <rPr>
            <sz val="9"/>
            <color indexed="81"/>
            <rFont val="Tahoma"/>
            <family val="2"/>
          </rPr>
          <t xml:space="preserve">
(</t>
        </r>
        <r>
          <rPr>
            <sz val="9"/>
            <color indexed="81"/>
            <rFont val="돋움"/>
            <family val="3"/>
            <charset val="129"/>
          </rPr>
          <t>상품</t>
        </r>
        <r>
          <rPr>
            <sz val="9"/>
            <color indexed="81"/>
            <rFont val="Tahoma"/>
            <family val="2"/>
          </rPr>
          <t xml:space="preserve"> </t>
        </r>
        <r>
          <rPr>
            <sz val="9"/>
            <color indexed="81"/>
            <rFont val="돋움"/>
            <family val="3"/>
            <charset val="129"/>
          </rPr>
          <t>등재가</t>
        </r>
        <r>
          <rPr>
            <sz val="9"/>
            <color indexed="81"/>
            <rFont val="Tahoma"/>
            <family val="2"/>
          </rPr>
          <t xml:space="preserve"> – </t>
        </r>
        <r>
          <rPr>
            <sz val="9"/>
            <color indexed="81"/>
            <rFont val="돋움"/>
            <family val="3"/>
            <charset val="129"/>
          </rPr>
          <t>판매자</t>
        </r>
        <r>
          <rPr>
            <sz val="9"/>
            <color indexed="81"/>
            <rFont val="Tahoma"/>
            <family val="2"/>
          </rPr>
          <t xml:space="preserve"> </t>
        </r>
        <r>
          <rPr>
            <sz val="9"/>
            <color indexed="81"/>
            <rFont val="돋움"/>
            <family val="3"/>
            <charset val="129"/>
          </rPr>
          <t>설정</t>
        </r>
        <r>
          <rPr>
            <sz val="9"/>
            <color indexed="81"/>
            <rFont val="Tahoma"/>
            <family val="2"/>
          </rPr>
          <t xml:space="preserve"> </t>
        </r>
        <r>
          <rPr>
            <sz val="9"/>
            <color indexed="81"/>
            <rFont val="돋움"/>
            <family val="3"/>
            <charset val="129"/>
          </rPr>
          <t>할인</t>
        </r>
        <r>
          <rPr>
            <sz val="9"/>
            <color indexed="81"/>
            <rFont val="Tahoma"/>
            <family val="2"/>
          </rPr>
          <t>) * 3%</t>
        </r>
      </text>
    </comment>
    <comment ref="Z197" authorId="0" shapeId="0" xr:uid="{62E9F8DD-7665-4008-914D-2FE29305676D}">
      <text>
        <r>
          <rPr>
            <b/>
            <sz val="9"/>
            <color indexed="81"/>
            <rFont val="Tahoma"/>
            <family val="2"/>
          </rPr>
          <t>user:</t>
        </r>
        <r>
          <rPr>
            <sz val="9"/>
            <color indexed="81"/>
            <rFont val="Tahoma"/>
            <family val="2"/>
          </rPr>
          <t xml:space="preserve">
(</t>
        </r>
        <r>
          <rPr>
            <sz val="9"/>
            <color indexed="81"/>
            <rFont val="돋움"/>
            <family val="3"/>
            <charset val="129"/>
          </rPr>
          <t>상품</t>
        </r>
        <r>
          <rPr>
            <sz val="9"/>
            <color indexed="81"/>
            <rFont val="Tahoma"/>
            <family val="2"/>
          </rPr>
          <t xml:space="preserve"> </t>
        </r>
        <r>
          <rPr>
            <sz val="9"/>
            <color indexed="81"/>
            <rFont val="돋움"/>
            <family val="3"/>
            <charset val="129"/>
          </rPr>
          <t>등재가</t>
        </r>
        <r>
          <rPr>
            <sz val="9"/>
            <color indexed="81"/>
            <rFont val="Tahoma"/>
            <family val="2"/>
          </rPr>
          <t xml:space="preserve"> – </t>
        </r>
        <r>
          <rPr>
            <sz val="9"/>
            <color indexed="81"/>
            <rFont val="돋움"/>
            <family val="3"/>
            <charset val="129"/>
          </rPr>
          <t>판매자</t>
        </r>
        <r>
          <rPr>
            <sz val="9"/>
            <color indexed="81"/>
            <rFont val="Tahoma"/>
            <family val="2"/>
          </rPr>
          <t xml:space="preserve"> </t>
        </r>
        <r>
          <rPr>
            <sz val="9"/>
            <color indexed="81"/>
            <rFont val="돋움"/>
            <family val="3"/>
            <charset val="129"/>
          </rPr>
          <t>설정</t>
        </r>
        <r>
          <rPr>
            <sz val="9"/>
            <color indexed="81"/>
            <rFont val="Tahoma"/>
            <family val="2"/>
          </rPr>
          <t xml:space="preserve"> </t>
        </r>
        <r>
          <rPr>
            <sz val="9"/>
            <color indexed="81"/>
            <rFont val="돋움"/>
            <family val="3"/>
            <charset val="129"/>
          </rPr>
          <t>할인</t>
        </r>
        <r>
          <rPr>
            <sz val="9"/>
            <color indexed="81"/>
            <rFont val="Tahoma"/>
            <family val="2"/>
          </rPr>
          <t>) * 3%</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user</author>
  </authors>
  <commentList>
    <comment ref="Z14" authorId="0" shapeId="0" xr:uid="{0A8AABF9-9A32-4FCB-A9D3-0894E9B4CFAD}">
      <text>
        <r>
          <rPr>
            <b/>
            <sz val="9"/>
            <color indexed="81"/>
            <rFont val="Tahoma"/>
            <family val="2"/>
          </rPr>
          <t>user:</t>
        </r>
        <r>
          <rPr>
            <sz val="9"/>
            <color indexed="81"/>
            <rFont val="Tahoma"/>
            <family val="2"/>
          </rPr>
          <t xml:space="preserve">
(</t>
        </r>
        <r>
          <rPr>
            <sz val="9"/>
            <color indexed="81"/>
            <rFont val="돋움"/>
            <family val="3"/>
            <charset val="129"/>
          </rPr>
          <t>상품</t>
        </r>
        <r>
          <rPr>
            <sz val="9"/>
            <color indexed="81"/>
            <rFont val="Tahoma"/>
            <family val="2"/>
          </rPr>
          <t xml:space="preserve"> </t>
        </r>
        <r>
          <rPr>
            <sz val="9"/>
            <color indexed="81"/>
            <rFont val="돋움"/>
            <family val="3"/>
            <charset val="129"/>
          </rPr>
          <t>등재가</t>
        </r>
        <r>
          <rPr>
            <sz val="9"/>
            <color indexed="81"/>
            <rFont val="Tahoma"/>
            <family val="2"/>
          </rPr>
          <t xml:space="preserve"> – </t>
        </r>
        <r>
          <rPr>
            <sz val="9"/>
            <color indexed="81"/>
            <rFont val="돋움"/>
            <family val="3"/>
            <charset val="129"/>
          </rPr>
          <t>판매자</t>
        </r>
        <r>
          <rPr>
            <sz val="9"/>
            <color indexed="81"/>
            <rFont val="Tahoma"/>
            <family val="2"/>
          </rPr>
          <t xml:space="preserve"> </t>
        </r>
        <r>
          <rPr>
            <sz val="9"/>
            <color indexed="81"/>
            <rFont val="돋움"/>
            <family val="3"/>
            <charset val="129"/>
          </rPr>
          <t>설정</t>
        </r>
        <r>
          <rPr>
            <sz val="9"/>
            <color indexed="81"/>
            <rFont val="Tahoma"/>
            <family val="2"/>
          </rPr>
          <t xml:space="preserve"> </t>
        </r>
        <r>
          <rPr>
            <sz val="9"/>
            <color indexed="81"/>
            <rFont val="돋움"/>
            <family val="3"/>
            <charset val="129"/>
          </rPr>
          <t>할인</t>
        </r>
        <r>
          <rPr>
            <sz val="9"/>
            <color indexed="81"/>
            <rFont val="Tahoma"/>
            <family val="2"/>
          </rPr>
          <t>) * 3%</t>
        </r>
      </text>
    </comment>
    <comment ref="Z19" authorId="0" shapeId="0" xr:uid="{23FD7A9F-B10E-4E5C-BFD7-4B5BF1C474A0}">
      <text>
        <r>
          <rPr>
            <b/>
            <sz val="9"/>
            <color indexed="81"/>
            <rFont val="Tahoma"/>
            <family val="2"/>
          </rPr>
          <t>user:</t>
        </r>
        <r>
          <rPr>
            <sz val="9"/>
            <color indexed="81"/>
            <rFont val="Tahoma"/>
            <family val="2"/>
          </rPr>
          <t xml:space="preserve">
(</t>
        </r>
        <r>
          <rPr>
            <sz val="9"/>
            <color indexed="81"/>
            <rFont val="돋움"/>
            <family val="3"/>
            <charset val="129"/>
          </rPr>
          <t>상품</t>
        </r>
        <r>
          <rPr>
            <sz val="9"/>
            <color indexed="81"/>
            <rFont val="Tahoma"/>
            <family val="2"/>
          </rPr>
          <t xml:space="preserve"> </t>
        </r>
        <r>
          <rPr>
            <sz val="9"/>
            <color indexed="81"/>
            <rFont val="돋움"/>
            <family val="3"/>
            <charset val="129"/>
          </rPr>
          <t>등재가</t>
        </r>
        <r>
          <rPr>
            <sz val="9"/>
            <color indexed="81"/>
            <rFont val="Tahoma"/>
            <family val="2"/>
          </rPr>
          <t xml:space="preserve"> – </t>
        </r>
        <r>
          <rPr>
            <sz val="9"/>
            <color indexed="81"/>
            <rFont val="돋움"/>
            <family val="3"/>
            <charset val="129"/>
          </rPr>
          <t>판매자</t>
        </r>
        <r>
          <rPr>
            <sz val="9"/>
            <color indexed="81"/>
            <rFont val="Tahoma"/>
            <family val="2"/>
          </rPr>
          <t xml:space="preserve"> </t>
        </r>
        <r>
          <rPr>
            <sz val="9"/>
            <color indexed="81"/>
            <rFont val="돋움"/>
            <family val="3"/>
            <charset val="129"/>
          </rPr>
          <t>설정</t>
        </r>
        <r>
          <rPr>
            <sz val="9"/>
            <color indexed="81"/>
            <rFont val="Tahoma"/>
            <family val="2"/>
          </rPr>
          <t xml:space="preserve"> </t>
        </r>
        <r>
          <rPr>
            <sz val="9"/>
            <color indexed="81"/>
            <rFont val="돋움"/>
            <family val="3"/>
            <charset val="129"/>
          </rPr>
          <t>할인</t>
        </r>
        <r>
          <rPr>
            <sz val="9"/>
            <color indexed="81"/>
            <rFont val="Tahoma"/>
            <family val="2"/>
          </rPr>
          <t>) * 3%</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user</author>
  </authors>
  <commentList>
    <comment ref="V12" authorId="0" shapeId="0" xr:uid="{7657C9CF-C7D2-4AF1-8E1E-785E9019A1FA}">
      <text>
        <r>
          <rPr>
            <b/>
            <sz val="9"/>
            <color indexed="81"/>
            <rFont val="Tahoma"/>
            <family val="2"/>
          </rPr>
          <t>user:</t>
        </r>
        <r>
          <rPr>
            <sz val="9"/>
            <color indexed="81"/>
            <rFont val="Tahoma"/>
            <family val="2"/>
          </rPr>
          <t xml:space="preserve">
(</t>
        </r>
        <r>
          <rPr>
            <sz val="9"/>
            <color indexed="81"/>
            <rFont val="돋움"/>
            <family val="3"/>
            <charset val="129"/>
          </rPr>
          <t>상품</t>
        </r>
        <r>
          <rPr>
            <sz val="9"/>
            <color indexed="81"/>
            <rFont val="Tahoma"/>
            <family val="2"/>
          </rPr>
          <t xml:space="preserve"> </t>
        </r>
        <r>
          <rPr>
            <sz val="9"/>
            <color indexed="81"/>
            <rFont val="돋움"/>
            <family val="3"/>
            <charset val="129"/>
          </rPr>
          <t>등재가</t>
        </r>
        <r>
          <rPr>
            <sz val="9"/>
            <color indexed="81"/>
            <rFont val="Tahoma"/>
            <family val="2"/>
          </rPr>
          <t xml:space="preserve"> – </t>
        </r>
        <r>
          <rPr>
            <sz val="9"/>
            <color indexed="81"/>
            <rFont val="돋움"/>
            <family val="3"/>
            <charset val="129"/>
          </rPr>
          <t>판매자</t>
        </r>
        <r>
          <rPr>
            <sz val="9"/>
            <color indexed="81"/>
            <rFont val="Tahoma"/>
            <family val="2"/>
          </rPr>
          <t xml:space="preserve"> </t>
        </r>
        <r>
          <rPr>
            <sz val="9"/>
            <color indexed="81"/>
            <rFont val="돋움"/>
            <family val="3"/>
            <charset val="129"/>
          </rPr>
          <t>설정</t>
        </r>
        <r>
          <rPr>
            <sz val="9"/>
            <color indexed="81"/>
            <rFont val="Tahoma"/>
            <family val="2"/>
          </rPr>
          <t xml:space="preserve"> </t>
        </r>
        <r>
          <rPr>
            <sz val="9"/>
            <color indexed="81"/>
            <rFont val="돋움"/>
            <family val="3"/>
            <charset val="129"/>
          </rPr>
          <t>할인</t>
        </r>
        <r>
          <rPr>
            <sz val="9"/>
            <color indexed="81"/>
            <rFont val="Tahoma"/>
            <family val="2"/>
          </rPr>
          <t>) * 3%</t>
        </r>
      </text>
    </comment>
    <comment ref="V19" authorId="0" shapeId="0" xr:uid="{93F75831-9493-41A3-8F10-855924348F24}">
      <text>
        <r>
          <rPr>
            <b/>
            <sz val="9"/>
            <color indexed="81"/>
            <rFont val="Tahoma"/>
            <family val="2"/>
          </rPr>
          <t>user:</t>
        </r>
        <r>
          <rPr>
            <sz val="9"/>
            <color indexed="81"/>
            <rFont val="Tahoma"/>
            <family val="2"/>
          </rPr>
          <t xml:space="preserve">
(</t>
        </r>
        <r>
          <rPr>
            <sz val="9"/>
            <color indexed="81"/>
            <rFont val="돋움"/>
            <family val="3"/>
            <charset val="129"/>
          </rPr>
          <t>상품</t>
        </r>
        <r>
          <rPr>
            <sz val="9"/>
            <color indexed="81"/>
            <rFont val="Tahoma"/>
            <family val="2"/>
          </rPr>
          <t xml:space="preserve"> </t>
        </r>
        <r>
          <rPr>
            <sz val="9"/>
            <color indexed="81"/>
            <rFont val="돋움"/>
            <family val="3"/>
            <charset val="129"/>
          </rPr>
          <t>등재가</t>
        </r>
        <r>
          <rPr>
            <sz val="9"/>
            <color indexed="81"/>
            <rFont val="Tahoma"/>
            <family val="2"/>
          </rPr>
          <t xml:space="preserve"> – </t>
        </r>
        <r>
          <rPr>
            <sz val="9"/>
            <color indexed="81"/>
            <rFont val="돋움"/>
            <family val="3"/>
            <charset val="129"/>
          </rPr>
          <t>판매자</t>
        </r>
        <r>
          <rPr>
            <sz val="9"/>
            <color indexed="81"/>
            <rFont val="Tahoma"/>
            <family val="2"/>
          </rPr>
          <t xml:space="preserve"> </t>
        </r>
        <r>
          <rPr>
            <sz val="9"/>
            <color indexed="81"/>
            <rFont val="돋움"/>
            <family val="3"/>
            <charset val="129"/>
          </rPr>
          <t>설정</t>
        </r>
        <r>
          <rPr>
            <sz val="9"/>
            <color indexed="81"/>
            <rFont val="Tahoma"/>
            <family val="2"/>
          </rPr>
          <t xml:space="preserve"> </t>
        </r>
        <r>
          <rPr>
            <sz val="9"/>
            <color indexed="81"/>
            <rFont val="돋움"/>
            <family val="3"/>
            <charset val="129"/>
          </rPr>
          <t>할인</t>
        </r>
        <r>
          <rPr>
            <sz val="9"/>
            <color indexed="81"/>
            <rFont val="Tahoma"/>
            <family val="2"/>
          </rPr>
          <t>) * 3%</t>
        </r>
      </text>
    </comment>
    <comment ref="V26" authorId="0" shapeId="0" xr:uid="{D92F1740-028B-41FC-A693-3ED0185A9236}">
      <text>
        <r>
          <rPr>
            <b/>
            <sz val="9"/>
            <color indexed="81"/>
            <rFont val="Tahoma"/>
            <family val="2"/>
          </rPr>
          <t>user:</t>
        </r>
        <r>
          <rPr>
            <sz val="9"/>
            <color indexed="81"/>
            <rFont val="Tahoma"/>
            <family val="2"/>
          </rPr>
          <t xml:space="preserve">
(</t>
        </r>
        <r>
          <rPr>
            <sz val="9"/>
            <color indexed="81"/>
            <rFont val="돋움"/>
            <family val="3"/>
            <charset val="129"/>
          </rPr>
          <t>상품</t>
        </r>
        <r>
          <rPr>
            <sz val="9"/>
            <color indexed="81"/>
            <rFont val="Tahoma"/>
            <family val="2"/>
          </rPr>
          <t xml:space="preserve"> </t>
        </r>
        <r>
          <rPr>
            <sz val="9"/>
            <color indexed="81"/>
            <rFont val="돋움"/>
            <family val="3"/>
            <charset val="129"/>
          </rPr>
          <t>등재가</t>
        </r>
        <r>
          <rPr>
            <sz val="9"/>
            <color indexed="81"/>
            <rFont val="Tahoma"/>
            <family val="2"/>
          </rPr>
          <t xml:space="preserve"> – </t>
        </r>
        <r>
          <rPr>
            <sz val="9"/>
            <color indexed="81"/>
            <rFont val="돋움"/>
            <family val="3"/>
            <charset val="129"/>
          </rPr>
          <t>판매자</t>
        </r>
        <r>
          <rPr>
            <sz val="9"/>
            <color indexed="81"/>
            <rFont val="Tahoma"/>
            <family val="2"/>
          </rPr>
          <t xml:space="preserve"> </t>
        </r>
        <r>
          <rPr>
            <sz val="9"/>
            <color indexed="81"/>
            <rFont val="돋움"/>
            <family val="3"/>
            <charset val="129"/>
          </rPr>
          <t>설정</t>
        </r>
        <r>
          <rPr>
            <sz val="9"/>
            <color indexed="81"/>
            <rFont val="Tahoma"/>
            <family val="2"/>
          </rPr>
          <t xml:space="preserve"> </t>
        </r>
        <r>
          <rPr>
            <sz val="9"/>
            <color indexed="81"/>
            <rFont val="돋움"/>
            <family val="3"/>
            <charset val="129"/>
          </rPr>
          <t>할인</t>
        </r>
        <r>
          <rPr>
            <sz val="9"/>
            <color indexed="81"/>
            <rFont val="Tahoma"/>
            <family val="2"/>
          </rPr>
          <t>) * 3%</t>
        </r>
      </text>
    </comment>
    <comment ref="V31" authorId="0" shapeId="0" xr:uid="{CBC0A0EE-CAB7-4771-9E73-F2B6FE74BC51}">
      <text>
        <r>
          <rPr>
            <b/>
            <sz val="9"/>
            <color indexed="81"/>
            <rFont val="Tahoma"/>
            <family val="2"/>
          </rPr>
          <t>user:</t>
        </r>
        <r>
          <rPr>
            <sz val="9"/>
            <color indexed="81"/>
            <rFont val="Tahoma"/>
            <family val="2"/>
          </rPr>
          <t xml:space="preserve">
(</t>
        </r>
        <r>
          <rPr>
            <sz val="9"/>
            <color indexed="81"/>
            <rFont val="돋움"/>
            <family val="3"/>
            <charset val="129"/>
          </rPr>
          <t>상품</t>
        </r>
        <r>
          <rPr>
            <sz val="9"/>
            <color indexed="81"/>
            <rFont val="Tahoma"/>
            <family val="2"/>
          </rPr>
          <t xml:space="preserve"> </t>
        </r>
        <r>
          <rPr>
            <sz val="9"/>
            <color indexed="81"/>
            <rFont val="돋움"/>
            <family val="3"/>
            <charset val="129"/>
          </rPr>
          <t>등재가</t>
        </r>
        <r>
          <rPr>
            <sz val="9"/>
            <color indexed="81"/>
            <rFont val="Tahoma"/>
            <family val="2"/>
          </rPr>
          <t xml:space="preserve"> – </t>
        </r>
        <r>
          <rPr>
            <sz val="9"/>
            <color indexed="81"/>
            <rFont val="돋움"/>
            <family val="3"/>
            <charset val="129"/>
          </rPr>
          <t>판매자</t>
        </r>
        <r>
          <rPr>
            <sz val="9"/>
            <color indexed="81"/>
            <rFont val="Tahoma"/>
            <family val="2"/>
          </rPr>
          <t xml:space="preserve"> </t>
        </r>
        <r>
          <rPr>
            <sz val="9"/>
            <color indexed="81"/>
            <rFont val="돋움"/>
            <family val="3"/>
            <charset val="129"/>
          </rPr>
          <t>설정</t>
        </r>
        <r>
          <rPr>
            <sz val="9"/>
            <color indexed="81"/>
            <rFont val="Tahoma"/>
            <family val="2"/>
          </rPr>
          <t xml:space="preserve"> </t>
        </r>
        <r>
          <rPr>
            <sz val="9"/>
            <color indexed="81"/>
            <rFont val="돋움"/>
            <family val="3"/>
            <charset val="129"/>
          </rPr>
          <t>할인</t>
        </r>
        <r>
          <rPr>
            <sz val="9"/>
            <color indexed="81"/>
            <rFont val="Tahoma"/>
            <family val="2"/>
          </rPr>
          <t>) * 3%</t>
        </r>
      </text>
    </comment>
    <comment ref="V36" authorId="0" shapeId="0" xr:uid="{A92C214F-33F6-4F2D-8A68-7C3CA5FC320F}">
      <text>
        <r>
          <rPr>
            <b/>
            <sz val="9"/>
            <color indexed="81"/>
            <rFont val="Tahoma"/>
            <family val="2"/>
          </rPr>
          <t>user:</t>
        </r>
        <r>
          <rPr>
            <sz val="9"/>
            <color indexed="81"/>
            <rFont val="Tahoma"/>
            <family val="2"/>
          </rPr>
          <t xml:space="preserve">
(</t>
        </r>
        <r>
          <rPr>
            <sz val="9"/>
            <color indexed="81"/>
            <rFont val="돋움"/>
            <family val="3"/>
            <charset val="129"/>
          </rPr>
          <t>상품</t>
        </r>
        <r>
          <rPr>
            <sz val="9"/>
            <color indexed="81"/>
            <rFont val="Tahoma"/>
            <family val="2"/>
          </rPr>
          <t xml:space="preserve"> </t>
        </r>
        <r>
          <rPr>
            <sz val="9"/>
            <color indexed="81"/>
            <rFont val="돋움"/>
            <family val="3"/>
            <charset val="129"/>
          </rPr>
          <t>등재가</t>
        </r>
        <r>
          <rPr>
            <sz val="9"/>
            <color indexed="81"/>
            <rFont val="Tahoma"/>
            <family val="2"/>
          </rPr>
          <t xml:space="preserve"> – </t>
        </r>
        <r>
          <rPr>
            <sz val="9"/>
            <color indexed="81"/>
            <rFont val="돋움"/>
            <family val="3"/>
            <charset val="129"/>
          </rPr>
          <t>판매자</t>
        </r>
        <r>
          <rPr>
            <sz val="9"/>
            <color indexed="81"/>
            <rFont val="Tahoma"/>
            <family val="2"/>
          </rPr>
          <t xml:space="preserve"> </t>
        </r>
        <r>
          <rPr>
            <sz val="9"/>
            <color indexed="81"/>
            <rFont val="돋움"/>
            <family val="3"/>
            <charset val="129"/>
          </rPr>
          <t>설정</t>
        </r>
        <r>
          <rPr>
            <sz val="9"/>
            <color indexed="81"/>
            <rFont val="Tahoma"/>
            <family val="2"/>
          </rPr>
          <t xml:space="preserve"> </t>
        </r>
        <r>
          <rPr>
            <sz val="9"/>
            <color indexed="81"/>
            <rFont val="돋움"/>
            <family val="3"/>
            <charset val="129"/>
          </rPr>
          <t>할인</t>
        </r>
        <r>
          <rPr>
            <sz val="9"/>
            <color indexed="81"/>
            <rFont val="Tahoma"/>
            <family val="2"/>
          </rPr>
          <t>) * 3%</t>
        </r>
      </text>
    </comment>
    <comment ref="V41" authorId="0" shapeId="0" xr:uid="{2FA7E96D-0875-4D95-8993-3DDB289A5B91}">
      <text>
        <r>
          <rPr>
            <b/>
            <sz val="9"/>
            <color indexed="81"/>
            <rFont val="Tahoma"/>
            <family val="2"/>
          </rPr>
          <t>user:</t>
        </r>
        <r>
          <rPr>
            <sz val="9"/>
            <color indexed="81"/>
            <rFont val="Tahoma"/>
            <family val="2"/>
          </rPr>
          <t xml:space="preserve">
(</t>
        </r>
        <r>
          <rPr>
            <sz val="9"/>
            <color indexed="81"/>
            <rFont val="돋움"/>
            <family val="3"/>
            <charset val="129"/>
          </rPr>
          <t>상품</t>
        </r>
        <r>
          <rPr>
            <sz val="9"/>
            <color indexed="81"/>
            <rFont val="Tahoma"/>
            <family val="2"/>
          </rPr>
          <t xml:space="preserve"> </t>
        </r>
        <r>
          <rPr>
            <sz val="9"/>
            <color indexed="81"/>
            <rFont val="돋움"/>
            <family val="3"/>
            <charset val="129"/>
          </rPr>
          <t>등재가</t>
        </r>
        <r>
          <rPr>
            <sz val="9"/>
            <color indexed="81"/>
            <rFont val="Tahoma"/>
            <family val="2"/>
          </rPr>
          <t xml:space="preserve"> – </t>
        </r>
        <r>
          <rPr>
            <sz val="9"/>
            <color indexed="81"/>
            <rFont val="돋움"/>
            <family val="3"/>
            <charset val="129"/>
          </rPr>
          <t>판매자</t>
        </r>
        <r>
          <rPr>
            <sz val="9"/>
            <color indexed="81"/>
            <rFont val="Tahoma"/>
            <family val="2"/>
          </rPr>
          <t xml:space="preserve"> </t>
        </r>
        <r>
          <rPr>
            <sz val="9"/>
            <color indexed="81"/>
            <rFont val="돋움"/>
            <family val="3"/>
            <charset val="129"/>
          </rPr>
          <t>설정</t>
        </r>
        <r>
          <rPr>
            <sz val="9"/>
            <color indexed="81"/>
            <rFont val="Tahoma"/>
            <family val="2"/>
          </rPr>
          <t xml:space="preserve"> </t>
        </r>
        <r>
          <rPr>
            <sz val="9"/>
            <color indexed="81"/>
            <rFont val="돋움"/>
            <family val="3"/>
            <charset val="129"/>
          </rPr>
          <t>할인</t>
        </r>
        <r>
          <rPr>
            <sz val="9"/>
            <color indexed="81"/>
            <rFont val="Tahoma"/>
            <family val="2"/>
          </rPr>
          <t>) * 3%</t>
        </r>
      </text>
    </comment>
    <comment ref="V46" authorId="0" shapeId="0" xr:uid="{5EF96678-6901-4C9C-AE5B-7E8DFAB14F68}">
      <text>
        <r>
          <rPr>
            <b/>
            <sz val="9"/>
            <color indexed="81"/>
            <rFont val="Tahoma"/>
            <family val="2"/>
          </rPr>
          <t>user:</t>
        </r>
        <r>
          <rPr>
            <sz val="9"/>
            <color indexed="81"/>
            <rFont val="Tahoma"/>
            <family val="2"/>
          </rPr>
          <t xml:space="preserve">
(</t>
        </r>
        <r>
          <rPr>
            <sz val="9"/>
            <color indexed="81"/>
            <rFont val="돋움"/>
            <family val="3"/>
            <charset val="129"/>
          </rPr>
          <t>상품</t>
        </r>
        <r>
          <rPr>
            <sz val="9"/>
            <color indexed="81"/>
            <rFont val="Tahoma"/>
            <family val="2"/>
          </rPr>
          <t xml:space="preserve"> </t>
        </r>
        <r>
          <rPr>
            <sz val="9"/>
            <color indexed="81"/>
            <rFont val="돋움"/>
            <family val="3"/>
            <charset val="129"/>
          </rPr>
          <t>등재가</t>
        </r>
        <r>
          <rPr>
            <sz val="9"/>
            <color indexed="81"/>
            <rFont val="Tahoma"/>
            <family val="2"/>
          </rPr>
          <t xml:space="preserve"> – </t>
        </r>
        <r>
          <rPr>
            <sz val="9"/>
            <color indexed="81"/>
            <rFont val="돋움"/>
            <family val="3"/>
            <charset val="129"/>
          </rPr>
          <t>판매자</t>
        </r>
        <r>
          <rPr>
            <sz val="9"/>
            <color indexed="81"/>
            <rFont val="Tahoma"/>
            <family val="2"/>
          </rPr>
          <t xml:space="preserve"> </t>
        </r>
        <r>
          <rPr>
            <sz val="9"/>
            <color indexed="81"/>
            <rFont val="돋움"/>
            <family val="3"/>
            <charset val="129"/>
          </rPr>
          <t>설정</t>
        </r>
        <r>
          <rPr>
            <sz val="9"/>
            <color indexed="81"/>
            <rFont val="Tahoma"/>
            <family val="2"/>
          </rPr>
          <t xml:space="preserve"> </t>
        </r>
        <r>
          <rPr>
            <sz val="9"/>
            <color indexed="81"/>
            <rFont val="돋움"/>
            <family val="3"/>
            <charset val="129"/>
          </rPr>
          <t>할인</t>
        </r>
        <r>
          <rPr>
            <sz val="9"/>
            <color indexed="81"/>
            <rFont val="Tahoma"/>
            <family val="2"/>
          </rPr>
          <t>) * 3%</t>
        </r>
      </text>
    </comment>
    <comment ref="V56" authorId="0" shapeId="0" xr:uid="{DF5BB0CC-F44A-4B16-99D9-882EF2AA360D}">
      <text>
        <r>
          <rPr>
            <b/>
            <sz val="9"/>
            <color indexed="81"/>
            <rFont val="Tahoma"/>
            <family val="2"/>
          </rPr>
          <t>user:</t>
        </r>
        <r>
          <rPr>
            <sz val="9"/>
            <color indexed="81"/>
            <rFont val="Tahoma"/>
            <family val="2"/>
          </rPr>
          <t xml:space="preserve">
(</t>
        </r>
        <r>
          <rPr>
            <sz val="9"/>
            <color indexed="81"/>
            <rFont val="돋움"/>
            <family val="3"/>
            <charset val="129"/>
          </rPr>
          <t>상품</t>
        </r>
        <r>
          <rPr>
            <sz val="9"/>
            <color indexed="81"/>
            <rFont val="Tahoma"/>
            <family val="2"/>
          </rPr>
          <t xml:space="preserve"> </t>
        </r>
        <r>
          <rPr>
            <sz val="9"/>
            <color indexed="81"/>
            <rFont val="돋움"/>
            <family val="3"/>
            <charset val="129"/>
          </rPr>
          <t>등재가</t>
        </r>
        <r>
          <rPr>
            <sz val="9"/>
            <color indexed="81"/>
            <rFont val="Tahoma"/>
            <family val="2"/>
          </rPr>
          <t xml:space="preserve"> – </t>
        </r>
        <r>
          <rPr>
            <sz val="9"/>
            <color indexed="81"/>
            <rFont val="돋움"/>
            <family val="3"/>
            <charset val="129"/>
          </rPr>
          <t>판매자</t>
        </r>
        <r>
          <rPr>
            <sz val="9"/>
            <color indexed="81"/>
            <rFont val="Tahoma"/>
            <family val="2"/>
          </rPr>
          <t xml:space="preserve"> </t>
        </r>
        <r>
          <rPr>
            <sz val="9"/>
            <color indexed="81"/>
            <rFont val="돋움"/>
            <family val="3"/>
            <charset val="129"/>
          </rPr>
          <t>설정</t>
        </r>
        <r>
          <rPr>
            <sz val="9"/>
            <color indexed="81"/>
            <rFont val="Tahoma"/>
            <family val="2"/>
          </rPr>
          <t xml:space="preserve"> </t>
        </r>
        <r>
          <rPr>
            <sz val="9"/>
            <color indexed="81"/>
            <rFont val="돋움"/>
            <family val="3"/>
            <charset val="129"/>
          </rPr>
          <t>할인</t>
        </r>
        <r>
          <rPr>
            <sz val="9"/>
            <color indexed="81"/>
            <rFont val="Tahoma"/>
            <family val="2"/>
          </rPr>
          <t>) * 3%</t>
        </r>
      </text>
    </comment>
    <comment ref="V63" authorId="0" shapeId="0" xr:uid="{0301733B-0379-4AF2-AFCE-BF9C7574D6CD}">
      <text>
        <r>
          <rPr>
            <b/>
            <sz val="9"/>
            <color indexed="81"/>
            <rFont val="Tahoma"/>
            <family val="2"/>
          </rPr>
          <t>user:</t>
        </r>
        <r>
          <rPr>
            <sz val="9"/>
            <color indexed="81"/>
            <rFont val="Tahoma"/>
            <family val="2"/>
          </rPr>
          <t xml:space="preserve">
(</t>
        </r>
        <r>
          <rPr>
            <sz val="9"/>
            <color indexed="81"/>
            <rFont val="돋움"/>
            <family val="3"/>
            <charset val="129"/>
          </rPr>
          <t>상품</t>
        </r>
        <r>
          <rPr>
            <sz val="9"/>
            <color indexed="81"/>
            <rFont val="Tahoma"/>
            <family val="2"/>
          </rPr>
          <t xml:space="preserve"> </t>
        </r>
        <r>
          <rPr>
            <sz val="9"/>
            <color indexed="81"/>
            <rFont val="돋움"/>
            <family val="3"/>
            <charset val="129"/>
          </rPr>
          <t>등재가</t>
        </r>
        <r>
          <rPr>
            <sz val="9"/>
            <color indexed="81"/>
            <rFont val="Tahoma"/>
            <family val="2"/>
          </rPr>
          <t xml:space="preserve"> – </t>
        </r>
        <r>
          <rPr>
            <sz val="9"/>
            <color indexed="81"/>
            <rFont val="돋움"/>
            <family val="3"/>
            <charset val="129"/>
          </rPr>
          <t>판매자</t>
        </r>
        <r>
          <rPr>
            <sz val="9"/>
            <color indexed="81"/>
            <rFont val="Tahoma"/>
            <family val="2"/>
          </rPr>
          <t xml:space="preserve"> </t>
        </r>
        <r>
          <rPr>
            <sz val="9"/>
            <color indexed="81"/>
            <rFont val="돋움"/>
            <family val="3"/>
            <charset val="129"/>
          </rPr>
          <t>설정</t>
        </r>
        <r>
          <rPr>
            <sz val="9"/>
            <color indexed="81"/>
            <rFont val="Tahoma"/>
            <family val="2"/>
          </rPr>
          <t xml:space="preserve"> </t>
        </r>
        <r>
          <rPr>
            <sz val="9"/>
            <color indexed="81"/>
            <rFont val="돋움"/>
            <family val="3"/>
            <charset val="129"/>
          </rPr>
          <t>할인</t>
        </r>
        <r>
          <rPr>
            <sz val="9"/>
            <color indexed="81"/>
            <rFont val="Tahoma"/>
            <family val="2"/>
          </rPr>
          <t>) * 3%</t>
        </r>
      </text>
    </comment>
    <comment ref="V73" authorId="0" shapeId="0" xr:uid="{6CF0BD9C-02EA-4B28-B4A1-8F389E5F6909}">
      <text>
        <r>
          <rPr>
            <b/>
            <sz val="9"/>
            <color indexed="81"/>
            <rFont val="Tahoma"/>
            <family val="2"/>
          </rPr>
          <t>user:</t>
        </r>
        <r>
          <rPr>
            <sz val="9"/>
            <color indexed="81"/>
            <rFont val="Tahoma"/>
            <family val="2"/>
          </rPr>
          <t xml:space="preserve">
(</t>
        </r>
        <r>
          <rPr>
            <sz val="9"/>
            <color indexed="81"/>
            <rFont val="돋움"/>
            <family val="3"/>
            <charset val="129"/>
          </rPr>
          <t>상품</t>
        </r>
        <r>
          <rPr>
            <sz val="9"/>
            <color indexed="81"/>
            <rFont val="Tahoma"/>
            <family val="2"/>
          </rPr>
          <t xml:space="preserve"> </t>
        </r>
        <r>
          <rPr>
            <sz val="9"/>
            <color indexed="81"/>
            <rFont val="돋움"/>
            <family val="3"/>
            <charset val="129"/>
          </rPr>
          <t>등재가</t>
        </r>
        <r>
          <rPr>
            <sz val="9"/>
            <color indexed="81"/>
            <rFont val="Tahoma"/>
            <family val="2"/>
          </rPr>
          <t xml:space="preserve"> – </t>
        </r>
        <r>
          <rPr>
            <sz val="9"/>
            <color indexed="81"/>
            <rFont val="돋움"/>
            <family val="3"/>
            <charset val="129"/>
          </rPr>
          <t>판매자</t>
        </r>
        <r>
          <rPr>
            <sz val="9"/>
            <color indexed="81"/>
            <rFont val="Tahoma"/>
            <family val="2"/>
          </rPr>
          <t xml:space="preserve"> </t>
        </r>
        <r>
          <rPr>
            <sz val="9"/>
            <color indexed="81"/>
            <rFont val="돋움"/>
            <family val="3"/>
            <charset val="129"/>
          </rPr>
          <t>설정</t>
        </r>
        <r>
          <rPr>
            <sz val="9"/>
            <color indexed="81"/>
            <rFont val="Tahoma"/>
            <family val="2"/>
          </rPr>
          <t xml:space="preserve"> </t>
        </r>
        <r>
          <rPr>
            <sz val="9"/>
            <color indexed="81"/>
            <rFont val="돋움"/>
            <family val="3"/>
            <charset val="129"/>
          </rPr>
          <t>할인</t>
        </r>
        <r>
          <rPr>
            <sz val="9"/>
            <color indexed="81"/>
            <rFont val="Tahoma"/>
            <family val="2"/>
          </rPr>
          <t>) * 3%</t>
        </r>
      </text>
    </comment>
    <comment ref="V80" authorId="0" shapeId="0" xr:uid="{B4665A89-8446-4F54-ABE2-BE9F73DB0E72}">
      <text>
        <r>
          <rPr>
            <b/>
            <sz val="9"/>
            <color indexed="81"/>
            <rFont val="Tahoma"/>
            <family val="2"/>
          </rPr>
          <t>user:</t>
        </r>
        <r>
          <rPr>
            <sz val="9"/>
            <color indexed="81"/>
            <rFont val="Tahoma"/>
            <family val="2"/>
          </rPr>
          <t xml:space="preserve">
(</t>
        </r>
        <r>
          <rPr>
            <sz val="9"/>
            <color indexed="81"/>
            <rFont val="돋움"/>
            <family val="3"/>
            <charset val="129"/>
          </rPr>
          <t>상품</t>
        </r>
        <r>
          <rPr>
            <sz val="9"/>
            <color indexed="81"/>
            <rFont val="Tahoma"/>
            <family val="2"/>
          </rPr>
          <t xml:space="preserve"> </t>
        </r>
        <r>
          <rPr>
            <sz val="9"/>
            <color indexed="81"/>
            <rFont val="돋움"/>
            <family val="3"/>
            <charset val="129"/>
          </rPr>
          <t>등재가</t>
        </r>
        <r>
          <rPr>
            <sz val="9"/>
            <color indexed="81"/>
            <rFont val="Tahoma"/>
            <family val="2"/>
          </rPr>
          <t xml:space="preserve"> – </t>
        </r>
        <r>
          <rPr>
            <sz val="9"/>
            <color indexed="81"/>
            <rFont val="돋움"/>
            <family val="3"/>
            <charset val="129"/>
          </rPr>
          <t>판매자</t>
        </r>
        <r>
          <rPr>
            <sz val="9"/>
            <color indexed="81"/>
            <rFont val="Tahoma"/>
            <family val="2"/>
          </rPr>
          <t xml:space="preserve"> </t>
        </r>
        <r>
          <rPr>
            <sz val="9"/>
            <color indexed="81"/>
            <rFont val="돋움"/>
            <family val="3"/>
            <charset val="129"/>
          </rPr>
          <t>설정</t>
        </r>
        <r>
          <rPr>
            <sz val="9"/>
            <color indexed="81"/>
            <rFont val="Tahoma"/>
            <family val="2"/>
          </rPr>
          <t xml:space="preserve"> </t>
        </r>
        <r>
          <rPr>
            <sz val="9"/>
            <color indexed="81"/>
            <rFont val="돋움"/>
            <family val="3"/>
            <charset val="129"/>
          </rPr>
          <t>할인</t>
        </r>
        <r>
          <rPr>
            <sz val="9"/>
            <color indexed="81"/>
            <rFont val="Tahoma"/>
            <family val="2"/>
          </rPr>
          <t>) * 3%</t>
        </r>
      </text>
    </comment>
    <comment ref="V87" authorId="0" shapeId="0" xr:uid="{92A0DAF2-90A2-4956-A284-2889E8F98897}">
      <text>
        <r>
          <rPr>
            <b/>
            <sz val="9"/>
            <color indexed="81"/>
            <rFont val="Tahoma"/>
            <family val="2"/>
          </rPr>
          <t>user:</t>
        </r>
        <r>
          <rPr>
            <sz val="9"/>
            <color indexed="81"/>
            <rFont val="Tahoma"/>
            <family val="2"/>
          </rPr>
          <t xml:space="preserve">
(</t>
        </r>
        <r>
          <rPr>
            <sz val="9"/>
            <color indexed="81"/>
            <rFont val="돋움"/>
            <family val="3"/>
            <charset val="129"/>
          </rPr>
          <t>상품</t>
        </r>
        <r>
          <rPr>
            <sz val="9"/>
            <color indexed="81"/>
            <rFont val="Tahoma"/>
            <family val="2"/>
          </rPr>
          <t xml:space="preserve"> </t>
        </r>
        <r>
          <rPr>
            <sz val="9"/>
            <color indexed="81"/>
            <rFont val="돋움"/>
            <family val="3"/>
            <charset val="129"/>
          </rPr>
          <t>등재가</t>
        </r>
        <r>
          <rPr>
            <sz val="9"/>
            <color indexed="81"/>
            <rFont val="Tahoma"/>
            <family val="2"/>
          </rPr>
          <t xml:space="preserve"> – </t>
        </r>
        <r>
          <rPr>
            <sz val="9"/>
            <color indexed="81"/>
            <rFont val="돋움"/>
            <family val="3"/>
            <charset val="129"/>
          </rPr>
          <t>판매자</t>
        </r>
        <r>
          <rPr>
            <sz val="9"/>
            <color indexed="81"/>
            <rFont val="Tahoma"/>
            <family val="2"/>
          </rPr>
          <t xml:space="preserve"> </t>
        </r>
        <r>
          <rPr>
            <sz val="9"/>
            <color indexed="81"/>
            <rFont val="돋움"/>
            <family val="3"/>
            <charset val="129"/>
          </rPr>
          <t>설정</t>
        </r>
        <r>
          <rPr>
            <sz val="9"/>
            <color indexed="81"/>
            <rFont val="Tahoma"/>
            <family val="2"/>
          </rPr>
          <t xml:space="preserve"> </t>
        </r>
        <r>
          <rPr>
            <sz val="9"/>
            <color indexed="81"/>
            <rFont val="돋움"/>
            <family val="3"/>
            <charset val="129"/>
          </rPr>
          <t>할인</t>
        </r>
        <r>
          <rPr>
            <sz val="9"/>
            <color indexed="81"/>
            <rFont val="Tahoma"/>
            <family val="2"/>
          </rPr>
          <t>) * 3%</t>
        </r>
      </text>
    </comment>
    <comment ref="V94" authorId="0" shapeId="0" xr:uid="{43FEE7C7-91F9-48CF-B439-E1E5AB46569B}">
      <text>
        <r>
          <rPr>
            <b/>
            <sz val="9"/>
            <color indexed="81"/>
            <rFont val="Tahoma"/>
            <family val="2"/>
          </rPr>
          <t>user:</t>
        </r>
        <r>
          <rPr>
            <sz val="9"/>
            <color indexed="81"/>
            <rFont val="Tahoma"/>
            <family val="2"/>
          </rPr>
          <t xml:space="preserve">
(</t>
        </r>
        <r>
          <rPr>
            <sz val="9"/>
            <color indexed="81"/>
            <rFont val="돋움"/>
            <family val="3"/>
            <charset val="129"/>
          </rPr>
          <t>상품</t>
        </r>
        <r>
          <rPr>
            <sz val="9"/>
            <color indexed="81"/>
            <rFont val="Tahoma"/>
            <family val="2"/>
          </rPr>
          <t xml:space="preserve"> </t>
        </r>
        <r>
          <rPr>
            <sz val="9"/>
            <color indexed="81"/>
            <rFont val="돋움"/>
            <family val="3"/>
            <charset val="129"/>
          </rPr>
          <t>등재가</t>
        </r>
        <r>
          <rPr>
            <sz val="9"/>
            <color indexed="81"/>
            <rFont val="Tahoma"/>
            <family val="2"/>
          </rPr>
          <t xml:space="preserve"> – </t>
        </r>
        <r>
          <rPr>
            <sz val="9"/>
            <color indexed="81"/>
            <rFont val="돋움"/>
            <family val="3"/>
            <charset val="129"/>
          </rPr>
          <t>판매자</t>
        </r>
        <r>
          <rPr>
            <sz val="9"/>
            <color indexed="81"/>
            <rFont val="Tahoma"/>
            <family val="2"/>
          </rPr>
          <t xml:space="preserve"> </t>
        </r>
        <r>
          <rPr>
            <sz val="9"/>
            <color indexed="81"/>
            <rFont val="돋움"/>
            <family val="3"/>
            <charset val="129"/>
          </rPr>
          <t>설정</t>
        </r>
        <r>
          <rPr>
            <sz val="9"/>
            <color indexed="81"/>
            <rFont val="Tahoma"/>
            <family val="2"/>
          </rPr>
          <t xml:space="preserve"> </t>
        </r>
        <r>
          <rPr>
            <sz val="9"/>
            <color indexed="81"/>
            <rFont val="돋움"/>
            <family val="3"/>
            <charset val="129"/>
          </rPr>
          <t>할인</t>
        </r>
        <r>
          <rPr>
            <sz val="9"/>
            <color indexed="81"/>
            <rFont val="Tahoma"/>
            <family val="2"/>
          </rPr>
          <t>) * 3%</t>
        </r>
      </text>
    </comment>
    <comment ref="V101" authorId="0" shapeId="0" xr:uid="{F71B07E8-C66A-4FCE-A0FE-0B97E7DB9536}">
      <text>
        <r>
          <rPr>
            <b/>
            <sz val="9"/>
            <color indexed="81"/>
            <rFont val="Tahoma"/>
            <family val="2"/>
          </rPr>
          <t>user:</t>
        </r>
        <r>
          <rPr>
            <sz val="9"/>
            <color indexed="81"/>
            <rFont val="Tahoma"/>
            <family val="2"/>
          </rPr>
          <t xml:space="preserve">
(</t>
        </r>
        <r>
          <rPr>
            <sz val="9"/>
            <color indexed="81"/>
            <rFont val="돋움"/>
            <family val="3"/>
            <charset val="129"/>
          </rPr>
          <t>상품</t>
        </r>
        <r>
          <rPr>
            <sz val="9"/>
            <color indexed="81"/>
            <rFont val="Tahoma"/>
            <family val="2"/>
          </rPr>
          <t xml:space="preserve"> </t>
        </r>
        <r>
          <rPr>
            <sz val="9"/>
            <color indexed="81"/>
            <rFont val="돋움"/>
            <family val="3"/>
            <charset val="129"/>
          </rPr>
          <t>등재가</t>
        </r>
        <r>
          <rPr>
            <sz val="9"/>
            <color indexed="81"/>
            <rFont val="Tahoma"/>
            <family val="2"/>
          </rPr>
          <t xml:space="preserve"> – </t>
        </r>
        <r>
          <rPr>
            <sz val="9"/>
            <color indexed="81"/>
            <rFont val="돋움"/>
            <family val="3"/>
            <charset val="129"/>
          </rPr>
          <t>판매자</t>
        </r>
        <r>
          <rPr>
            <sz val="9"/>
            <color indexed="81"/>
            <rFont val="Tahoma"/>
            <family val="2"/>
          </rPr>
          <t xml:space="preserve"> </t>
        </r>
        <r>
          <rPr>
            <sz val="9"/>
            <color indexed="81"/>
            <rFont val="돋움"/>
            <family val="3"/>
            <charset val="129"/>
          </rPr>
          <t>설정</t>
        </r>
        <r>
          <rPr>
            <sz val="9"/>
            <color indexed="81"/>
            <rFont val="Tahoma"/>
            <family val="2"/>
          </rPr>
          <t xml:space="preserve"> </t>
        </r>
        <r>
          <rPr>
            <sz val="9"/>
            <color indexed="81"/>
            <rFont val="돋움"/>
            <family val="3"/>
            <charset val="129"/>
          </rPr>
          <t>할인</t>
        </r>
        <r>
          <rPr>
            <sz val="9"/>
            <color indexed="81"/>
            <rFont val="Tahoma"/>
            <family val="2"/>
          </rPr>
          <t>) * 3%</t>
        </r>
      </text>
    </comment>
    <comment ref="V111" authorId="0" shapeId="0" xr:uid="{0F4F75A0-82B7-43CF-BE95-9DB7E1FA59A5}">
      <text>
        <r>
          <rPr>
            <b/>
            <sz val="9"/>
            <color indexed="81"/>
            <rFont val="Tahoma"/>
            <family val="2"/>
          </rPr>
          <t>user:</t>
        </r>
        <r>
          <rPr>
            <sz val="9"/>
            <color indexed="81"/>
            <rFont val="Tahoma"/>
            <family val="2"/>
          </rPr>
          <t xml:space="preserve">
(</t>
        </r>
        <r>
          <rPr>
            <sz val="9"/>
            <color indexed="81"/>
            <rFont val="돋움"/>
            <family val="3"/>
            <charset val="129"/>
          </rPr>
          <t>상품</t>
        </r>
        <r>
          <rPr>
            <sz val="9"/>
            <color indexed="81"/>
            <rFont val="Tahoma"/>
            <family val="2"/>
          </rPr>
          <t xml:space="preserve"> </t>
        </r>
        <r>
          <rPr>
            <sz val="9"/>
            <color indexed="81"/>
            <rFont val="돋움"/>
            <family val="3"/>
            <charset val="129"/>
          </rPr>
          <t>등재가</t>
        </r>
        <r>
          <rPr>
            <sz val="9"/>
            <color indexed="81"/>
            <rFont val="Tahoma"/>
            <family val="2"/>
          </rPr>
          <t xml:space="preserve"> – </t>
        </r>
        <r>
          <rPr>
            <sz val="9"/>
            <color indexed="81"/>
            <rFont val="돋움"/>
            <family val="3"/>
            <charset val="129"/>
          </rPr>
          <t>판매자</t>
        </r>
        <r>
          <rPr>
            <sz val="9"/>
            <color indexed="81"/>
            <rFont val="Tahoma"/>
            <family val="2"/>
          </rPr>
          <t xml:space="preserve"> </t>
        </r>
        <r>
          <rPr>
            <sz val="9"/>
            <color indexed="81"/>
            <rFont val="돋움"/>
            <family val="3"/>
            <charset val="129"/>
          </rPr>
          <t>설정</t>
        </r>
        <r>
          <rPr>
            <sz val="9"/>
            <color indexed="81"/>
            <rFont val="Tahoma"/>
            <family val="2"/>
          </rPr>
          <t xml:space="preserve"> </t>
        </r>
        <r>
          <rPr>
            <sz val="9"/>
            <color indexed="81"/>
            <rFont val="돋움"/>
            <family val="3"/>
            <charset val="129"/>
          </rPr>
          <t>할인</t>
        </r>
        <r>
          <rPr>
            <sz val="9"/>
            <color indexed="81"/>
            <rFont val="Tahoma"/>
            <family val="2"/>
          </rPr>
          <t>) * 3%</t>
        </r>
      </text>
    </comment>
    <comment ref="V116" authorId="0" shapeId="0" xr:uid="{5B926630-9D29-452E-A1E2-8BC828B58ED1}">
      <text>
        <r>
          <rPr>
            <b/>
            <sz val="9"/>
            <color indexed="81"/>
            <rFont val="Tahoma"/>
            <family val="2"/>
          </rPr>
          <t>user:</t>
        </r>
        <r>
          <rPr>
            <sz val="9"/>
            <color indexed="81"/>
            <rFont val="Tahoma"/>
            <family val="2"/>
          </rPr>
          <t xml:space="preserve">
(</t>
        </r>
        <r>
          <rPr>
            <sz val="9"/>
            <color indexed="81"/>
            <rFont val="돋움"/>
            <family val="3"/>
            <charset val="129"/>
          </rPr>
          <t>상품</t>
        </r>
        <r>
          <rPr>
            <sz val="9"/>
            <color indexed="81"/>
            <rFont val="Tahoma"/>
            <family val="2"/>
          </rPr>
          <t xml:space="preserve"> </t>
        </r>
        <r>
          <rPr>
            <sz val="9"/>
            <color indexed="81"/>
            <rFont val="돋움"/>
            <family val="3"/>
            <charset val="129"/>
          </rPr>
          <t>등재가</t>
        </r>
        <r>
          <rPr>
            <sz val="9"/>
            <color indexed="81"/>
            <rFont val="Tahoma"/>
            <family val="2"/>
          </rPr>
          <t xml:space="preserve"> – </t>
        </r>
        <r>
          <rPr>
            <sz val="9"/>
            <color indexed="81"/>
            <rFont val="돋움"/>
            <family val="3"/>
            <charset val="129"/>
          </rPr>
          <t>판매자</t>
        </r>
        <r>
          <rPr>
            <sz val="9"/>
            <color indexed="81"/>
            <rFont val="Tahoma"/>
            <family val="2"/>
          </rPr>
          <t xml:space="preserve"> </t>
        </r>
        <r>
          <rPr>
            <sz val="9"/>
            <color indexed="81"/>
            <rFont val="돋움"/>
            <family val="3"/>
            <charset val="129"/>
          </rPr>
          <t>설정</t>
        </r>
        <r>
          <rPr>
            <sz val="9"/>
            <color indexed="81"/>
            <rFont val="Tahoma"/>
            <family val="2"/>
          </rPr>
          <t xml:space="preserve"> </t>
        </r>
        <r>
          <rPr>
            <sz val="9"/>
            <color indexed="81"/>
            <rFont val="돋움"/>
            <family val="3"/>
            <charset val="129"/>
          </rPr>
          <t>할인</t>
        </r>
        <r>
          <rPr>
            <sz val="9"/>
            <color indexed="81"/>
            <rFont val="Tahoma"/>
            <family val="2"/>
          </rPr>
          <t>) * 3%</t>
        </r>
      </text>
    </comment>
    <comment ref="V121" authorId="0" shapeId="0" xr:uid="{A3D2A607-613A-4486-BE98-E8F70716307F}">
      <text>
        <r>
          <rPr>
            <b/>
            <sz val="9"/>
            <color indexed="81"/>
            <rFont val="Tahoma"/>
            <family val="2"/>
          </rPr>
          <t>user:</t>
        </r>
        <r>
          <rPr>
            <sz val="9"/>
            <color indexed="81"/>
            <rFont val="Tahoma"/>
            <family val="2"/>
          </rPr>
          <t xml:space="preserve">
(</t>
        </r>
        <r>
          <rPr>
            <sz val="9"/>
            <color indexed="81"/>
            <rFont val="돋움"/>
            <family val="3"/>
            <charset val="129"/>
          </rPr>
          <t>상품</t>
        </r>
        <r>
          <rPr>
            <sz val="9"/>
            <color indexed="81"/>
            <rFont val="Tahoma"/>
            <family val="2"/>
          </rPr>
          <t xml:space="preserve"> </t>
        </r>
        <r>
          <rPr>
            <sz val="9"/>
            <color indexed="81"/>
            <rFont val="돋움"/>
            <family val="3"/>
            <charset val="129"/>
          </rPr>
          <t>등재가</t>
        </r>
        <r>
          <rPr>
            <sz val="9"/>
            <color indexed="81"/>
            <rFont val="Tahoma"/>
            <family val="2"/>
          </rPr>
          <t xml:space="preserve"> – </t>
        </r>
        <r>
          <rPr>
            <sz val="9"/>
            <color indexed="81"/>
            <rFont val="돋움"/>
            <family val="3"/>
            <charset val="129"/>
          </rPr>
          <t>판매자</t>
        </r>
        <r>
          <rPr>
            <sz val="9"/>
            <color indexed="81"/>
            <rFont val="Tahoma"/>
            <family val="2"/>
          </rPr>
          <t xml:space="preserve"> </t>
        </r>
        <r>
          <rPr>
            <sz val="9"/>
            <color indexed="81"/>
            <rFont val="돋움"/>
            <family val="3"/>
            <charset val="129"/>
          </rPr>
          <t>설정</t>
        </r>
        <r>
          <rPr>
            <sz val="9"/>
            <color indexed="81"/>
            <rFont val="Tahoma"/>
            <family val="2"/>
          </rPr>
          <t xml:space="preserve"> </t>
        </r>
        <r>
          <rPr>
            <sz val="9"/>
            <color indexed="81"/>
            <rFont val="돋움"/>
            <family val="3"/>
            <charset val="129"/>
          </rPr>
          <t>할인</t>
        </r>
        <r>
          <rPr>
            <sz val="9"/>
            <color indexed="81"/>
            <rFont val="Tahoma"/>
            <family val="2"/>
          </rPr>
          <t>) * 3%</t>
        </r>
      </text>
    </comment>
    <comment ref="V128" authorId="0" shapeId="0" xr:uid="{CA5F8DE4-E44E-48D8-B909-10161E69243F}">
      <text>
        <r>
          <rPr>
            <b/>
            <sz val="9"/>
            <color indexed="81"/>
            <rFont val="Tahoma"/>
            <family val="2"/>
          </rPr>
          <t>user:</t>
        </r>
        <r>
          <rPr>
            <sz val="9"/>
            <color indexed="81"/>
            <rFont val="Tahoma"/>
            <family val="2"/>
          </rPr>
          <t xml:space="preserve">
(</t>
        </r>
        <r>
          <rPr>
            <sz val="9"/>
            <color indexed="81"/>
            <rFont val="돋움"/>
            <family val="3"/>
            <charset val="129"/>
          </rPr>
          <t>상품</t>
        </r>
        <r>
          <rPr>
            <sz val="9"/>
            <color indexed="81"/>
            <rFont val="Tahoma"/>
            <family val="2"/>
          </rPr>
          <t xml:space="preserve"> </t>
        </r>
        <r>
          <rPr>
            <sz val="9"/>
            <color indexed="81"/>
            <rFont val="돋움"/>
            <family val="3"/>
            <charset val="129"/>
          </rPr>
          <t>등재가</t>
        </r>
        <r>
          <rPr>
            <sz val="9"/>
            <color indexed="81"/>
            <rFont val="Tahoma"/>
            <family val="2"/>
          </rPr>
          <t xml:space="preserve"> – </t>
        </r>
        <r>
          <rPr>
            <sz val="9"/>
            <color indexed="81"/>
            <rFont val="돋움"/>
            <family val="3"/>
            <charset val="129"/>
          </rPr>
          <t>판매자</t>
        </r>
        <r>
          <rPr>
            <sz val="9"/>
            <color indexed="81"/>
            <rFont val="Tahoma"/>
            <family val="2"/>
          </rPr>
          <t xml:space="preserve"> </t>
        </r>
        <r>
          <rPr>
            <sz val="9"/>
            <color indexed="81"/>
            <rFont val="돋움"/>
            <family val="3"/>
            <charset val="129"/>
          </rPr>
          <t>설정</t>
        </r>
        <r>
          <rPr>
            <sz val="9"/>
            <color indexed="81"/>
            <rFont val="Tahoma"/>
            <family val="2"/>
          </rPr>
          <t xml:space="preserve"> </t>
        </r>
        <r>
          <rPr>
            <sz val="9"/>
            <color indexed="81"/>
            <rFont val="돋움"/>
            <family val="3"/>
            <charset val="129"/>
          </rPr>
          <t>할인</t>
        </r>
        <r>
          <rPr>
            <sz val="9"/>
            <color indexed="81"/>
            <rFont val="Tahoma"/>
            <family val="2"/>
          </rPr>
          <t>) * 3%</t>
        </r>
      </text>
    </comment>
    <comment ref="V135" authorId="0" shapeId="0" xr:uid="{070C05C8-DFD7-43E8-A69F-5C828BB10C64}">
      <text>
        <r>
          <rPr>
            <b/>
            <sz val="9"/>
            <color indexed="81"/>
            <rFont val="Tahoma"/>
            <family val="2"/>
          </rPr>
          <t>user:</t>
        </r>
        <r>
          <rPr>
            <sz val="9"/>
            <color indexed="81"/>
            <rFont val="Tahoma"/>
            <family val="2"/>
          </rPr>
          <t xml:space="preserve">
(</t>
        </r>
        <r>
          <rPr>
            <sz val="9"/>
            <color indexed="81"/>
            <rFont val="돋움"/>
            <family val="3"/>
            <charset val="129"/>
          </rPr>
          <t>상품</t>
        </r>
        <r>
          <rPr>
            <sz val="9"/>
            <color indexed="81"/>
            <rFont val="Tahoma"/>
            <family val="2"/>
          </rPr>
          <t xml:space="preserve"> </t>
        </r>
        <r>
          <rPr>
            <sz val="9"/>
            <color indexed="81"/>
            <rFont val="돋움"/>
            <family val="3"/>
            <charset val="129"/>
          </rPr>
          <t>등재가</t>
        </r>
        <r>
          <rPr>
            <sz val="9"/>
            <color indexed="81"/>
            <rFont val="Tahoma"/>
            <family val="2"/>
          </rPr>
          <t xml:space="preserve"> – </t>
        </r>
        <r>
          <rPr>
            <sz val="9"/>
            <color indexed="81"/>
            <rFont val="돋움"/>
            <family val="3"/>
            <charset val="129"/>
          </rPr>
          <t>판매자</t>
        </r>
        <r>
          <rPr>
            <sz val="9"/>
            <color indexed="81"/>
            <rFont val="Tahoma"/>
            <family val="2"/>
          </rPr>
          <t xml:space="preserve"> </t>
        </r>
        <r>
          <rPr>
            <sz val="9"/>
            <color indexed="81"/>
            <rFont val="돋움"/>
            <family val="3"/>
            <charset val="129"/>
          </rPr>
          <t>설정</t>
        </r>
        <r>
          <rPr>
            <sz val="9"/>
            <color indexed="81"/>
            <rFont val="Tahoma"/>
            <family val="2"/>
          </rPr>
          <t xml:space="preserve"> </t>
        </r>
        <r>
          <rPr>
            <sz val="9"/>
            <color indexed="81"/>
            <rFont val="돋움"/>
            <family val="3"/>
            <charset val="129"/>
          </rPr>
          <t>할인</t>
        </r>
        <r>
          <rPr>
            <sz val="9"/>
            <color indexed="81"/>
            <rFont val="Tahoma"/>
            <family val="2"/>
          </rPr>
          <t>) * 3%</t>
        </r>
      </text>
    </comment>
    <comment ref="V147" authorId="0" shapeId="0" xr:uid="{B36A034B-FA7C-419D-8F51-93D3FEB9571D}">
      <text>
        <r>
          <rPr>
            <b/>
            <sz val="9"/>
            <color indexed="81"/>
            <rFont val="Tahoma"/>
            <family val="2"/>
          </rPr>
          <t>user:</t>
        </r>
        <r>
          <rPr>
            <sz val="9"/>
            <color indexed="81"/>
            <rFont val="Tahoma"/>
            <family val="2"/>
          </rPr>
          <t xml:space="preserve">
(</t>
        </r>
        <r>
          <rPr>
            <sz val="9"/>
            <color indexed="81"/>
            <rFont val="돋움"/>
            <family val="3"/>
            <charset val="129"/>
          </rPr>
          <t>상품</t>
        </r>
        <r>
          <rPr>
            <sz val="9"/>
            <color indexed="81"/>
            <rFont val="Tahoma"/>
            <family val="2"/>
          </rPr>
          <t xml:space="preserve"> </t>
        </r>
        <r>
          <rPr>
            <sz val="9"/>
            <color indexed="81"/>
            <rFont val="돋움"/>
            <family val="3"/>
            <charset val="129"/>
          </rPr>
          <t>등재가</t>
        </r>
        <r>
          <rPr>
            <sz val="9"/>
            <color indexed="81"/>
            <rFont val="Tahoma"/>
            <family val="2"/>
          </rPr>
          <t xml:space="preserve"> – </t>
        </r>
        <r>
          <rPr>
            <sz val="9"/>
            <color indexed="81"/>
            <rFont val="돋움"/>
            <family val="3"/>
            <charset val="129"/>
          </rPr>
          <t>판매자</t>
        </r>
        <r>
          <rPr>
            <sz val="9"/>
            <color indexed="81"/>
            <rFont val="Tahoma"/>
            <family val="2"/>
          </rPr>
          <t xml:space="preserve"> </t>
        </r>
        <r>
          <rPr>
            <sz val="9"/>
            <color indexed="81"/>
            <rFont val="돋움"/>
            <family val="3"/>
            <charset val="129"/>
          </rPr>
          <t>설정</t>
        </r>
        <r>
          <rPr>
            <sz val="9"/>
            <color indexed="81"/>
            <rFont val="Tahoma"/>
            <family val="2"/>
          </rPr>
          <t xml:space="preserve"> </t>
        </r>
        <r>
          <rPr>
            <sz val="9"/>
            <color indexed="81"/>
            <rFont val="돋움"/>
            <family val="3"/>
            <charset val="129"/>
          </rPr>
          <t>할인</t>
        </r>
        <r>
          <rPr>
            <sz val="9"/>
            <color indexed="81"/>
            <rFont val="Tahoma"/>
            <family val="2"/>
          </rPr>
          <t>) * 3%</t>
        </r>
      </text>
    </comment>
    <comment ref="V152" authorId="0" shapeId="0" xr:uid="{B0238280-34B3-4A59-A613-8AA6266A60CB}">
      <text>
        <r>
          <rPr>
            <b/>
            <sz val="9"/>
            <color indexed="81"/>
            <rFont val="Tahoma"/>
            <family val="2"/>
          </rPr>
          <t>user:</t>
        </r>
        <r>
          <rPr>
            <sz val="9"/>
            <color indexed="81"/>
            <rFont val="Tahoma"/>
            <family val="2"/>
          </rPr>
          <t xml:space="preserve">
(</t>
        </r>
        <r>
          <rPr>
            <sz val="9"/>
            <color indexed="81"/>
            <rFont val="돋움"/>
            <family val="3"/>
            <charset val="129"/>
          </rPr>
          <t>상품</t>
        </r>
        <r>
          <rPr>
            <sz val="9"/>
            <color indexed="81"/>
            <rFont val="Tahoma"/>
            <family val="2"/>
          </rPr>
          <t xml:space="preserve"> </t>
        </r>
        <r>
          <rPr>
            <sz val="9"/>
            <color indexed="81"/>
            <rFont val="돋움"/>
            <family val="3"/>
            <charset val="129"/>
          </rPr>
          <t>등재가</t>
        </r>
        <r>
          <rPr>
            <sz val="9"/>
            <color indexed="81"/>
            <rFont val="Tahoma"/>
            <family val="2"/>
          </rPr>
          <t xml:space="preserve"> – </t>
        </r>
        <r>
          <rPr>
            <sz val="9"/>
            <color indexed="81"/>
            <rFont val="돋움"/>
            <family val="3"/>
            <charset val="129"/>
          </rPr>
          <t>판매자</t>
        </r>
        <r>
          <rPr>
            <sz val="9"/>
            <color indexed="81"/>
            <rFont val="Tahoma"/>
            <family val="2"/>
          </rPr>
          <t xml:space="preserve"> </t>
        </r>
        <r>
          <rPr>
            <sz val="9"/>
            <color indexed="81"/>
            <rFont val="돋움"/>
            <family val="3"/>
            <charset val="129"/>
          </rPr>
          <t>설정</t>
        </r>
        <r>
          <rPr>
            <sz val="9"/>
            <color indexed="81"/>
            <rFont val="Tahoma"/>
            <family val="2"/>
          </rPr>
          <t xml:space="preserve"> </t>
        </r>
        <r>
          <rPr>
            <sz val="9"/>
            <color indexed="81"/>
            <rFont val="돋움"/>
            <family val="3"/>
            <charset val="129"/>
          </rPr>
          <t>할인</t>
        </r>
        <r>
          <rPr>
            <sz val="9"/>
            <color indexed="81"/>
            <rFont val="Tahoma"/>
            <family val="2"/>
          </rPr>
          <t>) * 3%</t>
        </r>
      </text>
    </comment>
    <comment ref="V157" authorId="0" shapeId="0" xr:uid="{D6ECEFC5-B230-4E9A-97B5-E1F27CD56577}">
      <text>
        <r>
          <rPr>
            <b/>
            <sz val="9"/>
            <color indexed="81"/>
            <rFont val="Tahoma"/>
            <family val="2"/>
          </rPr>
          <t>user:</t>
        </r>
        <r>
          <rPr>
            <sz val="9"/>
            <color indexed="81"/>
            <rFont val="Tahoma"/>
            <family val="2"/>
          </rPr>
          <t xml:space="preserve">
(</t>
        </r>
        <r>
          <rPr>
            <sz val="9"/>
            <color indexed="81"/>
            <rFont val="돋움"/>
            <family val="3"/>
            <charset val="129"/>
          </rPr>
          <t>상품</t>
        </r>
        <r>
          <rPr>
            <sz val="9"/>
            <color indexed="81"/>
            <rFont val="Tahoma"/>
            <family val="2"/>
          </rPr>
          <t xml:space="preserve"> </t>
        </r>
        <r>
          <rPr>
            <sz val="9"/>
            <color indexed="81"/>
            <rFont val="돋움"/>
            <family val="3"/>
            <charset val="129"/>
          </rPr>
          <t>등재가</t>
        </r>
        <r>
          <rPr>
            <sz val="9"/>
            <color indexed="81"/>
            <rFont val="Tahoma"/>
            <family val="2"/>
          </rPr>
          <t xml:space="preserve"> – </t>
        </r>
        <r>
          <rPr>
            <sz val="9"/>
            <color indexed="81"/>
            <rFont val="돋움"/>
            <family val="3"/>
            <charset val="129"/>
          </rPr>
          <t>판매자</t>
        </r>
        <r>
          <rPr>
            <sz val="9"/>
            <color indexed="81"/>
            <rFont val="Tahoma"/>
            <family val="2"/>
          </rPr>
          <t xml:space="preserve"> </t>
        </r>
        <r>
          <rPr>
            <sz val="9"/>
            <color indexed="81"/>
            <rFont val="돋움"/>
            <family val="3"/>
            <charset val="129"/>
          </rPr>
          <t>설정</t>
        </r>
        <r>
          <rPr>
            <sz val="9"/>
            <color indexed="81"/>
            <rFont val="Tahoma"/>
            <family val="2"/>
          </rPr>
          <t xml:space="preserve"> </t>
        </r>
        <r>
          <rPr>
            <sz val="9"/>
            <color indexed="81"/>
            <rFont val="돋움"/>
            <family val="3"/>
            <charset val="129"/>
          </rPr>
          <t>할인</t>
        </r>
        <r>
          <rPr>
            <sz val="9"/>
            <color indexed="81"/>
            <rFont val="Tahoma"/>
            <family val="2"/>
          </rPr>
          <t>) * 3%</t>
        </r>
      </text>
    </comment>
    <comment ref="V162" authorId="0" shapeId="0" xr:uid="{974969BC-FB27-479E-987A-CEAD5D425593}">
      <text>
        <r>
          <rPr>
            <b/>
            <sz val="9"/>
            <color indexed="81"/>
            <rFont val="Tahoma"/>
            <family val="2"/>
          </rPr>
          <t>user:</t>
        </r>
        <r>
          <rPr>
            <sz val="9"/>
            <color indexed="81"/>
            <rFont val="Tahoma"/>
            <family val="2"/>
          </rPr>
          <t xml:space="preserve">
(</t>
        </r>
        <r>
          <rPr>
            <sz val="9"/>
            <color indexed="81"/>
            <rFont val="돋움"/>
            <family val="3"/>
            <charset val="129"/>
          </rPr>
          <t>상품</t>
        </r>
        <r>
          <rPr>
            <sz val="9"/>
            <color indexed="81"/>
            <rFont val="Tahoma"/>
            <family val="2"/>
          </rPr>
          <t xml:space="preserve"> </t>
        </r>
        <r>
          <rPr>
            <sz val="9"/>
            <color indexed="81"/>
            <rFont val="돋움"/>
            <family val="3"/>
            <charset val="129"/>
          </rPr>
          <t>등재가</t>
        </r>
        <r>
          <rPr>
            <sz val="9"/>
            <color indexed="81"/>
            <rFont val="Tahoma"/>
            <family val="2"/>
          </rPr>
          <t xml:space="preserve"> – </t>
        </r>
        <r>
          <rPr>
            <sz val="9"/>
            <color indexed="81"/>
            <rFont val="돋움"/>
            <family val="3"/>
            <charset val="129"/>
          </rPr>
          <t>판매자</t>
        </r>
        <r>
          <rPr>
            <sz val="9"/>
            <color indexed="81"/>
            <rFont val="Tahoma"/>
            <family val="2"/>
          </rPr>
          <t xml:space="preserve"> </t>
        </r>
        <r>
          <rPr>
            <sz val="9"/>
            <color indexed="81"/>
            <rFont val="돋움"/>
            <family val="3"/>
            <charset val="129"/>
          </rPr>
          <t>설정</t>
        </r>
        <r>
          <rPr>
            <sz val="9"/>
            <color indexed="81"/>
            <rFont val="Tahoma"/>
            <family val="2"/>
          </rPr>
          <t xml:space="preserve"> </t>
        </r>
        <r>
          <rPr>
            <sz val="9"/>
            <color indexed="81"/>
            <rFont val="돋움"/>
            <family val="3"/>
            <charset val="129"/>
          </rPr>
          <t>할인</t>
        </r>
        <r>
          <rPr>
            <sz val="9"/>
            <color indexed="81"/>
            <rFont val="Tahoma"/>
            <family val="2"/>
          </rPr>
          <t>) * 3%</t>
        </r>
      </text>
    </comment>
    <comment ref="V167" authorId="0" shapeId="0" xr:uid="{15FDFDC2-380F-4F0F-98F9-9B8C317A49B3}">
      <text>
        <r>
          <rPr>
            <b/>
            <sz val="9"/>
            <color indexed="81"/>
            <rFont val="Tahoma"/>
            <family val="2"/>
          </rPr>
          <t>user:</t>
        </r>
        <r>
          <rPr>
            <sz val="9"/>
            <color indexed="81"/>
            <rFont val="Tahoma"/>
            <family val="2"/>
          </rPr>
          <t xml:space="preserve">
(</t>
        </r>
        <r>
          <rPr>
            <sz val="9"/>
            <color indexed="81"/>
            <rFont val="돋움"/>
            <family val="3"/>
            <charset val="129"/>
          </rPr>
          <t>상품</t>
        </r>
        <r>
          <rPr>
            <sz val="9"/>
            <color indexed="81"/>
            <rFont val="Tahoma"/>
            <family val="2"/>
          </rPr>
          <t xml:space="preserve"> </t>
        </r>
        <r>
          <rPr>
            <sz val="9"/>
            <color indexed="81"/>
            <rFont val="돋움"/>
            <family val="3"/>
            <charset val="129"/>
          </rPr>
          <t>등재가</t>
        </r>
        <r>
          <rPr>
            <sz val="9"/>
            <color indexed="81"/>
            <rFont val="Tahoma"/>
            <family val="2"/>
          </rPr>
          <t xml:space="preserve"> – </t>
        </r>
        <r>
          <rPr>
            <sz val="9"/>
            <color indexed="81"/>
            <rFont val="돋움"/>
            <family val="3"/>
            <charset val="129"/>
          </rPr>
          <t>판매자</t>
        </r>
        <r>
          <rPr>
            <sz val="9"/>
            <color indexed="81"/>
            <rFont val="Tahoma"/>
            <family val="2"/>
          </rPr>
          <t xml:space="preserve"> </t>
        </r>
        <r>
          <rPr>
            <sz val="9"/>
            <color indexed="81"/>
            <rFont val="돋움"/>
            <family val="3"/>
            <charset val="129"/>
          </rPr>
          <t>설정</t>
        </r>
        <r>
          <rPr>
            <sz val="9"/>
            <color indexed="81"/>
            <rFont val="Tahoma"/>
            <family val="2"/>
          </rPr>
          <t xml:space="preserve"> </t>
        </r>
        <r>
          <rPr>
            <sz val="9"/>
            <color indexed="81"/>
            <rFont val="돋움"/>
            <family val="3"/>
            <charset val="129"/>
          </rPr>
          <t>할인</t>
        </r>
        <r>
          <rPr>
            <sz val="9"/>
            <color indexed="81"/>
            <rFont val="Tahoma"/>
            <family val="2"/>
          </rPr>
          <t>) * 3%</t>
        </r>
      </text>
    </comment>
    <comment ref="V172" authorId="0" shapeId="0" xr:uid="{6C7FBFB2-380B-4C33-9BC1-5C7C70E61F91}">
      <text>
        <r>
          <rPr>
            <b/>
            <sz val="9"/>
            <color indexed="81"/>
            <rFont val="Tahoma"/>
            <family val="2"/>
          </rPr>
          <t>user:</t>
        </r>
        <r>
          <rPr>
            <sz val="9"/>
            <color indexed="81"/>
            <rFont val="Tahoma"/>
            <family val="2"/>
          </rPr>
          <t xml:space="preserve">
(</t>
        </r>
        <r>
          <rPr>
            <sz val="9"/>
            <color indexed="81"/>
            <rFont val="돋움"/>
            <family val="3"/>
            <charset val="129"/>
          </rPr>
          <t>상품</t>
        </r>
        <r>
          <rPr>
            <sz val="9"/>
            <color indexed="81"/>
            <rFont val="Tahoma"/>
            <family val="2"/>
          </rPr>
          <t xml:space="preserve"> </t>
        </r>
        <r>
          <rPr>
            <sz val="9"/>
            <color indexed="81"/>
            <rFont val="돋움"/>
            <family val="3"/>
            <charset val="129"/>
          </rPr>
          <t>등재가</t>
        </r>
        <r>
          <rPr>
            <sz val="9"/>
            <color indexed="81"/>
            <rFont val="Tahoma"/>
            <family val="2"/>
          </rPr>
          <t xml:space="preserve"> – </t>
        </r>
        <r>
          <rPr>
            <sz val="9"/>
            <color indexed="81"/>
            <rFont val="돋움"/>
            <family val="3"/>
            <charset val="129"/>
          </rPr>
          <t>판매자</t>
        </r>
        <r>
          <rPr>
            <sz val="9"/>
            <color indexed="81"/>
            <rFont val="Tahoma"/>
            <family val="2"/>
          </rPr>
          <t xml:space="preserve"> </t>
        </r>
        <r>
          <rPr>
            <sz val="9"/>
            <color indexed="81"/>
            <rFont val="돋움"/>
            <family val="3"/>
            <charset val="129"/>
          </rPr>
          <t>설정</t>
        </r>
        <r>
          <rPr>
            <sz val="9"/>
            <color indexed="81"/>
            <rFont val="Tahoma"/>
            <family val="2"/>
          </rPr>
          <t xml:space="preserve"> </t>
        </r>
        <r>
          <rPr>
            <sz val="9"/>
            <color indexed="81"/>
            <rFont val="돋움"/>
            <family val="3"/>
            <charset val="129"/>
          </rPr>
          <t>할인</t>
        </r>
        <r>
          <rPr>
            <sz val="9"/>
            <color indexed="81"/>
            <rFont val="Tahoma"/>
            <family val="2"/>
          </rPr>
          <t>) * 3%</t>
        </r>
      </text>
    </comment>
    <comment ref="V177" authorId="0" shapeId="0" xr:uid="{15AEA856-82A7-445C-A18E-D9AE7A725FC0}">
      <text>
        <r>
          <rPr>
            <b/>
            <sz val="9"/>
            <color indexed="81"/>
            <rFont val="Tahoma"/>
            <family val="2"/>
          </rPr>
          <t>user:</t>
        </r>
        <r>
          <rPr>
            <sz val="9"/>
            <color indexed="81"/>
            <rFont val="Tahoma"/>
            <family val="2"/>
          </rPr>
          <t xml:space="preserve">
(</t>
        </r>
        <r>
          <rPr>
            <sz val="9"/>
            <color indexed="81"/>
            <rFont val="돋움"/>
            <family val="3"/>
            <charset val="129"/>
          </rPr>
          <t>상품</t>
        </r>
        <r>
          <rPr>
            <sz val="9"/>
            <color indexed="81"/>
            <rFont val="Tahoma"/>
            <family val="2"/>
          </rPr>
          <t xml:space="preserve"> </t>
        </r>
        <r>
          <rPr>
            <sz val="9"/>
            <color indexed="81"/>
            <rFont val="돋움"/>
            <family val="3"/>
            <charset val="129"/>
          </rPr>
          <t>등재가</t>
        </r>
        <r>
          <rPr>
            <sz val="9"/>
            <color indexed="81"/>
            <rFont val="Tahoma"/>
            <family val="2"/>
          </rPr>
          <t xml:space="preserve"> – </t>
        </r>
        <r>
          <rPr>
            <sz val="9"/>
            <color indexed="81"/>
            <rFont val="돋움"/>
            <family val="3"/>
            <charset val="129"/>
          </rPr>
          <t>판매자</t>
        </r>
        <r>
          <rPr>
            <sz val="9"/>
            <color indexed="81"/>
            <rFont val="Tahoma"/>
            <family val="2"/>
          </rPr>
          <t xml:space="preserve"> </t>
        </r>
        <r>
          <rPr>
            <sz val="9"/>
            <color indexed="81"/>
            <rFont val="돋움"/>
            <family val="3"/>
            <charset val="129"/>
          </rPr>
          <t>설정</t>
        </r>
        <r>
          <rPr>
            <sz val="9"/>
            <color indexed="81"/>
            <rFont val="Tahoma"/>
            <family val="2"/>
          </rPr>
          <t xml:space="preserve"> </t>
        </r>
        <r>
          <rPr>
            <sz val="9"/>
            <color indexed="81"/>
            <rFont val="돋움"/>
            <family val="3"/>
            <charset val="129"/>
          </rPr>
          <t>할인</t>
        </r>
        <r>
          <rPr>
            <sz val="9"/>
            <color indexed="81"/>
            <rFont val="Tahoma"/>
            <family val="2"/>
          </rPr>
          <t>) * 3%</t>
        </r>
      </text>
    </comment>
    <comment ref="V183" authorId="0" shapeId="0" xr:uid="{80724FC3-7AC0-4FC6-B034-B428F3937DEC}">
      <text>
        <r>
          <rPr>
            <b/>
            <sz val="9"/>
            <color indexed="81"/>
            <rFont val="Tahoma"/>
            <family val="2"/>
          </rPr>
          <t>user:</t>
        </r>
        <r>
          <rPr>
            <sz val="9"/>
            <color indexed="81"/>
            <rFont val="Tahoma"/>
            <family val="2"/>
          </rPr>
          <t xml:space="preserve">
(</t>
        </r>
        <r>
          <rPr>
            <sz val="9"/>
            <color indexed="81"/>
            <rFont val="돋움"/>
            <family val="3"/>
            <charset val="129"/>
          </rPr>
          <t>상품</t>
        </r>
        <r>
          <rPr>
            <sz val="9"/>
            <color indexed="81"/>
            <rFont val="Tahoma"/>
            <family val="2"/>
          </rPr>
          <t xml:space="preserve"> </t>
        </r>
        <r>
          <rPr>
            <sz val="9"/>
            <color indexed="81"/>
            <rFont val="돋움"/>
            <family val="3"/>
            <charset val="129"/>
          </rPr>
          <t>등재가</t>
        </r>
        <r>
          <rPr>
            <sz val="9"/>
            <color indexed="81"/>
            <rFont val="Tahoma"/>
            <family val="2"/>
          </rPr>
          <t xml:space="preserve"> – </t>
        </r>
        <r>
          <rPr>
            <sz val="9"/>
            <color indexed="81"/>
            <rFont val="돋움"/>
            <family val="3"/>
            <charset val="129"/>
          </rPr>
          <t>판매자</t>
        </r>
        <r>
          <rPr>
            <sz val="9"/>
            <color indexed="81"/>
            <rFont val="Tahoma"/>
            <family val="2"/>
          </rPr>
          <t xml:space="preserve"> </t>
        </r>
        <r>
          <rPr>
            <sz val="9"/>
            <color indexed="81"/>
            <rFont val="돋움"/>
            <family val="3"/>
            <charset val="129"/>
          </rPr>
          <t>설정</t>
        </r>
        <r>
          <rPr>
            <sz val="9"/>
            <color indexed="81"/>
            <rFont val="Tahoma"/>
            <family val="2"/>
          </rPr>
          <t xml:space="preserve"> </t>
        </r>
        <r>
          <rPr>
            <sz val="9"/>
            <color indexed="81"/>
            <rFont val="돋움"/>
            <family val="3"/>
            <charset val="129"/>
          </rPr>
          <t>할인</t>
        </r>
        <r>
          <rPr>
            <sz val="9"/>
            <color indexed="81"/>
            <rFont val="Tahoma"/>
            <family val="2"/>
          </rPr>
          <t>) * 3%</t>
        </r>
      </text>
    </comment>
    <comment ref="V188" authorId="0" shapeId="0" xr:uid="{9B489DA0-6C2B-425D-9687-566D9764AB5E}">
      <text>
        <r>
          <rPr>
            <b/>
            <sz val="9"/>
            <color indexed="81"/>
            <rFont val="Tahoma"/>
            <family val="2"/>
          </rPr>
          <t>user:</t>
        </r>
        <r>
          <rPr>
            <sz val="9"/>
            <color indexed="81"/>
            <rFont val="Tahoma"/>
            <family val="2"/>
          </rPr>
          <t xml:space="preserve">
(</t>
        </r>
        <r>
          <rPr>
            <sz val="9"/>
            <color indexed="81"/>
            <rFont val="돋움"/>
            <family val="3"/>
            <charset val="129"/>
          </rPr>
          <t>상품</t>
        </r>
        <r>
          <rPr>
            <sz val="9"/>
            <color indexed="81"/>
            <rFont val="Tahoma"/>
            <family val="2"/>
          </rPr>
          <t xml:space="preserve"> </t>
        </r>
        <r>
          <rPr>
            <sz val="9"/>
            <color indexed="81"/>
            <rFont val="돋움"/>
            <family val="3"/>
            <charset val="129"/>
          </rPr>
          <t>등재가</t>
        </r>
        <r>
          <rPr>
            <sz val="9"/>
            <color indexed="81"/>
            <rFont val="Tahoma"/>
            <family val="2"/>
          </rPr>
          <t xml:space="preserve"> – </t>
        </r>
        <r>
          <rPr>
            <sz val="9"/>
            <color indexed="81"/>
            <rFont val="돋움"/>
            <family val="3"/>
            <charset val="129"/>
          </rPr>
          <t>판매자</t>
        </r>
        <r>
          <rPr>
            <sz val="9"/>
            <color indexed="81"/>
            <rFont val="Tahoma"/>
            <family val="2"/>
          </rPr>
          <t xml:space="preserve"> </t>
        </r>
        <r>
          <rPr>
            <sz val="9"/>
            <color indexed="81"/>
            <rFont val="돋움"/>
            <family val="3"/>
            <charset val="129"/>
          </rPr>
          <t>설정</t>
        </r>
        <r>
          <rPr>
            <sz val="9"/>
            <color indexed="81"/>
            <rFont val="Tahoma"/>
            <family val="2"/>
          </rPr>
          <t xml:space="preserve"> </t>
        </r>
        <r>
          <rPr>
            <sz val="9"/>
            <color indexed="81"/>
            <rFont val="돋움"/>
            <family val="3"/>
            <charset val="129"/>
          </rPr>
          <t>할인</t>
        </r>
        <r>
          <rPr>
            <sz val="9"/>
            <color indexed="81"/>
            <rFont val="Tahoma"/>
            <family val="2"/>
          </rPr>
          <t>) * 3%</t>
        </r>
      </text>
    </comment>
    <comment ref="V194" authorId="0" shapeId="0" xr:uid="{F8C4C409-7C71-4FA6-81AE-C3CD22EB3026}">
      <text>
        <r>
          <rPr>
            <b/>
            <sz val="9"/>
            <color indexed="81"/>
            <rFont val="Tahoma"/>
            <family val="2"/>
          </rPr>
          <t>user:</t>
        </r>
        <r>
          <rPr>
            <sz val="9"/>
            <color indexed="81"/>
            <rFont val="Tahoma"/>
            <family val="2"/>
          </rPr>
          <t xml:space="preserve">
(</t>
        </r>
        <r>
          <rPr>
            <sz val="9"/>
            <color indexed="81"/>
            <rFont val="돋움"/>
            <family val="3"/>
            <charset val="129"/>
          </rPr>
          <t>상품</t>
        </r>
        <r>
          <rPr>
            <sz val="9"/>
            <color indexed="81"/>
            <rFont val="Tahoma"/>
            <family val="2"/>
          </rPr>
          <t xml:space="preserve"> </t>
        </r>
        <r>
          <rPr>
            <sz val="9"/>
            <color indexed="81"/>
            <rFont val="돋움"/>
            <family val="3"/>
            <charset val="129"/>
          </rPr>
          <t>등재가</t>
        </r>
        <r>
          <rPr>
            <sz val="9"/>
            <color indexed="81"/>
            <rFont val="Tahoma"/>
            <family val="2"/>
          </rPr>
          <t xml:space="preserve"> – </t>
        </r>
        <r>
          <rPr>
            <sz val="9"/>
            <color indexed="81"/>
            <rFont val="돋움"/>
            <family val="3"/>
            <charset val="129"/>
          </rPr>
          <t>판매자</t>
        </r>
        <r>
          <rPr>
            <sz val="9"/>
            <color indexed="81"/>
            <rFont val="Tahoma"/>
            <family val="2"/>
          </rPr>
          <t xml:space="preserve"> </t>
        </r>
        <r>
          <rPr>
            <sz val="9"/>
            <color indexed="81"/>
            <rFont val="돋움"/>
            <family val="3"/>
            <charset val="129"/>
          </rPr>
          <t>설정</t>
        </r>
        <r>
          <rPr>
            <sz val="9"/>
            <color indexed="81"/>
            <rFont val="Tahoma"/>
            <family val="2"/>
          </rPr>
          <t xml:space="preserve"> </t>
        </r>
        <r>
          <rPr>
            <sz val="9"/>
            <color indexed="81"/>
            <rFont val="돋움"/>
            <family val="3"/>
            <charset val="129"/>
          </rPr>
          <t>할인</t>
        </r>
        <r>
          <rPr>
            <sz val="9"/>
            <color indexed="81"/>
            <rFont val="Tahoma"/>
            <family val="2"/>
          </rPr>
          <t>) * 3%</t>
        </r>
      </text>
    </comment>
    <comment ref="V200" authorId="0" shapeId="0" xr:uid="{3E0D79AC-1A68-4F6E-B4AF-0AA6E3DB4C19}">
      <text>
        <r>
          <rPr>
            <b/>
            <sz val="9"/>
            <color indexed="81"/>
            <rFont val="Tahoma"/>
            <family val="2"/>
          </rPr>
          <t>user:</t>
        </r>
        <r>
          <rPr>
            <sz val="9"/>
            <color indexed="81"/>
            <rFont val="Tahoma"/>
            <family val="2"/>
          </rPr>
          <t xml:space="preserve">
(</t>
        </r>
        <r>
          <rPr>
            <sz val="9"/>
            <color indexed="81"/>
            <rFont val="돋움"/>
            <family val="3"/>
            <charset val="129"/>
          </rPr>
          <t>상품</t>
        </r>
        <r>
          <rPr>
            <sz val="9"/>
            <color indexed="81"/>
            <rFont val="Tahoma"/>
            <family val="2"/>
          </rPr>
          <t xml:space="preserve"> </t>
        </r>
        <r>
          <rPr>
            <sz val="9"/>
            <color indexed="81"/>
            <rFont val="돋움"/>
            <family val="3"/>
            <charset val="129"/>
          </rPr>
          <t>등재가</t>
        </r>
        <r>
          <rPr>
            <sz val="9"/>
            <color indexed="81"/>
            <rFont val="Tahoma"/>
            <family val="2"/>
          </rPr>
          <t xml:space="preserve"> – </t>
        </r>
        <r>
          <rPr>
            <sz val="9"/>
            <color indexed="81"/>
            <rFont val="돋움"/>
            <family val="3"/>
            <charset val="129"/>
          </rPr>
          <t>판매자</t>
        </r>
        <r>
          <rPr>
            <sz val="9"/>
            <color indexed="81"/>
            <rFont val="Tahoma"/>
            <family val="2"/>
          </rPr>
          <t xml:space="preserve"> </t>
        </r>
        <r>
          <rPr>
            <sz val="9"/>
            <color indexed="81"/>
            <rFont val="돋움"/>
            <family val="3"/>
            <charset val="129"/>
          </rPr>
          <t>설정</t>
        </r>
        <r>
          <rPr>
            <sz val="9"/>
            <color indexed="81"/>
            <rFont val="Tahoma"/>
            <family val="2"/>
          </rPr>
          <t xml:space="preserve"> </t>
        </r>
        <r>
          <rPr>
            <sz val="9"/>
            <color indexed="81"/>
            <rFont val="돋움"/>
            <family val="3"/>
            <charset val="129"/>
          </rPr>
          <t>할인</t>
        </r>
        <r>
          <rPr>
            <sz val="9"/>
            <color indexed="81"/>
            <rFont val="Tahoma"/>
            <family val="2"/>
          </rPr>
          <t>) * 3%</t>
        </r>
      </text>
    </comment>
    <comment ref="V208" authorId="0" shapeId="0" xr:uid="{AEDA8CC9-8E95-4153-A940-DA47FBFAA9A1}">
      <text>
        <r>
          <rPr>
            <b/>
            <sz val="9"/>
            <color indexed="81"/>
            <rFont val="Tahoma"/>
            <family val="2"/>
          </rPr>
          <t>user:</t>
        </r>
        <r>
          <rPr>
            <sz val="9"/>
            <color indexed="81"/>
            <rFont val="Tahoma"/>
            <family val="2"/>
          </rPr>
          <t xml:space="preserve">
(</t>
        </r>
        <r>
          <rPr>
            <sz val="9"/>
            <color indexed="81"/>
            <rFont val="돋움"/>
            <family val="3"/>
            <charset val="129"/>
          </rPr>
          <t>상품</t>
        </r>
        <r>
          <rPr>
            <sz val="9"/>
            <color indexed="81"/>
            <rFont val="Tahoma"/>
            <family val="2"/>
          </rPr>
          <t xml:space="preserve"> </t>
        </r>
        <r>
          <rPr>
            <sz val="9"/>
            <color indexed="81"/>
            <rFont val="돋움"/>
            <family val="3"/>
            <charset val="129"/>
          </rPr>
          <t>등재가</t>
        </r>
        <r>
          <rPr>
            <sz val="9"/>
            <color indexed="81"/>
            <rFont val="Tahoma"/>
            <family val="2"/>
          </rPr>
          <t xml:space="preserve"> – </t>
        </r>
        <r>
          <rPr>
            <sz val="9"/>
            <color indexed="81"/>
            <rFont val="돋움"/>
            <family val="3"/>
            <charset val="129"/>
          </rPr>
          <t>판매자</t>
        </r>
        <r>
          <rPr>
            <sz val="9"/>
            <color indexed="81"/>
            <rFont val="Tahoma"/>
            <family val="2"/>
          </rPr>
          <t xml:space="preserve"> </t>
        </r>
        <r>
          <rPr>
            <sz val="9"/>
            <color indexed="81"/>
            <rFont val="돋움"/>
            <family val="3"/>
            <charset val="129"/>
          </rPr>
          <t>설정</t>
        </r>
        <r>
          <rPr>
            <sz val="9"/>
            <color indexed="81"/>
            <rFont val="Tahoma"/>
            <family val="2"/>
          </rPr>
          <t xml:space="preserve"> </t>
        </r>
        <r>
          <rPr>
            <sz val="9"/>
            <color indexed="81"/>
            <rFont val="돋움"/>
            <family val="3"/>
            <charset val="129"/>
          </rPr>
          <t>할인</t>
        </r>
        <r>
          <rPr>
            <sz val="9"/>
            <color indexed="81"/>
            <rFont val="Tahoma"/>
            <family val="2"/>
          </rPr>
          <t>) * 3%</t>
        </r>
      </text>
    </comment>
    <comment ref="V213" authorId="0" shapeId="0" xr:uid="{6CA7A179-DCB4-4DA6-8984-31BB231BACEE}">
      <text>
        <r>
          <rPr>
            <b/>
            <sz val="9"/>
            <color indexed="81"/>
            <rFont val="Tahoma"/>
            <family val="2"/>
          </rPr>
          <t>user:</t>
        </r>
        <r>
          <rPr>
            <sz val="9"/>
            <color indexed="81"/>
            <rFont val="Tahoma"/>
            <family val="2"/>
          </rPr>
          <t xml:space="preserve">
(</t>
        </r>
        <r>
          <rPr>
            <sz val="9"/>
            <color indexed="81"/>
            <rFont val="돋움"/>
            <family val="3"/>
            <charset val="129"/>
          </rPr>
          <t>상품</t>
        </r>
        <r>
          <rPr>
            <sz val="9"/>
            <color indexed="81"/>
            <rFont val="Tahoma"/>
            <family val="2"/>
          </rPr>
          <t xml:space="preserve"> </t>
        </r>
        <r>
          <rPr>
            <sz val="9"/>
            <color indexed="81"/>
            <rFont val="돋움"/>
            <family val="3"/>
            <charset val="129"/>
          </rPr>
          <t>등재가</t>
        </r>
        <r>
          <rPr>
            <sz val="9"/>
            <color indexed="81"/>
            <rFont val="Tahoma"/>
            <family val="2"/>
          </rPr>
          <t xml:space="preserve"> – </t>
        </r>
        <r>
          <rPr>
            <sz val="9"/>
            <color indexed="81"/>
            <rFont val="돋움"/>
            <family val="3"/>
            <charset val="129"/>
          </rPr>
          <t>판매자</t>
        </r>
        <r>
          <rPr>
            <sz val="9"/>
            <color indexed="81"/>
            <rFont val="Tahoma"/>
            <family val="2"/>
          </rPr>
          <t xml:space="preserve"> </t>
        </r>
        <r>
          <rPr>
            <sz val="9"/>
            <color indexed="81"/>
            <rFont val="돋움"/>
            <family val="3"/>
            <charset val="129"/>
          </rPr>
          <t>설정</t>
        </r>
        <r>
          <rPr>
            <sz val="9"/>
            <color indexed="81"/>
            <rFont val="Tahoma"/>
            <family val="2"/>
          </rPr>
          <t xml:space="preserve"> </t>
        </r>
        <r>
          <rPr>
            <sz val="9"/>
            <color indexed="81"/>
            <rFont val="돋움"/>
            <family val="3"/>
            <charset val="129"/>
          </rPr>
          <t>할인</t>
        </r>
        <r>
          <rPr>
            <sz val="9"/>
            <color indexed="81"/>
            <rFont val="Tahoma"/>
            <family val="2"/>
          </rPr>
          <t>) * 3%</t>
        </r>
      </text>
    </comment>
    <comment ref="V218" authorId="0" shapeId="0" xr:uid="{04F53A18-0687-42B4-AD36-971955039400}">
      <text>
        <r>
          <rPr>
            <b/>
            <sz val="9"/>
            <color indexed="81"/>
            <rFont val="Tahoma"/>
            <family val="2"/>
          </rPr>
          <t>user:</t>
        </r>
        <r>
          <rPr>
            <sz val="9"/>
            <color indexed="81"/>
            <rFont val="Tahoma"/>
            <family val="2"/>
          </rPr>
          <t xml:space="preserve">
(</t>
        </r>
        <r>
          <rPr>
            <sz val="9"/>
            <color indexed="81"/>
            <rFont val="돋움"/>
            <family val="3"/>
            <charset val="129"/>
          </rPr>
          <t>상품</t>
        </r>
        <r>
          <rPr>
            <sz val="9"/>
            <color indexed="81"/>
            <rFont val="Tahoma"/>
            <family val="2"/>
          </rPr>
          <t xml:space="preserve"> </t>
        </r>
        <r>
          <rPr>
            <sz val="9"/>
            <color indexed="81"/>
            <rFont val="돋움"/>
            <family val="3"/>
            <charset val="129"/>
          </rPr>
          <t>등재가</t>
        </r>
        <r>
          <rPr>
            <sz val="9"/>
            <color indexed="81"/>
            <rFont val="Tahoma"/>
            <family val="2"/>
          </rPr>
          <t xml:space="preserve"> – </t>
        </r>
        <r>
          <rPr>
            <sz val="9"/>
            <color indexed="81"/>
            <rFont val="돋움"/>
            <family val="3"/>
            <charset val="129"/>
          </rPr>
          <t>판매자</t>
        </r>
        <r>
          <rPr>
            <sz val="9"/>
            <color indexed="81"/>
            <rFont val="Tahoma"/>
            <family val="2"/>
          </rPr>
          <t xml:space="preserve"> </t>
        </r>
        <r>
          <rPr>
            <sz val="9"/>
            <color indexed="81"/>
            <rFont val="돋움"/>
            <family val="3"/>
            <charset val="129"/>
          </rPr>
          <t>설정</t>
        </r>
        <r>
          <rPr>
            <sz val="9"/>
            <color indexed="81"/>
            <rFont val="Tahoma"/>
            <family val="2"/>
          </rPr>
          <t xml:space="preserve"> </t>
        </r>
        <r>
          <rPr>
            <sz val="9"/>
            <color indexed="81"/>
            <rFont val="돋움"/>
            <family val="3"/>
            <charset val="129"/>
          </rPr>
          <t>할인</t>
        </r>
        <r>
          <rPr>
            <sz val="9"/>
            <color indexed="81"/>
            <rFont val="Tahoma"/>
            <family val="2"/>
          </rPr>
          <t>) * 3%</t>
        </r>
      </text>
    </comment>
    <comment ref="V223" authorId="0" shapeId="0" xr:uid="{5E060894-319D-49E7-BF1B-D9C21AEE887A}">
      <text>
        <r>
          <rPr>
            <b/>
            <sz val="9"/>
            <color indexed="81"/>
            <rFont val="Tahoma"/>
            <family val="2"/>
          </rPr>
          <t>user:</t>
        </r>
        <r>
          <rPr>
            <sz val="9"/>
            <color indexed="81"/>
            <rFont val="Tahoma"/>
            <family val="2"/>
          </rPr>
          <t xml:space="preserve">
(</t>
        </r>
        <r>
          <rPr>
            <sz val="9"/>
            <color indexed="81"/>
            <rFont val="돋움"/>
            <family val="3"/>
            <charset val="129"/>
          </rPr>
          <t>상품</t>
        </r>
        <r>
          <rPr>
            <sz val="9"/>
            <color indexed="81"/>
            <rFont val="Tahoma"/>
            <family val="2"/>
          </rPr>
          <t xml:space="preserve"> </t>
        </r>
        <r>
          <rPr>
            <sz val="9"/>
            <color indexed="81"/>
            <rFont val="돋움"/>
            <family val="3"/>
            <charset val="129"/>
          </rPr>
          <t>등재가</t>
        </r>
        <r>
          <rPr>
            <sz val="9"/>
            <color indexed="81"/>
            <rFont val="Tahoma"/>
            <family val="2"/>
          </rPr>
          <t xml:space="preserve"> – </t>
        </r>
        <r>
          <rPr>
            <sz val="9"/>
            <color indexed="81"/>
            <rFont val="돋움"/>
            <family val="3"/>
            <charset val="129"/>
          </rPr>
          <t>판매자</t>
        </r>
        <r>
          <rPr>
            <sz val="9"/>
            <color indexed="81"/>
            <rFont val="Tahoma"/>
            <family val="2"/>
          </rPr>
          <t xml:space="preserve"> </t>
        </r>
        <r>
          <rPr>
            <sz val="9"/>
            <color indexed="81"/>
            <rFont val="돋움"/>
            <family val="3"/>
            <charset val="129"/>
          </rPr>
          <t>설정</t>
        </r>
        <r>
          <rPr>
            <sz val="9"/>
            <color indexed="81"/>
            <rFont val="Tahoma"/>
            <family val="2"/>
          </rPr>
          <t xml:space="preserve"> </t>
        </r>
        <r>
          <rPr>
            <sz val="9"/>
            <color indexed="81"/>
            <rFont val="돋움"/>
            <family val="3"/>
            <charset val="129"/>
          </rPr>
          <t>할인</t>
        </r>
        <r>
          <rPr>
            <sz val="9"/>
            <color indexed="81"/>
            <rFont val="Tahoma"/>
            <family val="2"/>
          </rPr>
          <t>) * 3%</t>
        </r>
      </text>
    </comment>
    <comment ref="V230" authorId="0" shapeId="0" xr:uid="{B54924EE-1DE1-4060-9AD4-6A1CEFDF8085}">
      <text>
        <r>
          <rPr>
            <b/>
            <sz val="9"/>
            <color indexed="81"/>
            <rFont val="Tahoma"/>
            <family val="2"/>
          </rPr>
          <t>user:</t>
        </r>
        <r>
          <rPr>
            <sz val="9"/>
            <color indexed="81"/>
            <rFont val="Tahoma"/>
            <family val="2"/>
          </rPr>
          <t xml:space="preserve">
(</t>
        </r>
        <r>
          <rPr>
            <sz val="9"/>
            <color indexed="81"/>
            <rFont val="돋움"/>
            <family val="3"/>
            <charset val="129"/>
          </rPr>
          <t>상품</t>
        </r>
        <r>
          <rPr>
            <sz val="9"/>
            <color indexed="81"/>
            <rFont val="Tahoma"/>
            <family val="2"/>
          </rPr>
          <t xml:space="preserve"> </t>
        </r>
        <r>
          <rPr>
            <sz val="9"/>
            <color indexed="81"/>
            <rFont val="돋움"/>
            <family val="3"/>
            <charset val="129"/>
          </rPr>
          <t>등재가</t>
        </r>
        <r>
          <rPr>
            <sz val="9"/>
            <color indexed="81"/>
            <rFont val="Tahoma"/>
            <family val="2"/>
          </rPr>
          <t xml:space="preserve"> – </t>
        </r>
        <r>
          <rPr>
            <sz val="9"/>
            <color indexed="81"/>
            <rFont val="돋움"/>
            <family val="3"/>
            <charset val="129"/>
          </rPr>
          <t>판매자</t>
        </r>
        <r>
          <rPr>
            <sz val="9"/>
            <color indexed="81"/>
            <rFont val="Tahoma"/>
            <family val="2"/>
          </rPr>
          <t xml:space="preserve"> </t>
        </r>
        <r>
          <rPr>
            <sz val="9"/>
            <color indexed="81"/>
            <rFont val="돋움"/>
            <family val="3"/>
            <charset val="129"/>
          </rPr>
          <t>설정</t>
        </r>
        <r>
          <rPr>
            <sz val="9"/>
            <color indexed="81"/>
            <rFont val="Tahoma"/>
            <family val="2"/>
          </rPr>
          <t xml:space="preserve"> </t>
        </r>
        <r>
          <rPr>
            <sz val="9"/>
            <color indexed="81"/>
            <rFont val="돋움"/>
            <family val="3"/>
            <charset val="129"/>
          </rPr>
          <t>할인</t>
        </r>
        <r>
          <rPr>
            <sz val="9"/>
            <color indexed="81"/>
            <rFont val="Tahoma"/>
            <family val="2"/>
          </rPr>
          <t>) * 3%</t>
        </r>
      </text>
    </comment>
    <comment ref="V237" authorId="0" shapeId="0" xr:uid="{4989DA83-3DFD-40E2-97AF-3172F2B60E49}">
      <text>
        <r>
          <rPr>
            <b/>
            <sz val="9"/>
            <color indexed="81"/>
            <rFont val="Tahoma"/>
            <family val="2"/>
          </rPr>
          <t>user:</t>
        </r>
        <r>
          <rPr>
            <sz val="9"/>
            <color indexed="81"/>
            <rFont val="Tahoma"/>
            <family val="2"/>
          </rPr>
          <t xml:space="preserve">
(</t>
        </r>
        <r>
          <rPr>
            <sz val="9"/>
            <color indexed="81"/>
            <rFont val="돋움"/>
            <family val="3"/>
            <charset val="129"/>
          </rPr>
          <t>상품</t>
        </r>
        <r>
          <rPr>
            <sz val="9"/>
            <color indexed="81"/>
            <rFont val="Tahoma"/>
            <family val="2"/>
          </rPr>
          <t xml:space="preserve"> </t>
        </r>
        <r>
          <rPr>
            <sz val="9"/>
            <color indexed="81"/>
            <rFont val="돋움"/>
            <family val="3"/>
            <charset val="129"/>
          </rPr>
          <t>등재가</t>
        </r>
        <r>
          <rPr>
            <sz val="9"/>
            <color indexed="81"/>
            <rFont val="Tahoma"/>
            <family val="2"/>
          </rPr>
          <t xml:space="preserve"> – </t>
        </r>
        <r>
          <rPr>
            <sz val="9"/>
            <color indexed="81"/>
            <rFont val="돋움"/>
            <family val="3"/>
            <charset val="129"/>
          </rPr>
          <t>판매자</t>
        </r>
        <r>
          <rPr>
            <sz val="9"/>
            <color indexed="81"/>
            <rFont val="Tahoma"/>
            <family val="2"/>
          </rPr>
          <t xml:space="preserve"> </t>
        </r>
        <r>
          <rPr>
            <sz val="9"/>
            <color indexed="81"/>
            <rFont val="돋움"/>
            <family val="3"/>
            <charset val="129"/>
          </rPr>
          <t>설정</t>
        </r>
        <r>
          <rPr>
            <sz val="9"/>
            <color indexed="81"/>
            <rFont val="Tahoma"/>
            <family val="2"/>
          </rPr>
          <t xml:space="preserve"> </t>
        </r>
        <r>
          <rPr>
            <sz val="9"/>
            <color indexed="81"/>
            <rFont val="돋움"/>
            <family val="3"/>
            <charset val="129"/>
          </rPr>
          <t>할인</t>
        </r>
        <r>
          <rPr>
            <sz val="9"/>
            <color indexed="81"/>
            <rFont val="Tahoma"/>
            <family val="2"/>
          </rPr>
          <t>) * 3%</t>
        </r>
      </text>
    </comment>
    <comment ref="V242" authorId="0" shapeId="0" xr:uid="{87C64BFF-D4AF-4F6E-80D3-C69E532533CE}">
      <text>
        <r>
          <rPr>
            <b/>
            <sz val="9"/>
            <color indexed="81"/>
            <rFont val="Tahoma"/>
            <family val="2"/>
          </rPr>
          <t>user:</t>
        </r>
        <r>
          <rPr>
            <sz val="9"/>
            <color indexed="81"/>
            <rFont val="Tahoma"/>
            <family val="2"/>
          </rPr>
          <t xml:space="preserve">
(</t>
        </r>
        <r>
          <rPr>
            <sz val="9"/>
            <color indexed="81"/>
            <rFont val="돋움"/>
            <family val="3"/>
            <charset val="129"/>
          </rPr>
          <t>상품</t>
        </r>
        <r>
          <rPr>
            <sz val="9"/>
            <color indexed="81"/>
            <rFont val="Tahoma"/>
            <family val="2"/>
          </rPr>
          <t xml:space="preserve"> </t>
        </r>
        <r>
          <rPr>
            <sz val="9"/>
            <color indexed="81"/>
            <rFont val="돋움"/>
            <family val="3"/>
            <charset val="129"/>
          </rPr>
          <t>등재가</t>
        </r>
        <r>
          <rPr>
            <sz val="9"/>
            <color indexed="81"/>
            <rFont val="Tahoma"/>
            <family val="2"/>
          </rPr>
          <t xml:space="preserve"> – </t>
        </r>
        <r>
          <rPr>
            <sz val="9"/>
            <color indexed="81"/>
            <rFont val="돋움"/>
            <family val="3"/>
            <charset val="129"/>
          </rPr>
          <t>판매자</t>
        </r>
        <r>
          <rPr>
            <sz val="9"/>
            <color indexed="81"/>
            <rFont val="Tahoma"/>
            <family val="2"/>
          </rPr>
          <t xml:space="preserve"> </t>
        </r>
        <r>
          <rPr>
            <sz val="9"/>
            <color indexed="81"/>
            <rFont val="돋움"/>
            <family val="3"/>
            <charset val="129"/>
          </rPr>
          <t>설정</t>
        </r>
        <r>
          <rPr>
            <sz val="9"/>
            <color indexed="81"/>
            <rFont val="Tahoma"/>
            <family val="2"/>
          </rPr>
          <t xml:space="preserve"> </t>
        </r>
        <r>
          <rPr>
            <sz val="9"/>
            <color indexed="81"/>
            <rFont val="돋움"/>
            <family val="3"/>
            <charset val="129"/>
          </rPr>
          <t>할인</t>
        </r>
        <r>
          <rPr>
            <sz val="9"/>
            <color indexed="81"/>
            <rFont val="Tahoma"/>
            <family val="2"/>
          </rPr>
          <t>) * 3%</t>
        </r>
      </text>
    </comment>
    <comment ref="V249" authorId="0" shapeId="0" xr:uid="{2A2C46C1-30D9-488A-BE82-55ACA6C12D3F}">
      <text>
        <r>
          <rPr>
            <b/>
            <sz val="9"/>
            <color indexed="81"/>
            <rFont val="Tahoma"/>
            <family val="2"/>
          </rPr>
          <t>user:</t>
        </r>
        <r>
          <rPr>
            <sz val="9"/>
            <color indexed="81"/>
            <rFont val="Tahoma"/>
            <family val="2"/>
          </rPr>
          <t xml:space="preserve">
(</t>
        </r>
        <r>
          <rPr>
            <sz val="9"/>
            <color indexed="81"/>
            <rFont val="돋움"/>
            <family val="3"/>
            <charset val="129"/>
          </rPr>
          <t>상품</t>
        </r>
        <r>
          <rPr>
            <sz val="9"/>
            <color indexed="81"/>
            <rFont val="Tahoma"/>
            <family val="2"/>
          </rPr>
          <t xml:space="preserve"> </t>
        </r>
        <r>
          <rPr>
            <sz val="9"/>
            <color indexed="81"/>
            <rFont val="돋움"/>
            <family val="3"/>
            <charset val="129"/>
          </rPr>
          <t>등재가</t>
        </r>
        <r>
          <rPr>
            <sz val="9"/>
            <color indexed="81"/>
            <rFont val="Tahoma"/>
            <family val="2"/>
          </rPr>
          <t xml:space="preserve"> – </t>
        </r>
        <r>
          <rPr>
            <sz val="9"/>
            <color indexed="81"/>
            <rFont val="돋움"/>
            <family val="3"/>
            <charset val="129"/>
          </rPr>
          <t>판매자</t>
        </r>
        <r>
          <rPr>
            <sz val="9"/>
            <color indexed="81"/>
            <rFont val="Tahoma"/>
            <family val="2"/>
          </rPr>
          <t xml:space="preserve"> </t>
        </r>
        <r>
          <rPr>
            <sz val="9"/>
            <color indexed="81"/>
            <rFont val="돋움"/>
            <family val="3"/>
            <charset val="129"/>
          </rPr>
          <t>설정</t>
        </r>
        <r>
          <rPr>
            <sz val="9"/>
            <color indexed="81"/>
            <rFont val="Tahoma"/>
            <family val="2"/>
          </rPr>
          <t xml:space="preserve"> </t>
        </r>
        <r>
          <rPr>
            <sz val="9"/>
            <color indexed="81"/>
            <rFont val="돋움"/>
            <family val="3"/>
            <charset val="129"/>
          </rPr>
          <t>할인</t>
        </r>
        <r>
          <rPr>
            <sz val="9"/>
            <color indexed="81"/>
            <rFont val="Tahoma"/>
            <family val="2"/>
          </rPr>
          <t>) * 3%</t>
        </r>
      </text>
    </comment>
    <comment ref="V256" authorId="0" shapeId="0" xr:uid="{AB080410-C674-4F74-AEC4-19F17B54D6F0}">
      <text>
        <r>
          <rPr>
            <b/>
            <sz val="9"/>
            <color indexed="81"/>
            <rFont val="Tahoma"/>
            <family val="2"/>
          </rPr>
          <t>user:</t>
        </r>
        <r>
          <rPr>
            <sz val="9"/>
            <color indexed="81"/>
            <rFont val="Tahoma"/>
            <family val="2"/>
          </rPr>
          <t xml:space="preserve">
(</t>
        </r>
        <r>
          <rPr>
            <sz val="9"/>
            <color indexed="81"/>
            <rFont val="돋움"/>
            <family val="3"/>
            <charset val="129"/>
          </rPr>
          <t>상품</t>
        </r>
        <r>
          <rPr>
            <sz val="9"/>
            <color indexed="81"/>
            <rFont val="Tahoma"/>
            <family val="2"/>
          </rPr>
          <t xml:space="preserve"> </t>
        </r>
        <r>
          <rPr>
            <sz val="9"/>
            <color indexed="81"/>
            <rFont val="돋움"/>
            <family val="3"/>
            <charset val="129"/>
          </rPr>
          <t>등재가</t>
        </r>
        <r>
          <rPr>
            <sz val="9"/>
            <color indexed="81"/>
            <rFont val="Tahoma"/>
            <family val="2"/>
          </rPr>
          <t xml:space="preserve"> – </t>
        </r>
        <r>
          <rPr>
            <sz val="9"/>
            <color indexed="81"/>
            <rFont val="돋움"/>
            <family val="3"/>
            <charset val="129"/>
          </rPr>
          <t>판매자</t>
        </r>
        <r>
          <rPr>
            <sz val="9"/>
            <color indexed="81"/>
            <rFont val="Tahoma"/>
            <family val="2"/>
          </rPr>
          <t xml:space="preserve"> </t>
        </r>
        <r>
          <rPr>
            <sz val="9"/>
            <color indexed="81"/>
            <rFont val="돋움"/>
            <family val="3"/>
            <charset val="129"/>
          </rPr>
          <t>설정</t>
        </r>
        <r>
          <rPr>
            <sz val="9"/>
            <color indexed="81"/>
            <rFont val="Tahoma"/>
            <family val="2"/>
          </rPr>
          <t xml:space="preserve"> </t>
        </r>
        <r>
          <rPr>
            <sz val="9"/>
            <color indexed="81"/>
            <rFont val="돋움"/>
            <family val="3"/>
            <charset val="129"/>
          </rPr>
          <t>할인</t>
        </r>
        <r>
          <rPr>
            <sz val="9"/>
            <color indexed="81"/>
            <rFont val="Tahoma"/>
            <family val="2"/>
          </rPr>
          <t>) * 3%</t>
        </r>
      </text>
    </comment>
    <comment ref="V263" authorId="0" shapeId="0" xr:uid="{D55D923F-64C2-47E4-B8F3-5EE8D27851FE}">
      <text>
        <r>
          <rPr>
            <b/>
            <sz val="9"/>
            <color indexed="81"/>
            <rFont val="Tahoma"/>
            <family val="2"/>
          </rPr>
          <t>user:</t>
        </r>
        <r>
          <rPr>
            <sz val="9"/>
            <color indexed="81"/>
            <rFont val="Tahoma"/>
            <family val="2"/>
          </rPr>
          <t xml:space="preserve">
(</t>
        </r>
        <r>
          <rPr>
            <sz val="9"/>
            <color indexed="81"/>
            <rFont val="돋움"/>
            <family val="3"/>
            <charset val="129"/>
          </rPr>
          <t>상품</t>
        </r>
        <r>
          <rPr>
            <sz val="9"/>
            <color indexed="81"/>
            <rFont val="Tahoma"/>
            <family val="2"/>
          </rPr>
          <t xml:space="preserve"> </t>
        </r>
        <r>
          <rPr>
            <sz val="9"/>
            <color indexed="81"/>
            <rFont val="돋움"/>
            <family val="3"/>
            <charset val="129"/>
          </rPr>
          <t>등재가</t>
        </r>
        <r>
          <rPr>
            <sz val="9"/>
            <color indexed="81"/>
            <rFont val="Tahoma"/>
            <family val="2"/>
          </rPr>
          <t xml:space="preserve"> – </t>
        </r>
        <r>
          <rPr>
            <sz val="9"/>
            <color indexed="81"/>
            <rFont val="돋움"/>
            <family val="3"/>
            <charset val="129"/>
          </rPr>
          <t>판매자</t>
        </r>
        <r>
          <rPr>
            <sz val="9"/>
            <color indexed="81"/>
            <rFont val="Tahoma"/>
            <family val="2"/>
          </rPr>
          <t xml:space="preserve"> </t>
        </r>
        <r>
          <rPr>
            <sz val="9"/>
            <color indexed="81"/>
            <rFont val="돋움"/>
            <family val="3"/>
            <charset val="129"/>
          </rPr>
          <t>설정</t>
        </r>
        <r>
          <rPr>
            <sz val="9"/>
            <color indexed="81"/>
            <rFont val="Tahoma"/>
            <family val="2"/>
          </rPr>
          <t xml:space="preserve"> </t>
        </r>
        <r>
          <rPr>
            <sz val="9"/>
            <color indexed="81"/>
            <rFont val="돋움"/>
            <family val="3"/>
            <charset val="129"/>
          </rPr>
          <t>할인</t>
        </r>
        <r>
          <rPr>
            <sz val="9"/>
            <color indexed="81"/>
            <rFont val="Tahoma"/>
            <family val="2"/>
          </rPr>
          <t>) * 3%</t>
        </r>
      </text>
    </comment>
    <comment ref="V270" authorId="0" shapeId="0" xr:uid="{5CA8C788-9565-4AEA-8618-50482DEE29D1}">
      <text>
        <r>
          <rPr>
            <b/>
            <sz val="9"/>
            <color indexed="81"/>
            <rFont val="Tahoma"/>
            <family val="2"/>
          </rPr>
          <t>user:</t>
        </r>
        <r>
          <rPr>
            <sz val="9"/>
            <color indexed="81"/>
            <rFont val="Tahoma"/>
            <family val="2"/>
          </rPr>
          <t xml:space="preserve">
(</t>
        </r>
        <r>
          <rPr>
            <sz val="9"/>
            <color indexed="81"/>
            <rFont val="돋움"/>
            <family val="3"/>
            <charset val="129"/>
          </rPr>
          <t>상품</t>
        </r>
        <r>
          <rPr>
            <sz val="9"/>
            <color indexed="81"/>
            <rFont val="Tahoma"/>
            <family val="2"/>
          </rPr>
          <t xml:space="preserve"> </t>
        </r>
        <r>
          <rPr>
            <sz val="9"/>
            <color indexed="81"/>
            <rFont val="돋움"/>
            <family val="3"/>
            <charset val="129"/>
          </rPr>
          <t>등재가</t>
        </r>
        <r>
          <rPr>
            <sz val="9"/>
            <color indexed="81"/>
            <rFont val="Tahoma"/>
            <family val="2"/>
          </rPr>
          <t xml:space="preserve"> – </t>
        </r>
        <r>
          <rPr>
            <sz val="9"/>
            <color indexed="81"/>
            <rFont val="돋움"/>
            <family val="3"/>
            <charset val="129"/>
          </rPr>
          <t>판매자</t>
        </r>
        <r>
          <rPr>
            <sz val="9"/>
            <color indexed="81"/>
            <rFont val="Tahoma"/>
            <family val="2"/>
          </rPr>
          <t xml:space="preserve"> </t>
        </r>
        <r>
          <rPr>
            <sz val="9"/>
            <color indexed="81"/>
            <rFont val="돋움"/>
            <family val="3"/>
            <charset val="129"/>
          </rPr>
          <t>설정</t>
        </r>
        <r>
          <rPr>
            <sz val="9"/>
            <color indexed="81"/>
            <rFont val="Tahoma"/>
            <family val="2"/>
          </rPr>
          <t xml:space="preserve"> </t>
        </r>
        <r>
          <rPr>
            <sz val="9"/>
            <color indexed="81"/>
            <rFont val="돋움"/>
            <family val="3"/>
            <charset val="129"/>
          </rPr>
          <t>할인</t>
        </r>
        <r>
          <rPr>
            <sz val="9"/>
            <color indexed="81"/>
            <rFont val="Tahoma"/>
            <family val="2"/>
          </rPr>
          <t>) * 3%</t>
        </r>
      </text>
    </comment>
    <comment ref="V277" authorId="0" shapeId="0" xr:uid="{7672CFF1-13EE-47E8-B2E6-70DBDD695D87}">
      <text>
        <r>
          <rPr>
            <b/>
            <sz val="9"/>
            <color indexed="81"/>
            <rFont val="Tahoma"/>
            <family val="2"/>
          </rPr>
          <t>user:</t>
        </r>
        <r>
          <rPr>
            <sz val="9"/>
            <color indexed="81"/>
            <rFont val="Tahoma"/>
            <family val="2"/>
          </rPr>
          <t xml:space="preserve">
(</t>
        </r>
        <r>
          <rPr>
            <sz val="9"/>
            <color indexed="81"/>
            <rFont val="돋움"/>
            <family val="3"/>
            <charset val="129"/>
          </rPr>
          <t>상품</t>
        </r>
        <r>
          <rPr>
            <sz val="9"/>
            <color indexed="81"/>
            <rFont val="Tahoma"/>
            <family val="2"/>
          </rPr>
          <t xml:space="preserve"> </t>
        </r>
        <r>
          <rPr>
            <sz val="9"/>
            <color indexed="81"/>
            <rFont val="돋움"/>
            <family val="3"/>
            <charset val="129"/>
          </rPr>
          <t>등재가</t>
        </r>
        <r>
          <rPr>
            <sz val="9"/>
            <color indexed="81"/>
            <rFont val="Tahoma"/>
            <family val="2"/>
          </rPr>
          <t xml:space="preserve"> – </t>
        </r>
        <r>
          <rPr>
            <sz val="9"/>
            <color indexed="81"/>
            <rFont val="돋움"/>
            <family val="3"/>
            <charset val="129"/>
          </rPr>
          <t>판매자</t>
        </r>
        <r>
          <rPr>
            <sz val="9"/>
            <color indexed="81"/>
            <rFont val="Tahoma"/>
            <family val="2"/>
          </rPr>
          <t xml:space="preserve"> </t>
        </r>
        <r>
          <rPr>
            <sz val="9"/>
            <color indexed="81"/>
            <rFont val="돋움"/>
            <family val="3"/>
            <charset val="129"/>
          </rPr>
          <t>설정</t>
        </r>
        <r>
          <rPr>
            <sz val="9"/>
            <color indexed="81"/>
            <rFont val="Tahoma"/>
            <family val="2"/>
          </rPr>
          <t xml:space="preserve"> </t>
        </r>
        <r>
          <rPr>
            <sz val="9"/>
            <color indexed="81"/>
            <rFont val="돋움"/>
            <family val="3"/>
            <charset val="129"/>
          </rPr>
          <t>할인</t>
        </r>
        <r>
          <rPr>
            <sz val="9"/>
            <color indexed="81"/>
            <rFont val="Tahoma"/>
            <family val="2"/>
          </rPr>
          <t>) * 3%</t>
        </r>
      </text>
    </comment>
    <comment ref="V284" authorId="0" shapeId="0" xr:uid="{482DC024-44B4-44BA-8CF6-1B0F5740A60A}">
      <text>
        <r>
          <rPr>
            <b/>
            <sz val="9"/>
            <color indexed="81"/>
            <rFont val="Tahoma"/>
            <family val="2"/>
          </rPr>
          <t>user:</t>
        </r>
        <r>
          <rPr>
            <sz val="9"/>
            <color indexed="81"/>
            <rFont val="Tahoma"/>
            <family val="2"/>
          </rPr>
          <t xml:space="preserve">
(</t>
        </r>
        <r>
          <rPr>
            <sz val="9"/>
            <color indexed="81"/>
            <rFont val="돋움"/>
            <family val="3"/>
            <charset val="129"/>
          </rPr>
          <t>상품</t>
        </r>
        <r>
          <rPr>
            <sz val="9"/>
            <color indexed="81"/>
            <rFont val="Tahoma"/>
            <family val="2"/>
          </rPr>
          <t xml:space="preserve"> </t>
        </r>
        <r>
          <rPr>
            <sz val="9"/>
            <color indexed="81"/>
            <rFont val="돋움"/>
            <family val="3"/>
            <charset val="129"/>
          </rPr>
          <t>등재가</t>
        </r>
        <r>
          <rPr>
            <sz val="9"/>
            <color indexed="81"/>
            <rFont val="Tahoma"/>
            <family val="2"/>
          </rPr>
          <t xml:space="preserve"> – </t>
        </r>
        <r>
          <rPr>
            <sz val="9"/>
            <color indexed="81"/>
            <rFont val="돋움"/>
            <family val="3"/>
            <charset val="129"/>
          </rPr>
          <t>판매자</t>
        </r>
        <r>
          <rPr>
            <sz val="9"/>
            <color indexed="81"/>
            <rFont val="Tahoma"/>
            <family val="2"/>
          </rPr>
          <t xml:space="preserve"> </t>
        </r>
        <r>
          <rPr>
            <sz val="9"/>
            <color indexed="81"/>
            <rFont val="돋움"/>
            <family val="3"/>
            <charset val="129"/>
          </rPr>
          <t>설정</t>
        </r>
        <r>
          <rPr>
            <sz val="9"/>
            <color indexed="81"/>
            <rFont val="Tahoma"/>
            <family val="2"/>
          </rPr>
          <t xml:space="preserve"> </t>
        </r>
        <r>
          <rPr>
            <sz val="9"/>
            <color indexed="81"/>
            <rFont val="돋움"/>
            <family val="3"/>
            <charset val="129"/>
          </rPr>
          <t>할인</t>
        </r>
        <r>
          <rPr>
            <sz val="9"/>
            <color indexed="81"/>
            <rFont val="Tahoma"/>
            <family val="2"/>
          </rPr>
          <t>) * 3%</t>
        </r>
      </text>
    </comment>
    <comment ref="V290" authorId="0" shapeId="0" xr:uid="{94BE61F3-61D5-4DD2-A5C3-8BAF008CC18A}">
      <text>
        <r>
          <rPr>
            <b/>
            <sz val="9"/>
            <color indexed="81"/>
            <rFont val="Tahoma"/>
            <family val="2"/>
          </rPr>
          <t>user:</t>
        </r>
        <r>
          <rPr>
            <sz val="9"/>
            <color indexed="81"/>
            <rFont val="Tahoma"/>
            <family val="2"/>
          </rPr>
          <t xml:space="preserve">
(</t>
        </r>
        <r>
          <rPr>
            <sz val="9"/>
            <color indexed="81"/>
            <rFont val="돋움"/>
            <family val="3"/>
            <charset val="129"/>
          </rPr>
          <t>상품</t>
        </r>
        <r>
          <rPr>
            <sz val="9"/>
            <color indexed="81"/>
            <rFont val="Tahoma"/>
            <family val="2"/>
          </rPr>
          <t xml:space="preserve"> </t>
        </r>
        <r>
          <rPr>
            <sz val="9"/>
            <color indexed="81"/>
            <rFont val="돋움"/>
            <family val="3"/>
            <charset val="129"/>
          </rPr>
          <t>등재가</t>
        </r>
        <r>
          <rPr>
            <sz val="9"/>
            <color indexed="81"/>
            <rFont val="Tahoma"/>
            <family val="2"/>
          </rPr>
          <t xml:space="preserve"> – </t>
        </r>
        <r>
          <rPr>
            <sz val="9"/>
            <color indexed="81"/>
            <rFont val="돋움"/>
            <family val="3"/>
            <charset val="129"/>
          </rPr>
          <t>판매자</t>
        </r>
        <r>
          <rPr>
            <sz val="9"/>
            <color indexed="81"/>
            <rFont val="Tahoma"/>
            <family val="2"/>
          </rPr>
          <t xml:space="preserve"> </t>
        </r>
        <r>
          <rPr>
            <sz val="9"/>
            <color indexed="81"/>
            <rFont val="돋움"/>
            <family val="3"/>
            <charset val="129"/>
          </rPr>
          <t>설정</t>
        </r>
        <r>
          <rPr>
            <sz val="9"/>
            <color indexed="81"/>
            <rFont val="Tahoma"/>
            <family val="2"/>
          </rPr>
          <t xml:space="preserve"> </t>
        </r>
        <r>
          <rPr>
            <sz val="9"/>
            <color indexed="81"/>
            <rFont val="돋움"/>
            <family val="3"/>
            <charset val="129"/>
          </rPr>
          <t>할인</t>
        </r>
        <r>
          <rPr>
            <sz val="9"/>
            <color indexed="81"/>
            <rFont val="Tahoma"/>
            <family val="2"/>
          </rPr>
          <t>) * 3%</t>
        </r>
      </text>
    </comment>
    <comment ref="V297" authorId="0" shapeId="0" xr:uid="{4A9CD395-C8FD-46DE-9B0D-24A185BA07B3}">
      <text>
        <r>
          <rPr>
            <b/>
            <sz val="9"/>
            <color indexed="81"/>
            <rFont val="Tahoma"/>
            <family val="2"/>
          </rPr>
          <t>user:</t>
        </r>
        <r>
          <rPr>
            <sz val="9"/>
            <color indexed="81"/>
            <rFont val="Tahoma"/>
            <family val="2"/>
          </rPr>
          <t xml:space="preserve">
(</t>
        </r>
        <r>
          <rPr>
            <sz val="9"/>
            <color indexed="81"/>
            <rFont val="돋움"/>
            <family val="3"/>
            <charset val="129"/>
          </rPr>
          <t>상품</t>
        </r>
        <r>
          <rPr>
            <sz val="9"/>
            <color indexed="81"/>
            <rFont val="Tahoma"/>
            <family val="2"/>
          </rPr>
          <t xml:space="preserve"> </t>
        </r>
        <r>
          <rPr>
            <sz val="9"/>
            <color indexed="81"/>
            <rFont val="돋움"/>
            <family val="3"/>
            <charset val="129"/>
          </rPr>
          <t>등재가</t>
        </r>
        <r>
          <rPr>
            <sz val="9"/>
            <color indexed="81"/>
            <rFont val="Tahoma"/>
            <family val="2"/>
          </rPr>
          <t xml:space="preserve"> – </t>
        </r>
        <r>
          <rPr>
            <sz val="9"/>
            <color indexed="81"/>
            <rFont val="돋움"/>
            <family val="3"/>
            <charset val="129"/>
          </rPr>
          <t>판매자</t>
        </r>
        <r>
          <rPr>
            <sz val="9"/>
            <color indexed="81"/>
            <rFont val="Tahoma"/>
            <family val="2"/>
          </rPr>
          <t xml:space="preserve"> </t>
        </r>
        <r>
          <rPr>
            <sz val="9"/>
            <color indexed="81"/>
            <rFont val="돋움"/>
            <family val="3"/>
            <charset val="129"/>
          </rPr>
          <t>설정</t>
        </r>
        <r>
          <rPr>
            <sz val="9"/>
            <color indexed="81"/>
            <rFont val="Tahoma"/>
            <family val="2"/>
          </rPr>
          <t xml:space="preserve"> </t>
        </r>
        <r>
          <rPr>
            <sz val="9"/>
            <color indexed="81"/>
            <rFont val="돋움"/>
            <family val="3"/>
            <charset val="129"/>
          </rPr>
          <t>할인</t>
        </r>
        <r>
          <rPr>
            <sz val="9"/>
            <color indexed="81"/>
            <rFont val="Tahoma"/>
            <family val="2"/>
          </rPr>
          <t>) * 3%</t>
        </r>
      </text>
    </comment>
    <comment ref="V302" authorId="0" shapeId="0" xr:uid="{83095871-1629-426F-BE90-A64CF67CCEC9}">
      <text>
        <r>
          <rPr>
            <b/>
            <sz val="9"/>
            <color indexed="81"/>
            <rFont val="Tahoma"/>
            <family val="2"/>
          </rPr>
          <t>user:</t>
        </r>
        <r>
          <rPr>
            <sz val="9"/>
            <color indexed="81"/>
            <rFont val="Tahoma"/>
            <family val="2"/>
          </rPr>
          <t xml:space="preserve">
(</t>
        </r>
        <r>
          <rPr>
            <sz val="9"/>
            <color indexed="81"/>
            <rFont val="돋움"/>
            <family val="3"/>
            <charset val="129"/>
          </rPr>
          <t>상품</t>
        </r>
        <r>
          <rPr>
            <sz val="9"/>
            <color indexed="81"/>
            <rFont val="Tahoma"/>
            <family val="2"/>
          </rPr>
          <t xml:space="preserve"> </t>
        </r>
        <r>
          <rPr>
            <sz val="9"/>
            <color indexed="81"/>
            <rFont val="돋움"/>
            <family val="3"/>
            <charset val="129"/>
          </rPr>
          <t>등재가</t>
        </r>
        <r>
          <rPr>
            <sz val="9"/>
            <color indexed="81"/>
            <rFont val="Tahoma"/>
            <family val="2"/>
          </rPr>
          <t xml:space="preserve"> – </t>
        </r>
        <r>
          <rPr>
            <sz val="9"/>
            <color indexed="81"/>
            <rFont val="돋움"/>
            <family val="3"/>
            <charset val="129"/>
          </rPr>
          <t>판매자</t>
        </r>
        <r>
          <rPr>
            <sz val="9"/>
            <color indexed="81"/>
            <rFont val="Tahoma"/>
            <family val="2"/>
          </rPr>
          <t xml:space="preserve"> </t>
        </r>
        <r>
          <rPr>
            <sz val="9"/>
            <color indexed="81"/>
            <rFont val="돋움"/>
            <family val="3"/>
            <charset val="129"/>
          </rPr>
          <t>설정</t>
        </r>
        <r>
          <rPr>
            <sz val="9"/>
            <color indexed="81"/>
            <rFont val="Tahoma"/>
            <family val="2"/>
          </rPr>
          <t xml:space="preserve"> </t>
        </r>
        <r>
          <rPr>
            <sz val="9"/>
            <color indexed="81"/>
            <rFont val="돋움"/>
            <family val="3"/>
            <charset val="129"/>
          </rPr>
          <t>할인</t>
        </r>
        <r>
          <rPr>
            <sz val="9"/>
            <color indexed="81"/>
            <rFont val="Tahoma"/>
            <family val="2"/>
          </rPr>
          <t>) * 3%</t>
        </r>
      </text>
    </comment>
    <comment ref="V308" authorId="0" shapeId="0" xr:uid="{10AD9FD1-3693-489F-B0BC-127B4587D23A}">
      <text>
        <r>
          <rPr>
            <b/>
            <sz val="9"/>
            <color indexed="81"/>
            <rFont val="Tahoma"/>
            <family val="2"/>
          </rPr>
          <t>user:</t>
        </r>
        <r>
          <rPr>
            <sz val="9"/>
            <color indexed="81"/>
            <rFont val="Tahoma"/>
            <family val="2"/>
          </rPr>
          <t xml:space="preserve">
(</t>
        </r>
        <r>
          <rPr>
            <sz val="9"/>
            <color indexed="81"/>
            <rFont val="돋움"/>
            <family val="3"/>
            <charset val="129"/>
          </rPr>
          <t>상품</t>
        </r>
        <r>
          <rPr>
            <sz val="9"/>
            <color indexed="81"/>
            <rFont val="Tahoma"/>
            <family val="2"/>
          </rPr>
          <t xml:space="preserve"> </t>
        </r>
        <r>
          <rPr>
            <sz val="9"/>
            <color indexed="81"/>
            <rFont val="돋움"/>
            <family val="3"/>
            <charset val="129"/>
          </rPr>
          <t>등재가</t>
        </r>
        <r>
          <rPr>
            <sz val="9"/>
            <color indexed="81"/>
            <rFont val="Tahoma"/>
            <family val="2"/>
          </rPr>
          <t xml:space="preserve"> – </t>
        </r>
        <r>
          <rPr>
            <sz val="9"/>
            <color indexed="81"/>
            <rFont val="돋움"/>
            <family val="3"/>
            <charset val="129"/>
          </rPr>
          <t>판매자</t>
        </r>
        <r>
          <rPr>
            <sz val="9"/>
            <color indexed="81"/>
            <rFont val="Tahoma"/>
            <family val="2"/>
          </rPr>
          <t xml:space="preserve"> </t>
        </r>
        <r>
          <rPr>
            <sz val="9"/>
            <color indexed="81"/>
            <rFont val="돋움"/>
            <family val="3"/>
            <charset val="129"/>
          </rPr>
          <t>설정</t>
        </r>
        <r>
          <rPr>
            <sz val="9"/>
            <color indexed="81"/>
            <rFont val="Tahoma"/>
            <family val="2"/>
          </rPr>
          <t xml:space="preserve"> </t>
        </r>
        <r>
          <rPr>
            <sz val="9"/>
            <color indexed="81"/>
            <rFont val="돋움"/>
            <family val="3"/>
            <charset val="129"/>
          </rPr>
          <t>할인</t>
        </r>
        <r>
          <rPr>
            <sz val="9"/>
            <color indexed="81"/>
            <rFont val="Tahoma"/>
            <family val="2"/>
          </rPr>
          <t>) * 3%</t>
        </r>
      </text>
    </comment>
    <comment ref="V314" authorId="0" shapeId="0" xr:uid="{71111396-9328-47CC-BFEF-28CD947653E8}">
      <text>
        <r>
          <rPr>
            <b/>
            <sz val="9"/>
            <color indexed="81"/>
            <rFont val="Tahoma"/>
            <family val="2"/>
          </rPr>
          <t>user:</t>
        </r>
        <r>
          <rPr>
            <sz val="9"/>
            <color indexed="81"/>
            <rFont val="Tahoma"/>
            <family val="2"/>
          </rPr>
          <t xml:space="preserve">
(</t>
        </r>
        <r>
          <rPr>
            <sz val="9"/>
            <color indexed="81"/>
            <rFont val="돋움"/>
            <family val="3"/>
            <charset val="129"/>
          </rPr>
          <t>상품</t>
        </r>
        <r>
          <rPr>
            <sz val="9"/>
            <color indexed="81"/>
            <rFont val="Tahoma"/>
            <family val="2"/>
          </rPr>
          <t xml:space="preserve"> </t>
        </r>
        <r>
          <rPr>
            <sz val="9"/>
            <color indexed="81"/>
            <rFont val="돋움"/>
            <family val="3"/>
            <charset val="129"/>
          </rPr>
          <t>등재가</t>
        </r>
        <r>
          <rPr>
            <sz val="9"/>
            <color indexed="81"/>
            <rFont val="Tahoma"/>
            <family val="2"/>
          </rPr>
          <t xml:space="preserve"> – </t>
        </r>
        <r>
          <rPr>
            <sz val="9"/>
            <color indexed="81"/>
            <rFont val="돋움"/>
            <family val="3"/>
            <charset val="129"/>
          </rPr>
          <t>판매자</t>
        </r>
        <r>
          <rPr>
            <sz val="9"/>
            <color indexed="81"/>
            <rFont val="Tahoma"/>
            <family val="2"/>
          </rPr>
          <t xml:space="preserve"> </t>
        </r>
        <r>
          <rPr>
            <sz val="9"/>
            <color indexed="81"/>
            <rFont val="돋움"/>
            <family val="3"/>
            <charset val="129"/>
          </rPr>
          <t>설정</t>
        </r>
        <r>
          <rPr>
            <sz val="9"/>
            <color indexed="81"/>
            <rFont val="Tahoma"/>
            <family val="2"/>
          </rPr>
          <t xml:space="preserve"> </t>
        </r>
        <r>
          <rPr>
            <sz val="9"/>
            <color indexed="81"/>
            <rFont val="돋움"/>
            <family val="3"/>
            <charset val="129"/>
          </rPr>
          <t>할인</t>
        </r>
        <r>
          <rPr>
            <sz val="9"/>
            <color indexed="81"/>
            <rFont val="Tahoma"/>
            <family val="2"/>
          </rPr>
          <t>) * 3%</t>
        </r>
      </text>
    </comment>
    <comment ref="V320" authorId="0" shapeId="0" xr:uid="{369CC70B-AFDF-4020-B303-68EA7857C932}">
      <text>
        <r>
          <rPr>
            <b/>
            <sz val="9"/>
            <color indexed="81"/>
            <rFont val="Tahoma"/>
            <family val="2"/>
          </rPr>
          <t>user:</t>
        </r>
        <r>
          <rPr>
            <sz val="9"/>
            <color indexed="81"/>
            <rFont val="Tahoma"/>
            <family val="2"/>
          </rPr>
          <t xml:space="preserve">
(</t>
        </r>
        <r>
          <rPr>
            <sz val="9"/>
            <color indexed="81"/>
            <rFont val="돋움"/>
            <family val="3"/>
            <charset val="129"/>
          </rPr>
          <t>상품</t>
        </r>
        <r>
          <rPr>
            <sz val="9"/>
            <color indexed="81"/>
            <rFont val="Tahoma"/>
            <family val="2"/>
          </rPr>
          <t xml:space="preserve"> </t>
        </r>
        <r>
          <rPr>
            <sz val="9"/>
            <color indexed="81"/>
            <rFont val="돋움"/>
            <family val="3"/>
            <charset val="129"/>
          </rPr>
          <t>등재가</t>
        </r>
        <r>
          <rPr>
            <sz val="9"/>
            <color indexed="81"/>
            <rFont val="Tahoma"/>
            <family val="2"/>
          </rPr>
          <t xml:space="preserve"> – </t>
        </r>
        <r>
          <rPr>
            <sz val="9"/>
            <color indexed="81"/>
            <rFont val="돋움"/>
            <family val="3"/>
            <charset val="129"/>
          </rPr>
          <t>판매자</t>
        </r>
        <r>
          <rPr>
            <sz val="9"/>
            <color indexed="81"/>
            <rFont val="Tahoma"/>
            <family val="2"/>
          </rPr>
          <t xml:space="preserve"> </t>
        </r>
        <r>
          <rPr>
            <sz val="9"/>
            <color indexed="81"/>
            <rFont val="돋움"/>
            <family val="3"/>
            <charset val="129"/>
          </rPr>
          <t>설정</t>
        </r>
        <r>
          <rPr>
            <sz val="9"/>
            <color indexed="81"/>
            <rFont val="Tahoma"/>
            <family val="2"/>
          </rPr>
          <t xml:space="preserve"> </t>
        </r>
        <r>
          <rPr>
            <sz val="9"/>
            <color indexed="81"/>
            <rFont val="돋움"/>
            <family val="3"/>
            <charset val="129"/>
          </rPr>
          <t>할인</t>
        </r>
        <r>
          <rPr>
            <sz val="9"/>
            <color indexed="81"/>
            <rFont val="Tahoma"/>
            <family val="2"/>
          </rPr>
          <t>) * 3%</t>
        </r>
      </text>
    </comment>
    <comment ref="V325" authorId="0" shapeId="0" xr:uid="{C7A79D7E-0872-45CC-A199-5E47679E7D22}">
      <text>
        <r>
          <rPr>
            <b/>
            <sz val="9"/>
            <color indexed="81"/>
            <rFont val="Tahoma"/>
            <family val="2"/>
          </rPr>
          <t>user:</t>
        </r>
        <r>
          <rPr>
            <sz val="9"/>
            <color indexed="81"/>
            <rFont val="Tahoma"/>
            <family val="2"/>
          </rPr>
          <t xml:space="preserve">
(</t>
        </r>
        <r>
          <rPr>
            <sz val="9"/>
            <color indexed="81"/>
            <rFont val="돋움"/>
            <family val="3"/>
            <charset val="129"/>
          </rPr>
          <t>상품</t>
        </r>
        <r>
          <rPr>
            <sz val="9"/>
            <color indexed="81"/>
            <rFont val="Tahoma"/>
            <family val="2"/>
          </rPr>
          <t xml:space="preserve"> </t>
        </r>
        <r>
          <rPr>
            <sz val="9"/>
            <color indexed="81"/>
            <rFont val="돋움"/>
            <family val="3"/>
            <charset val="129"/>
          </rPr>
          <t>등재가</t>
        </r>
        <r>
          <rPr>
            <sz val="9"/>
            <color indexed="81"/>
            <rFont val="Tahoma"/>
            <family val="2"/>
          </rPr>
          <t xml:space="preserve"> – </t>
        </r>
        <r>
          <rPr>
            <sz val="9"/>
            <color indexed="81"/>
            <rFont val="돋움"/>
            <family val="3"/>
            <charset val="129"/>
          </rPr>
          <t>판매자</t>
        </r>
        <r>
          <rPr>
            <sz val="9"/>
            <color indexed="81"/>
            <rFont val="Tahoma"/>
            <family val="2"/>
          </rPr>
          <t xml:space="preserve"> </t>
        </r>
        <r>
          <rPr>
            <sz val="9"/>
            <color indexed="81"/>
            <rFont val="돋움"/>
            <family val="3"/>
            <charset val="129"/>
          </rPr>
          <t>설정</t>
        </r>
        <r>
          <rPr>
            <sz val="9"/>
            <color indexed="81"/>
            <rFont val="Tahoma"/>
            <family val="2"/>
          </rPr>
          <t xml:space="preserve"> </t>
        </r>
        <r>
          <rPr>
            <sz val="9"/>
            <color indexed="81"/>
            <rFont val="돋움"/>
            <family val="3"/>
            <charset val="129"/>
          </rPr>
          <t>할인</t>
        </r>
        <r>
          <rPr>
            <sz val="9"/>
            <color indexed="81"/>
            <rFont val="Tahoma"/>
            <family val="2"/>
          </rPr>
          <t>) * 3%</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user</author>
  </authors>
  <commentList>
    <comment ref="V13" authorId="0" shapeId="0" xr:uid="{A5E34387-F826-415F-BE9B-43CEFDC4C78E}">
      <text>
        <r>
          <rPr>
            <b/>
            <sz val="9"/>
            <color indexed="81"/>
            <rFont val="Tahoma"/>
            <family val="2"/>
          </rPr>
          <t>user:</t>
        </r>
        <r>
          <rPr>
            <sz val="9"/>
            <color indexed="81"/>
            <rFont val="Tahoma"/>
            <family val="2"/>
          </rPr>
          <t xml:space="preserve">
(</t>
        </r>
        <r>
          <rPr>
            <sz val="9"/>
            <color indexed="81"/>
            <rFont val="돋움"/>
            <family val="3"/>
            <charset val="129"/>
          </rPr>
          <t>상품</t>
        </r>
        <r>
          <rPr>
            <sz val="9"/>
            <color indexed="81"/>
            <rFont val="Tahoma"/>
            <family val="2"/>
          </rPr>
          <t xml:space="preserve"> </t>
        </r>
        <r>
          <rPr>
            <sz val="9"/>
            <color indexed="81"/>
            <rFont val="돋움"/>
            <family val="3"/>
            <charset val="129"/>
          </rPr>
          <t>등재가</t>
        </r>
        <r>
          <rPr>
            <sz val="9"/>
            <color indexed="81"/>
            <rFont val="Tahoma"/>
            <family val="2"/>
          </rPr>
          <t xml:space="preserve"> – </t>
        </r>
        <r>
          <rPr>
            <sz val="9"/>
            <color indexed="81"/>
            <rFont val="돋움"/>
            <family val="3"/>
            <charset val="129"/>
          </rPr>
          <t>판매자</t>
        </r>
        <r>
          <rPr>
            <sz val="9"/>
            <color indexed="81"/>
            <rFont val="Tahoma"/>
            <family val="2"/>
          </rPr>
          <t xml:space="preserve"> </t>
        </r>
        <r>
          <rPr>
            <sz val="9"/>
            <color indexed="81"/>
            <rFont val="돋움"/>
            <family val="3"/>
            <charset val="129"/>
          </rPr>
          <t>설정</t>
        </r>
        <r>
          <rPr>
            <sz val="9"/>
            <color indexed="81"/>
            <rFont val="Tahoma"/>
            <family val="2"/>
          </rPr>
          <t xml:space="preserve"> </t>
        </r>
        <r>
          <rPr>
            <sz val="9"/>
            <color indexed="81"/>
            <rFont val="돋움"/>
            <family val="3"/>
            <charset val="129"/>
          </rPr>
          <t>할인</t>
        </r>
        <r>
          <rPr>
            <sz val="9"/>
            <color indexed="81"/>
            <rFont val="Tahoma"/>
            <family val="2"/>
          </rPr>
          <t>) * 3%</t>
        </r>
      </text>
    </comment>
    <comment ref="V18" authorId="0" shapeId="0" xr:uid="{D1521EEE-304C-4D12-8242-21A74CB396E6}">
      <text>
        <r>
          <rPr>
            <b/>
            <sz val="9"/>
            <color indexed="81"/>
            <rFont val="Tahoma"/>
            <family val="2"/>
          </rPr>
          <t>user:</t>
        </r>
        <r>
          <rPr>
            <sz val="9"/>
            <color indexed="81"/>
            <rFont val="Tahoma"/>
            <family val="2"/>
          </rPr>
          <t xml:space="preserve">
(</t>
        </r>
        <r>
          <rPr>
            <sz val="9"/>
            <color indexed="81"/>
            <rFont val="돋움"/>
            <family val="3"/>
            <charset val="129"/>
          </rPr>
          <t>상품</t>
        </r>
        <r>
          <rPr>
            <sz val="9"/>
            <color indexed="81"/>
            <rFont val="Tahoma"/>
            <family val="2"/>
          </rPr>
          <t xml:space="preserve"> </t>
        </r>
        <r>
          <rPr>
            <sz val="9"/>
            <color indexed="81"/>
            <rFont val="돋움"/>
            <family val="3"/>
            <charset val="129"/>
          </rPr>
          <t>등재가</t>
        </r>
        <r>
          <rPr>
            <sz val="9"/>
            <color indexed="81"/>
            <rFont val="Tahoma"/>
            <family val="2"/>
          </rPr>
          <t xml:space="preserve"> – </t>
        </r>
        <r>
          <rPr>
            <sz val="9"/>
            <color indexed="81"/>
            <rFont val="돋움"/>
            <family val="3"/>
            <charset val="129"/>
          </rPr>
          <t>판매자</t>
        </r>
        <r>
          <rPr>
            <sz val="9"/>
            <color indexed="81"/>
            <rFont val="Tahoma"/>
            <family val="2"/>
          </rPr>
          <t xml:space="preserve"> </t>
        </r>
        <r>
          <rPr>
            <sz val="9"/>
            <color indexed="81"/>
            <rFont val="돋움"/>
            <family val="3"/>
            <charset val="129"/>
          </rPr>
          <t>설정</t>
        </r>
        <r>
          <rPr>
            <sz val="9"/>
            <color indexed="81"/>
            <rFont val="Tahoma"/>
            <family val="2"/>
          </rPr>
          <t xml:space="preserve"> </t>
        </r>
        <r>
          <rPr>
            <sz val="9"/>
            <color indexed="81"/>
            <rFont val="돋움"/>
            <family val="3"/>
            <charset val="129"/>
          </rPr>
          <t>할인</t>
        </r>
        <r>
          <rPr>
            <sz val="9"/>
            <color indexed="81"/>
            <rFont val="Tahoma"/>
            <family val="2"/>
          </rPr>
          <t>) * 3%</t>
        </r>
      </text>
    </comment>
    <comment ref="V23" authorId="0" shapeId="0" xr:uid="{6BA24FB8-62B3-449B-BC06-F63B07332C42}">
      <text>
        <r>
          <rPr>
            <b/>
            <sz val="9"/>
            <color indexed="81"/>
            <rFont val="Tahoma"/>
            <family val="2"/>
          </rPr>
          <t>user:</t>
        </r>
        <r>
          <rPr>
            <sz val="9"/>
            <color indexed="81"/>
            <rFont val="Tahoma"/>
            <family val="2"/>
          </rPr>
          <t xml:space="preserve">
(</t>
        </r>
        <r>
          <rPr>
            <sz val="9"/>
            <color indexed="81"/>
            <rFont val="돋움"/>
            <family val="3"/>
            <charset val="129"/>
          </rPr>
          <t>상품</t>
        </r>
        <r>
          <rPr>
            <sz val="9"/>
            <color indexed="81"/>
            <rFont val="Tahoma"/>
            <family val="2"/>
          </rPr>
          <t xml:space="preserve"> </t>
        </r>
        <r>
          <rPr>
            <sz val="9"/>
            <color indexed="81"/>
            <rFont val="돋움"/>
            <family val="3"/>
            <charset val="129"/>
          </rPr>
          <t>등재가</t>
        </r>
        <r>
          <rPr>
            <sz val="9"/>
            <color indexed="81"/>
            <rFont val="Tahoma"/>
            <family val="2"/>
          </rPr>
          <t xml:space="preserve"> – </t>
        </r>
        <r>
          <rPr>
            <sz val="9"/>
            <color indexed="81"/>
            <rFont val="돋움"/>
            <family val="3"/>
            <charset val="129"/>
          </rPr>
          <t>판매자</t>
        </r>
        <r>
          <rPr>
            <sz val="9"/>
            <color indexed="81"/>
            <rFont val="Tahoma"/>
            <family val="2"/>
          </rPr>
          <t xml:space="preserve"> </t>
        </r>
        <r>
          <rPr>
            <sz val="9"/>
            <color indexed="81"/>
            <rFont val="돋움"/>
            <family val="3"/>
            <charset val="129"/>
          </rPr>
          <t>설정</t>
        </r>
        <r>
          <rPr>
            <sz val="9"/>
            <color indexed="81"/>
            <rFont val="Tahoma"/>
            <family val="2"/>
          </rPr>
          <t xml:space="preserve"> </t>
        </r>
        <r>
          <rPr>
            <sz val="9"/>
            <color indexed="81"/>
            <rFont val="돋움"/>
            <family val="3"/>
            <charset val="129"/>
          </rPr>
          <t>할인</t>
        </r>
        <r>
          <rPr>
            <sz val="9"/>
            <color indexed="81"/>
            <rFont val="Tahoma"/>
            <family val="2"/>
          </rPr>
          <t>) * 3%</t>
        </r>
      </text>
    </comment>
    <comment ref="V28" authorId="0" shapeId="0" xr:uid="{E2FA6E1F-CB46-4EC3-AD24-556E5C467749}">
      <text>
        <r>
          <rPr>
            <b/>
            <sz val="9"/>
            <color indexed="81"/>
            <rFont val="Tahoma"/>
            <family val="2"/>
          </rPr>
          <t>user:</t>
        </r>
        <r>
          <rPr>
            <sz val="9"/>
            <color indexed="81"/>
            <rFont val="Tahoma"/>
            <family val="2"/>
          </rPr>
          <t xml:space="preserve">
(</t>
        </r>
        <r>
          <rPr>
            <sz val="9"/>
            <color indexed="81"/>
            <rFont val="돋움"/>
            <family val="3"/>
            <charset val="129"/>
          </rPr>
          <t>상품</t>
        </r>
        <r>
          <rPr>
            <sz val="9"/>
            <color indexed="81"/>
            <rFont val="Tahoma"/>
            <family val="2"/>
          </rPr>
          <t xml:space="preserve"> </t>
        </r>
        <r>
          <rPr>
            <sz val="9"/>
            <color indexed="81"/>
            <rFont val="돋움"/>
            <family val="3"/>
            <charset val="129"/>
          </rPr>
          <t>등재가</t>
        </r>
        <r>
          <rPr>
            <sz val="9"/>
            <color indexed="81"/>
            <rFont val="Tahoma"/>
            <family val="2"/>
          </rPr>
          <t xml:space="preserve"> – </t>
        </r>
        <r>
          <rPr>
            <sz val="9"/>
            <color indexed="81"/>
            <rFont val="돋움"/>
            <family val="3"/>
            <charset val="129"/>
          </rPr>
          <t>판매자</t>
        </r>
        <r>
          <rPr>
            <sz val="9"/>
            <color indexed="81"/>
            <rFont val="Tahoma"/>
            <family val="2"/>
          </rPr>
          <t xml:space="preserve"> </t>
        </r>
        <r>
          <rPr>
            <sz val="9"/>
            <color indexed="81"/>
            <rFont val="돋움"/>
            <family val="3"/>
            <charset val="129"/>
          </rPr>
          <t>설정</t>
        </r>
        <r>
          <rPr>
            <sz val="9"/>
            <color indexed="81"/>
            <rFont val="Tahoma"/>
            <family val="2"/>
          </rPr>
          <t xml:space="preserve"> </t>
        </r>
        <r>
          <rPr>
            <sz val="9"/>
            <color indexed="81"/>
            <rFont val="돋움"/>
            <family val="3"/>
            <charset val="129"/>
          </rPr>
          <t>할인</t>
        </r>
        <r>
          <rPr>
            <sz val="9"/>
            <color indexed="81"/>
            <rFont val="Tahoma"/>
            <family val="2"/>
          </rPr>
          <t>) * 3%</t>
        </r>
      </text>
    </comment>
    <comment ref="V33" authorId="0" shapeId="0" xr:uid="{9EDEA762-2EAB-4A17-BC3F-4438E6716502}">
      <text>
        <r>
          <rPr>
            <b/>
            <sz val="9"/>
            <color indexed="81"/>
            <rFont val="Tahoma"/>
            <family val="2"/>
          </rPr>
          <t>user:</t>
        </r>
        <r>
          <rPr>
            <sz val="9"/>
            <color indexed="81"/>
            <rFont val="Tahoma"/>
            <family val="2"/>
          </rPr>
          <t xml:space="preserve">
(</t>
        </r>
        <r>
          <rPr>
            <sz val="9"/>
            <color indexed="81"/>
            <rFont val="돋움"/>
            <family val="3"/>
            <charset val="129"/>
          </rPr>
          <t>상품</t>
        </r>
        <r>
          <rPr>
            <sz val="9"/>
            <color indexed="81"/>
            <rFont val="Tahoma"/>
            <family val="2"/>
          </rPr>
          <t xml:space="preserve"> </t>
        </r>
        <r>
          <rPr>
            <sz val="9"/>
            <color indexed="81"/>
            <rFont val="돋움"/>
            <family val="3"/>
            <charset val="129"/>
          </rPr>
          <t>등재가</t>
        </r>
        <r>
          <rPr>
            <sz val="9"/>
            <color indexed="81"/>
            <rFont val="Tahoma"/>
            <family val="2"/>
          </rPr>
          <t xml:space="preserve"> – </t>
        </r>
        <r>
          <rPr>
            <sz val="9"/>
            <color indexed="81"/>
            <rFont val="돋움"/>
            <family val="3"/>
            <charset val="129"/>
          </rPr>
          <t>판매자</t>
        </r>
        <r>
          <rPr>
            <sz val="9"/>
            <color indexed="81"/>
            <rFont val="Tahoma"/>
            <family val="2"/>
          </rPr>
          <t xml:space="preserve"> </t>
        </r>
        <r>
          <rPr>
            <sz val="9"/>
            <color indexed="81"/>
            <rFont val="돋움"/>
            <family val="3"/>
            <charset val="129"/>
          </rPr>
          <t>설정</t>
        </r>
        <r>
          <rPr>
            <sz val="9"/>
            <color indexed="81"/>
            <rFont val="Tahoma"/>
            <family val="2"/>
          </rPr>
          <t xml:space="preserve"> </t>
        </r>
        <r>
          <rPr>
            <sz val="9"/>
            <color indexed="81"/>
            <rFont val="돋움"/>
            <family val="3"/>
            <charset val="129"/>
          </rPr>
          <t>할인</t>
        </r>
        <r>
          <rPr>
            <sz val="9"/>
            <color indexed="81"/>
            <rFont val="Tahoma"/>
            <family val="2"/>
          </rPr>
          <t>) * 3%</t>
        </r>
      </text>
    </comment>
    <comment ref="V40" authorId="0" shapeId="0" xr:uid="{C3140885-428C-4294-9275-E208A6F519FE}">
      <text>
        <r>
          <rPr>
            <b/>
            <sz val="9"/>
            <color indexed="81"/>
            <rFont val="Tahoma"/>
            <family val="2"/>
          </rPr>
          <t>user:</t>
        </r>
        <r>
          <rPr>
            <sz val="9"/>
            <color indexed="81"/>
            <rFont val="Tahoma"/>
            <family val="2"/>
          </rPr>
          <t xml:space="preserve">
(</t>
        </r>
        <r>
          <rPr>
            <sz val="9"/>
            <color indexed="81"/>
            <rFont val="돋움"/>
            <family val="3"/>
            <charset val="129"/>
          </rPr>
          <t>상품</t>
        </r>
        <r>
          <rPr>
            <sz val="9"/>
            <color indexed="81"/>
            <rFont val="Tahoma"/>
            <family val="2"/>
          </rPr>
          <t xml:space="preserve"> </t>
        </r>
        <r>
          <rPr>
            <sz val="9"/>
            <color indexed="81"/>
            <rFont val="돋움"/>
            <family val="3"/>
            <charset val="129"/>
          </rPr>
          <t>등재가</t>
        </r>
        <r>
          <rPr>
            <sz val="9"/>
            <color indexed="81"/>
            <rFont val="Tahoma"/>
            <family val="2"/>
          </rPr>
          <t xml:space="preserve"> – </t>
        </r>
        <r>
          <rPr>
            <sz val="9"/>
            <color indexed="81"/>
            <rFont val="돋움"/>
            <family val="3"/>
            <charset val="129"/>
          </rPr>
          <t>판매자</t>
        </r>
        <r>
          <rPr>
            <sz val="9"/>
            <color indexed="81"/>
            <rFont val="Tahoma"/>
            <family val="2"/>
          </rPr>
          <t xml:space="preserve"> </t>
        </r>
        <r>
          <rPr>
            <sz val="9"/>
            <color indexed="81"/>
            <rFont val="돋움"/>
            <family val="3"/>
            <charset val="129"/>
          </rPr>
          <t>설정</t>
        </r>
        <r>
          <rPr>
            <sz val="9"/>
            <color indexed="81"/>
            <rFont val="Tahoma"/>
            <family val="2"/>
          </rPr>
          <t xml:space="preserve"> </t>
        </r>
        <r>
          <rPr>
            <sz val="9"/>
            <color indexed="81"/>
            <rFont val="돋움"/>
            <family val="3"/>
            <charset val="129"/>
          </rPr>
          <t>할인</t>
        </r>
        <r>
          <rPr>
            <sz val="9"/>
            <color indexed="81"/>
            <rFont val="Tahoma"/>
            <family val="2"/>
          </rPr>
          <t>) * 3%</t>
        </r>
      </text>
    </comment>
    <comment ref="V45" authorId="0" shapeId="0" xr:uid="{B6F76224-9F97-4CF8-B01F-1A28A96B4816}">
      <text>
        <r>
          <rPr>
            <b/>
            <sz val="9"/>
            <color indexed="81"/>
            <rFont val="Tahoma"/>
            <family val="2"/>
          </rPr>
          <t>user:</t>
        </r>
        <r>
          <rPr>
            <sz val="9"/>
            <color indexed="81"/>
            <rFont val="Tahoma"/>
            <family val="2"/>
          </rPr>
          <t xml:space="preserve">
(</t>
        </r>
        <r>
          <rPr>
            <sz val="9"/>
            <color indexed="81"/>
            <rFont val="돋움"/>
            <family val="3"/>
            <charset val="129"/>
          </rPr>
          <t>상품</t>
        </r>
        <r>
          <rPr>
            <sz val="9"/>
            <color indexed="81"/>
            <rFont val="Tahoma"/>
            <family val="2"/>
          </rPr>
          <t xml:space="preserve"> </t>
        </r>
        <r>
          <rPr>
            <sz val="9"/>
            <color indexed="81"/>
            <rFont val="돋움"/>
            <family val="3"/>
            <charset val="129"/>
          </rPr>
          <t>등재가</t>
        </r>
        <r>
          <rPr>
            <sz val="9"/>
            <color indexed="81"/>
            <rFont val="Tahoma"/>
            <family val="2"/>
          </rPr>
          <t xml:space="preserve"> – </t>
        </r>
        <r>
          <rPr>
            <sz val="9"/>
            <color indexed="81"/>
            <rFont val="돋움"/>
            <family val="3"/>
            <charset val="129"/>
          </rPr>
          <t>판매자</t>
        </r>
        <r>
          <rPr>
            <sz val="9"/>
            <color indexed="81"/>
            <rFont val="Tahoma"/>
            <family val="2"/>
          </rPr>
          <t xml:space="preserve"> </t>
        </r>
        <r>
          <rPr>
            <sz val="9"/>
            <color indexed="81"/>
            <rFont val="돋움"/>
            <family val="3"/>
            <charset val="129"/>
          </rPr>
          <t>설정</t>
        </r>
        <r>
          <rPr>
            <sz val="9"/>
            <color indexed="81"/>
            <rFont val="Tahoma"/>
            <family val="2"/>
          </rPr>
          <t xml:space="preserve"> </t>
        </r>
        <r>
          <rPr>
            <sz val="9"/>
            <color indexed="81"/>
            <rFont val="돋움"/>
            <family val="3"/>
            <charset val="129"/>
          </rPr>
          <t>할인</t>
        </r>
        <r>
          <rPr>
            <sz val="9"/>
            <color indexed="81"/>
            <rFont val="Tahoma"/>
            <family val="2"/>
          </rPr>
          <t>) * 3%</t>
        </r>
      </text>
    </comment>
  </commentList>
</comments>
</file>

<file path=xl/sharedStrings.xml><?xml version="1.0" encoding="utf-8"?>
<sst xmlns="http://schemas.openxmlformats.org/spreadsheetml/2006/main" count="9215" uniqueCount="175">
  <si>
    <t>노트북</t>
  </si>
  <si>
    <t>사은품 주고
최종
마진률</t>
    <phoneticPr fontId="3" type="noConversion"/>
  </si>
  <si>
    <t>사은품 주면
마진</t>
    <phoneticPr fontId="3" type="noConversion"/>
  </si>
  <si>
    <t xml:space="preserve">사은품2
모델명
: </t>
    <phoneticPr fontId="3" type="noConversion"/>
  </si>
  <si>
    <t xml:space="preserve">사은품1
모델명
: </t>
    <phoneticPr fontId="3" type="noConversion"/>
  </si>
  <si>
    <t>최종
마진률</t>
    <phoneticPr fontId="3" type="noConversion"/>
  </si>
  <si>
    <t>지원받으면
마진</t>
    <phoneticPr fontId="3" type="noConversion"/>
  </si>
  <si>
    <t>지원2
ASUS</t>
    <phoneticPr fontId="3" type="noConversion"/>
  </si>
  <si>
    <t>지원1
(중복쿠폰)
ASUS</t>
    <phoneticPr fontId="3" type="noConversion"/>
  </si>
  <si>
    <t>원가대비</t>
    <phoneticPr fontId="3" type="noConversion"/>
  </si>
  <si>
    <t>마진율</t>
    <phoneticPr fontId="3" type="noConversion"/>
  </si>
  <si>
    <t>원가</t>
    <phoneticPr fontId="3" type="noConversion"/>
  </si>
  <si>
    <t>마진</t>
    <phoneticPr fontId="3" type="noConversion"/>
  </si>
  <si>
    <t>배송비+카할
적용된
하이최종
정산가</t>
    <phoneticPr fontId="3" type="noConversion"/>
  </si>
  <si>
    <t>마켓 정산가</t>
    <phoneticPr fontId="3" type="noConversion"/>
  </si>
  <si>
    <t>배송비</t>
    <phoneticPr fontId="3" type="noConversion"/>
  </si>
  <si>
    <t>후원</t>
    <phoneticPr fontId="3" type="noConversion"/>
  </si>
  <si>
    <t>카드할인
판매자부담</t>
    <phoneticPr fontId="3" type="noConversion"/>
  </si>
  <si>
    <t>선택쿠폰
판매자 부담</t>
    <phoneticPr fontId="3" type="noConversion"/>
  </si>
  <si>
    <t>고정쿠폰
판매자 부담율</t>
    <phoneticPr fontId="3" type="noConversion"/>
  </si>
  <si>
    <t>가격비교
수수료</t>
    <phoneticPr fontId="3" type="noConversion"/>
  </si>
  <si>
    <t>카테고리
수수료</t>
    <phoneticPr fontId="3" type="noConversion"/>
  </si>
  <si>
    <t>최종가
(카드할인+장바구니 적용값)</t>
    <phoneticPr fontId="3" type="noConversion"/>
  </si>
  <si>
    <r>
      <t xml:space="preserve">쿠폰 적용가
</t>
    </r>
    <r>
      <rPr>
        <sz val="8"/>
        <color theme="1"/>
        <rFont val="맑은 고딕"/>
        <family val="3"/>
        <charset val="129"/>
        <scheme val="minor"/>
      </rPr>
      <t>(장바+카드할인은
적용 안된 값)</t>
    </r>
    <phoneticPr fontId="3" type="noConversion"/>
  </si>
  <si>
    <t>추가쿠폰
(장바구니 등등)</t>
    <phoneticPr fontId="3" type="noConversion"/>
  </si>
  <si>
    <t>카드할인
몇% 몇만</t>
    <phoneticPr fontId="3" type="noConversion"/>
  </si>
  <si>
    <t>등재가
(고정쿠폰)</t>
    <phoneticPr fontId="3" type="noConversion"/>
  </si>
  <si>
    <t>SRP</t>
    <phoneticPr fontId="3" type="noConversion"/>
  </si>
  <si>
    <t>상품코드</t>
    <phoneticPr fontId="3" type="noConversion"/>
  </si>
  <si>
    <t>카테고리</t>
    <phoneticPr fontId="3" type="noConversion"/>
  </si>
  <si>
    <t>사이트</t>
    <phoneticPr fontId="3" type="noConversion"/>
  </si>
  <si>
    <t>사은품 적용 최종마진</t>
    <phoneticPr fontId="3" type="noConversion"/>
  </si>
  <si>
    <t>하이케이넷 최종 마진</t>
    <phoneticPr fontId="3" type="noConversion"/>
  </si>
  <si>
    <t>수수료</t>
    <phoneticPr fontId="3" type="noConversion"/>
  </si>
  <si>
    <t>모델명</t>
    <phoneticPr fontId="3" type="noConversion"/>
  </si>
  <si>
    <t>지마켓</t>
    <phoneticPr fontId="3" type="noConversion"/>
  </si>
  <si>
    <t>지원1</t>
    <phoneticPr fontId="3" type="noConversion"/>
  </si>
  <si>
    <t>지원3</t>
    <phoneticPr fontId="3" type="noConversion"/>
  </si>
  <si>
    <t>지원4</t>
    <phoneticPr fontId="3" type="noConversion"/>
  </si>
  <si>
    <t>GZ302EA-RU110W</t>
    <phoneticPr fontId="3" type="noConversion"/>
  </si>
  <si>
    <t>ROG Flow Z13</t>
    <phoneticPr fontId="3" type="noConversion"/>
  </si>
  <si>
    <t>ROG Strix SCAR</t>
    <phoneticPr fontId="3" type="noConversion"/>
  </si>
  <si>
    <t>G635LW-RW128W</t>
    <phoneticPr fontId="3" type="noConversion"/>
  </si>
  <si>
    <t>G835LW-SA045W</t>
    <phoneticPr fontId="3" type="noConversion"/>
  </si>
  <si>
    <t>GZ302EA-RU013W</t>
    <phoneticPr fontId="3" type="noConversion"/>
  </si>
  <si>
    <t>GZ302EA-RU007W</t>
    <phoneticPr fontId="3" type="noConversion"/>
  </si>
  <si>
    <t>엑스퍼트북</t>
    <phoneticPr fontId="3" type="noConversion"/>
  </si>
  <si>
    <t>P1503CVA-S70532</t>
    <phoneticPr fontId="3" type="noConversion"/>
  </si>
  <si>
    <t>판매자
중복쿠폰 부담</t>
    <phoneticPr fontId="3" type="noConversion"/>
  </si>
  <si>
    <t>마켓 중복쿠폰
판매자 부담</t>
    <phoneticPr fontId="3" type="noConversion"/>
  </si>
  <si>
    <r>
      <t>판매자 중복쿠폰
몇% 몇만</t>
    </r>
    <r>
      <rPr>
        <b/>
        <sz val="10"/>
        <color rgb="FFFF0000"/>
        <rFont val="맑은 고딕"/>
        <family val="3"/>
        <charset val="129"/>
        <scheme val="minor"/>
      </rPr>
      <t>(상단)</t>
    </r>
    <phoneticPr fontId="3" type="noConversion"/>
  </si>
  <si>
    <r>
      <t>선택쿠폰
몇% 몇만</t>
    </r>
    <r>
      <rPr>
        <b/>
        <sz val="10"/>
        <color rgb="FFFF0000"/>
        <rFont val="맑은 고딕"/>
        <family val="3"/>
        <charset val="129"/>
        <scheme val="minor"/>
      </rPr>
      <t>(링크)</t>
    </r>
    <phoneticPr fontId="3" type="noConversion"/>
  </si>
  <si>
    <t>역쿠▼</t>
    <phoneticPr fontId="3" type="noConversion"/>
  </si>
  <si>
    <t>M3607KA-SH035W</t>
    <phoneticPr fontId="3" type="noConversion"/>
  </si>
  <si>
    <t>비보북S</t>
    <phoneticPr fontId="3" type="noConversion"/>
  </si>
  <si>
    <t>M3407KA-SF073W</t>
    <phoneticPr fontId="3" type="noConversion"/>
  </si>
  <si>
    <t>M3607KA-SH034W</t>
    <phoneticPr fontId="3" type="noConversion"/>
  </si>
  <si>
    <t>PM1503CDA-S70069</t>
    <phoneticPr fontId="3" type="noConversion"/>
  </si>
  <si>
    <t>B3605CCA-MB0348</t>
    <phoneticPr fontId="3" type="noConversion"/>
  </si>
  <si>
    <t>B3605CCA-MB0349</t>
    <phoneticPr fontId="3" type="noConversion"/>
  </si>
  <si>
    <t>B3604CMA-Q90540</t>
    <phoneticPr fontId="3" type="noConversion"/>
  </si>
  <si>
    <t>PM3606CKA-MB0224</t>
    <phoneticPr fontId="3" type="noConversion"/>
  </si>
  <si>
    <r>
      <t>마켓 중복쿠폰
몇% 몇만</t>
    </r>
    <r>
      <rPr>
        <b/>
        <sz val="10"/>
        <color rgb="FFFF0000"/>
        <rFont val="맑은 고딕"/>
        <family val="3"/>
        <charset val="129"/>
        <scheme val="minor"/>
      </rPr>
      <t>(링크)</t>
    </r>
    <phoneticPr fontId="3" type="noConversion"/>
  </si>
  <si>
    <r>
      <t>선택쿠폰
몇% 몇만</t>
    </r>
    <r>
      <rPr>
        <b/>
        <sz val="10"/>
        <color rgb="FFFF0000"/>
        <rFont val="맑은 고딕"/>
        <family val="3"/>
        <charset val="129"/>
        <scheme val="minor"/>
      </rPr>
      <t>(상단)</t>
    </r>
    <phoneticPr fontId="3" type="noConversion"/>
  </si>
  <si>
    <t>PM3606CKA-MB0222</t>
    <phoneticPr fontId="3" type="noConversion"/>
  </si>
  <si>
    <t>PM3606CKA-MB0223</t>
    <phoneticPr fontId="3" type="noConversion"/>
  </si>
  <si>
    <t>PM3606CKA-MB0225</t>
    <phoneticPr fontId="3" type="noConversion"/>
  </si>
  <si>
    <t>쿠폰 다운링크
지마켓 선택 12% URL
https://rpp.gmarket.co.kr/?exhib=210148
옥션 선택 12% URL
https://rpp.auction.co.kr/?exhib=210149
대원 제품 선택쿠폰 링크
지마켓
https://rpp.gmarket.co.kr/?exhib=241265
옥션
https://rpp.auction.co.kr/?exhib=241270
엑스퍼트 기획전
https://rpp.gmarket.co.kr/?exhib=246468
https://rpp.auction.co.kr/?exhib=246486</t>
    <phoneticPr fontId="3" type="noConversion"/>
  </si>
  <si>
    <t>빅스</t>
    <phoneticPr fontId="3" type="noConversion"/>
  </si>
  <si>
    <t>블프제품
2% 수수료</t>
    <phoneticPr fontId="3" type="noConversion"/>
  </si>
  <si>
    <t>1-1번 블프 2025-1128(금) ~ 30(일) / G락페 1201(월) ~ 1203(수)</t>
    <phoneticPr fontId="3" type="noConversion"/>
  </si>
  <si>
    <t>지원1
이베이 지원</t>
    <phoneticPr fontId="3" type="noConversion"/>
  </si>
  <si>
    <t>지원2</t>
    <phoneticPr fontId="3" type="noConversion"/>
  </si>
  <si>
    <t>M3607KA-SH106W</t>
    <phoneticPr fontId="3" type="noConversion"/>
  </si>
  <si>
    <t>2-1번 빡세일 2025-1208(월) ~ 14(일)</t>
    <phoneticPr fontId="3" type="noConversion"/>
  </si>
  <si>
    <t>테스트</t>
    <phoneticPr fontId="3" type="noConversion"/>
  </si>
  <si>
    <t>P1503CVA-S72002</t>
    <phoneticPr fontId="3" type="noConversion"/>
  </si>
  <si>
    <t>2% 수수료</t>
    <phoneticPr fontId="3" type="noConversion"/>
  </si>
  <si>
    <t>비보북S ▼</t>
    <phoneticPr fontId="3" type="noConversion"/>
  </si>
  <si>
    <t>XG MOBILE</t>
    <phoneticPr fontId="3" type="noConversion"/>
  </si>
  <si>
    <t>노트북</t>
    <phoneticPr fontId="3" type="noConversion"/>
  </si>
  <si>
    <t>GC34R-034 / 5070Ti</t>
    <phoneticPr fontId="3" type="noConversion"/>
  </si>
  <si>
    <t>1-3번 1월행사 26-0108(일)~0113(화) 중쿠 13만 1만원 지원 / 10%쿠폰으로 변경 / 이든</t>
    <phoneticPr fontId="3" type="noConversion"/>
  </si>
  <si>
    <t>1-3번 1월행사 26-0108(일)~0113(화) 중쿠 13만 1만원 지원 / 10%쿠폰으로 변경 / 이든 / 1-10 토</t>
    <phoneticPr fontId="3" type="noConversion"/>
  </si>
  <si>
    <t>오세요 결제 시뮬_1</t>
    <phoneticPr fontId="3" type="noConversion"/>
  </si>
  <si>
    <t>오세요 결제 시뮬_2</t>
    <phoneticPr fontId="3" type="noConversion"/>
  </si>
  <si>
    <t>임시</t>
    <phoneticPr fontId="3" type="noConversion"/>
  </si>
  <si>
    <t>프로아트</t>
    <phoneticPr fontId="3" type="noConversion"/>
  </si>
  <si>
    <t>2-1번 빡세일 26-0114(수)~0118(일) 중쿠 13만 1만원 지원</t>
    <phoneticPr fontId="3" type="noConversion"/>
  </si>
  <si>
    <t>요청해야됨</t>
    <phoneticPr fontId="3" type="noConversion"/>
  </si>
  <si>
    <t>1-3번 1월행사 26-0108(일)~0113(화) 중쿠 13만 1만원 지원 / 10%쿠폰으로 변경 / 이든 / 1-10 토 / 혹시 딜지원을 받는다면?</t>
    <phoneticPr fontId="3" type="noConversion"/>
  </si>
  <si>
    <t>아이티 터프 시뮬</t>
    <phoneticPr fontId="3" type="noConversion"/>
  </si>
  <si>
    <t>FA808UP-S8017</t>
    <phoneticPr fontId="3" type="noConversion"/>
  </si>
  <si>
    <t>HN7306EA-LX090W</t>
    <phoneticPr fontId="3" type="noConversion"/>
  </si>
  <si>
    <t>HN7306EAC-LX057W</t>
    <phoneticPr fontId="3" type="noConversion"/>
  </si>
  <si>
    <t>행사 수수료</t>
    <phoneticPr fontId="3" type="noConversion"/>
  </si>
  <si>
    <t>4-1번 설 빅세일26-0126(월) ~ 0212(목)</t>
    <phoneticPr fontId="3" type="noConversion"/>
  </si>
  <si>
    <t>P1503CVA-S70534</t>
    <phoneticPr fontId="3" type="noConversion"/>
  </si>
  <si>
    <t>3만원 지원있을시 카할 O</t>
    <phoneticPr fontId="3" type="noConversion"/>
  </si>
  <si>
    <t>3만원 지원있을시 카할 X</t>
    <phoneticPr fontId="3" type="noConversion"/>
  </si>
  <si>
    <t>카할 X</t>
    <phoneticPr fontId="3" type="noConversion"/>
  </si>
  <si>
    <t>ProArt</t>
    <phoneticPr fontId="3" type="noConversion"/>
  </si>
  <si>
    <t>아이티 49만</t>
    <phoneticPr fontId="3" type="noConversion"/>
  </si>
  <si>
    <t>아이띠</t>
    <phoneticPr fontId="3" type="noConversion"/>
  </si>
  <si>
    <t>아이티 지락페</t>
    <phoneticPr fontId="3" type="noConversion"/>
  </si>
  <si>
    <t>2-1번 빡세일 26-0309(월)~0322(일)</t>
    <phoneticPr fontId="3" type="noConversion"/>
  </si>
  <si>
    <t>PM3606CKA-MB0469</t>
    <phoneticPr fontId="3" type="noConversion"/>
  </si>
  <si>
    <t>2-2번 빡세일 26-0306(금)~0322(일) 이걸로 확정</t>
    <phoneticPr fontId="3" type="noConversion"/>
  </si>
  <si>
    <t>기존 35대 + 23대 6999 썸탄 가격</t>
    <phoneticPr fontId="3" type="noConversion"/>
  </si>
  <si>
    <t>고프로 최종가 5999 최종가 예상 시뮬</t>
    <phoneticPr fontId="3" type="noConversion"/>
  </si>
  <si>
    <t>3월 지원금 예정 아직 안나옴</t>
    <phoneticPr fontId="3" type="noConversion"/>
  </si>
  <si>
    <t>HT7407NA-SN034W</t>
    <phoneticPr fontId="3" type="noConversion"/>
  </si>
  <si>
    <t>예상</t>
    <phoneticPr fontId="3" type="noConversion"/>
  </si>
  <si>
    <t>3-17 6만원 지원 테스트</t>
    <phoneticPr fontId="3" type="noConversion"/>
  </si>
  <si>
    <t>1-1번 블프 2025-1128(금) ~ 30(일) / G락페 1201(월) ~ 1203(수) 랜더스 쇼핑 페스타 테스트</t>
    <phoneticPr fontId="3" type="noConversion"/>
  </si>
  <si>
    <t>3-1번 행사없음 26-0323(월)~0327(금) / 스폐셜 코드</t>
    <phoneticPr fontId="3" type="noConversion"/>
  </si>
  <si>
    <t>쿠폰 다운링크
지마켓 선택 12% URL
https://rpp.gmarket.co.kr/?exhib=210148
옥션 선택 12% URL
https://rpp.auction.co.kr/?exhib=210149
대원 제품 중복 링크
지마켓
https://rpp.gmarket.co.kr/?exhib=241265
옥션
https://rpp.auction.co.kr/?exhib=241270
엑스퍼트 기획전
https://rpp.gmarket.co.kr/?exhib=246468
https://rpp.auction.co.kr/?exhib=246486
프로아트 기획전 URL
https://rpp.gmarket.co.kr/?exhib=263212
https://rpp.auction.co.kr/?exhib=263213</t>
    <phoneticPr fontId="3" type="noConversion"/>
  </si>
  <si>
    <t>1-1번 랜더스행사 26-0330(월)~0408(목)</t>
    <phoneticPr fontId="3" type="noConversion"/>
  </si>
  <si>
    <t>B3605CCA-MB0348 후속</t>
    <phoneticPr fontId="3" type="noConversion"/>
  </si>
  <si>
    <t>4월</t>
    <phoneticPr fontId="3" type="noConversion"/>
  </si>
  <si>
    <t>3월</t>
    <phoneticPr fontId="3" type="noConversion"/>
  </si>
  <si>
    <t xml:space="preserve">안녕하세요? G마켓 김민욱 입니다.
3/30~4/8 진행하는 랜더스 쇼핑 페스타 Digital 화이트리스트 (=선택 쿠폰 적용 됨) 
취합을 바로 좀 부탁 드립니다. 
https://docs.google.com/spreadsheets/d/1uktg3l6pe19ffL3zwN1cuJHc4Pl_3jME9997aM_5pSk/edit?gid=1157942848#gid=1157942848
랜더스 쇼핑 페스타 탭입니다. 
화이트리스트 Seller ID 취합 시
웹폼에서 셀러가 직접 행사 참여 제외한 상품번호 + 추후 수기로 제외 요청한 상품번호를 
제외한 모든 상품에는
1만 이상 7%, 최대 40만 Mass B1 쿠폰 이 적용됩니다. (디지털/가전/PC Cat. 한정, 분담율 : G마켓 100%)
또한 전사 랜쇼페 선택 쿠폰도 동시 적용될 예정이며, 이 경우에는 전체 카테고리에 적용됩니다.
프로모션 참여 수수료는 2% 입니다.
------------------------------------------------------------------------------
안녕하세요? G마켓 김민욱 입니다. 
이번 랜더스 쇼핑 페스타 기간 동안 선택 쿠폰이 7% 일괄로 진행 하려 했으나, 
매출 향상을 위해 제가 별도로 선택 쿠폰을 등록하여 진행하려 합니다. 
-   PC 노트북 : 선택 쿠폰 8% ( 100% G마켓 부담 ) 
-   모니터&amp;프린터 : 선택 쿠폰 10% ( 셀러 15% / G마켓 85 % 부담 ) 
즉 노트북은 랜더스 참여 수수료 2% 감안하여 9% 수수료에 8% 선택 쿠폰이 붙는 것이고
모니터&amp;프린터는 9% 수수료에 8.5% 가 붙는 것으로 이해하시면 될 거 같습니다. 
https://docs.google.com/spreadsheets/d/1uktg3l6pe19ffL3zwN1cuJHc4Pl_3jME9997aM_5pSk/edit?gid=1157942848#gid=1157942848
위의 경로에 금일 퇴근 전까지 취합 부탁 드립니다. </t>
    <phoneticPr fontId="3" type="noConversion"/>
  </si>
  <si>
    <t>TUF ▼</t>
    <phoneticPr fontId="3" type="noConversion"/>
  </si>
  <si>
    <t>FA808UP-S4885</t>
    <phoneticPr fontId="3" type="noConversion"/>
  </si>
  <si>
    <t>2-1번 디지털 빡세일 26-0413(월)~0419(일)</t>
    <phoneticPr fontId="3" type="noConversion"/>
  </si>
  <si>
    <t>2-1번 디지털 빡세일 26-0413(월)~0428(화)</t>
    <phoneticPr fontId="3" type="noConversion"/>
  </si>
  <si>
    <t>2-2번 디지털 빡세일 26-0413(월)~0428(화)</t>
    <phoneticPr fontId="3" type="noConversion"/>
  </si>
  <si>
    <t>2-3번 디지털 빡세일 26-0413(월)~0428(화)</t>
    <phoneticPr fontId="3" type="noConversion"/>
  </si>
  <si>
    <t>5월 빅스 테스트</t>
    <phoneticPr fontId="3" type="noConversion"/>
  </si>
  <si>
    <t>2-3번 디지털 빡세일 26-0423(금)~0428(화)</t>
    <phoneticPr fontId="3" type="noConversion"/>
  </si>
  <si>
    <t>1번 빅스마일데이 26-0506(수)~0519(화)</t>
    <phoneticPr fontId="3" type="noConversion"/>
  </si>
  <si>
    <t>선택 쿠폰 9% / 100% G마켓 부담  ( BSD 참여 수수료 3% 부과 )
카드 할인 7% 7만 ( 50 : 50 부담 ), 7% 15만 ( 최종 결제금액 120만 이상 고가 제품 )
BSD 진행 기간 : 5/6~5/19일
5월 BSD 타겟으로 꼭멤버십 현재 진행하고 있으며, 하기 링크 통해 상세내용 확인 부탁드립니다. 
가능하시다면, 5월 행사 시 썸네일/배너/상세페이지에 최종가 안내 하실 때 꼭멤버십 적립금을 통해 고객체감가를 낮춰서 안내 부탁드립니다. 
https://m.gmarket.co.kr/n/showroom/membership#bene1
1. 누적결제금액 20만원까지는 5%, 20만원 초과 320만원까지는 2%가 적립됩니다.
2. 적립된 캐시는 적립일로부터 90일간 사용 가능하고 출금이 불가합니다. 캐시는 유효기간이 먼저 도래하는 순서로 사용됩니다.
3. 쿠폰 할인 금액, 배송비, 기타 회사 정책으로 정한 일부 적용 제외 카테고리 및 상품 등의 결제 금액은 멤버십 적립 금액 산정 시 제외됩니다.
4. 구매결정 시점 및 구매 취소/환불에 따라 실제 적립 금액은 일부 달라질 수 있습니다.
5. 멤버십 이용기간이 연장될 때마다 적립은 새로 시작됩니다.
*이 외 적립 혜택 관련 세부 유의 사항은 꼭 멤버십 FAQ에서 확인해주세요.</t>
    <phoneticPr fontId="3" type="noConversion"/>
  </si>
  <si>
    <t>1-2번 랜더스행사 26-0402(목)~0408(목)</t>
    <phoneticPr fontId="3" type="noConversion"/>
  </si>
  <si>
    <t>1-3번 랜더스행사 26-0403(금)~0408(목)</t>
    <phoneticPr fontId="3" type="noConversion"/>
  </si>
  <si>
    <t>1-2번 랜더스행사 26-0403(화)~0408(목)</t>
    <phoneticPr fontId="3" type="noConversion"/>
  </si>
  <si>
    <t>1-2번 랜더스행사 26-0331(화)~0408(목)</t>
    <phoneticPr fontId="3" type="noConversion"/>
  </si>
  <si>
    <t>스마일카드 
적립금 2%</t>
    <phoneticPr fontId="3" type="noConversion"/>
  </si>
  <si>
    <t>구매 최종가
(카드할인+장바구니)</t>
    <phoneticPr fontId="3" type="noConversion"/>
  </si>
  <si>
    <t>PM1503CDA-S70069</t>
    <phoneticPr fontId="3" type="noConversion"/>
  </si>
  <si>
    <t>후속 : S70324</t>
    <phoneticPr fontId="3" type="noConversion"/>
  </si>
  <si>
    <t>해오름꺼 따야됨</t>
    <phoneticPr fontId="3" type="noConversion"/>
  </si>
  <si>
    <t>고객 구매 결과값</t>
    <phoneticPr fontId="3" type="noConversion"/>
  </si>
  <si>
    <t>적립 최종 체감가
(최종가-적립금)</t>
    <phoneticPr fontId="3" type="noConversion"/>
  </si>
  <si>
    <t>꼭멤버 혜택1
적립(최대1만)</t>
    <phoneticPr fontId="3" type="noConversion"/>
  </si>
  <si>
    <t>꼭멤버 혜택2
적립 (최대6만)</t>
    <phoneticPr fontId="3" type="noConversion"/>
  </si>
  <si>
    <t>1번 빅스마일데이 26-0506(수)~0519(화) / 둘다 만들어줘</t>
    <phoneticPr fontId="3" type="noConversion"/>
  </si>
  <si>
    <r>
      <t>마켓 중복쿠폰
몇% 몇만</t>
    </r>
    <r>
      <rPr>
        <b/>
        <sz val="10"/>
        <color theme="4"/>
        <rFont val="맑은 고딕"/>
        <family val="3"/>
        <charset val="129"/>
        <scheme val="minor"/>
      </rPr>
      <t>(링크)</t>
    </r>
    <phoneticPr fontId="3" type="noConversion"/>
  </si>
  <si>
    <t>적립액 (쿠폰 적용가가 20만원 안넘는 제품은 혜택2 적용 안됨)</t>
    <phoneticPr fontId="3" type="noConversion"/>
  </si>
  <si>
    <t>G635LW-RW128W</t>
    <phoneticPr fontId="3" type="noConversion"/>
  </si>
  <si>
    <t>HN7306EA-LX090W</t>
    <phoneticPr fontId="3" type="noConversion"/>
  </si>
  <si>
    <t>HN7306EAC-LX057W</t>
    <phoneticPr fontId="3" type="noConversion"/>
  </si>
  <si>
    <t>FA808UP-S4885</t>
    <phoneticPr fontId="3" type="noConversion"/>
  </si>
  <si>
    <t>M3407KA-SF073W</t>
    <phoneticPr fontId="3" type="noConversion"/>
  </si>
  <si>
    <t>M3607KA-SH034W</t>
    <phoneticPr fontId="3" type="noConversion"/>
  </si>
  <si>
    <t>M3607KA-SH035W</t>
    <phoneticPr fontId="3" type="noConversion"/>
  </si>
  <si>
    <t>M3407GA-SF033W</t>
    <phoneticPr fontId="3" type="noConversion"/>
  </si>
  <si>
    <t>M3607GA-SH056W</t>
    <phoneticPr fontId="3" type="noConversion"/>
  </si>
  <si>
    <t>GC34R-034 / 5070Ti</t>
    <phoneticPr fontId="3" type="noConversion"/>
  </si>
  <si>
    <t>P1503CVA-S72002</t>
    <phoneticPr fontId="3" type="noConversion"/>
  </si>
  <si>
    <t>P1503CVA-S70532</t>
    <phoneticPr fontId="3" type="noConversion"/>
  </si>
  <si>
    <t>P1503CVA-S70534</t>
    <phoneticPr fontId="3" type="noConversion"/>
  </si>
  <si>
    <t>P1503CVA-S72018</t>
    <phoneticPr fontId="3" type="noConversion"/>
  </si>
  <si>
    <t>PM3606CKA-MB0223</t>
    <phoneticPr fontId="3" type="noConversion"/>
  </si>
  <si>
    <t>PM3606CKA-MB0225</t>
    <phoneticPr fontId="3" type="noConversion"/>
  </si>
  <si>
    <t>PM3606CKA-MB0469</t>
    <phoneticPr fontId="3" type="noConversion"/>
  </si>
  <si>
    <t>B3605CCA-MB0348</t>
    <phoneticPr fontId="3" type="noConversion"/>
  </si>
  <si>
    <t>B3605CCA-MB0349</t>
    <phoneticPr fontId="3" type="noConversion"/>
  </si>
  <si>
    <t>적립액 (N열 쿠폰 적용가가 20만원 안넘는 제품은 혜택2 적용 안됨)</t>
    <phoneticPr fontId="3" type="noConversion"/>
  </si>
  <si>
    <t>ProArt ▼</t>
    <phoneticPr fontId="3" type="noConversion"/>
  </si>
  <si>
    <t>ROG Strix SCAR ▼</t>
    <phoneticPr fontId="3" type="noConversion"/>
  </si>
  <si>
    <t>ROG Flow Z13 ▼</t>
    <phoneticPr fontId="3" type="noConversion"/>
  </si>
  <si>
    <t>XG MOBILE ▼</t>
    <phoneticPr fontId="3" type="noConversion"/>
  </si>
  <si>
    <t>엑스퍼트북 ▼</t>
    <phoneticPr fontId="3" type="noConversion"/>
  </si>
  <si>
    <t>김능환 고객 시뮬</t>
    <phoneticPr fontId="3" type="noConversion"/>
  </si>
  <si>
    <t>김능환 고객 시뮬 / 카할 없을시</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</si>
</sst>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1" formatCode="_-* #,##0_-;\-* #,##0_-;_-* &quot;-&quot;_-;_-@_-"/>
    <numFmt numFmtId="176" formatCode="_-* #,##0_-;\-* #,##0_-;_-* &quot;-&quot;?_-;_-@_-"/>
    <numFmt numFmtId="177" formatCode="#,##0_ "/>
    <numFmt numFmtId="178" formatCode="#,##0_ ;[Red]\-#,##0\ "/>
    <numFmt numFmtId="179" formatCode="0.0%"/>
  </numFmts>
  <fonts count="32" x14ac:knownFonts="1">
    <font>
      <sz val="11"/>
      <color theme="1"/>
      <name val="맑은 고딕"/>
      <family val="2"/>
      <charset val="129"/>
      <scheme val="minor"/>
    </font>
    <font>
      <sz val="11"/>
      <color theme="1"/>
      <name val="맑은 고딕"/>
      <family val="2"/>
      <charset val="129"/>
      <scheme val="minor"/>
    </font>
    <font>
      <sz val="11"/>
      <color theme="0"/>
      <name val="맑은 고딕"/>
      <family val="2"/>
      <charset val="129"/>
      <scheme val="minor"/>
    </font>
    <font>
      <sz val="8"/>
      <name val="맑은 고딕"/>
      <family val="2"/>
      <charset val="129"/>
      <scheme val="minor"/>
    </font>
    <font>
      <sz val="10"/>
      <color theme="1"/>
      <name val="맑은 고딕"/>
      <family val="2"/>
      <charset val="129"/>
      <scheme val="minor"/>
    </font>
    <font>
      <sz val="10"/>
      <color theme="1"/>
      <name val="맑은 고딕"/>
      <family val="3"/>
      <charset val="129"/>
      <scheme val="minor"/>
    </font>
    <font>
      <sz val="10"/>
      <color rgb="FFFF0000"/>
      <name val="맑은 고딕"/>
      <family val="2"/>
      <charset val="129"/>
      <scheme val="minor"/>
    </font>
    <font>
      <b/>
      <sz val="10"/>
      <name val="맑은 고딕"/>
      <family val="3"/>
      <charset val="129"/>
    </font>
    <font>
      <sz val="10"/>
      <name val="맑은 고딕"/>
      <family val="3"/>
      <charset val="129"/>
    </font>
    <font>
      <sz val="10"/>
      <color theme="1"/>
      <name val="맑은 고딕"/>
      <family val="3"/>
      <charset val="129"/>
    </font>
    <font>
      <b/>
      <sz val="10"/>
      <color theme="1"/>
      <name val="맑은 고딕"/>
      <family val="3"/>
      <charset val="129"/>
      <scheme val="minor"/>
    </font>
    <font>
      <b/>
      <sz val="10"/>
      <color rgb="FFFF0000"/>
      <name val="맑은 고딕"/>
      <family val="3"/>
      <charset val="129"/>
      <scheme val="minor"/>
    </font>
    <font>
      <sz val="8"/>
      <color theme="1"/>
      <name val="맑은 고딕"/>
      <family val="3"/>
      <charset val="129"/>
      <scheme val="minor"/>
    </font>
    <font>
      <sz val="10"/>
      <color rgb="FF00B050"/>
      <name val="맑은 고딕"/>
      <family val="3"/>
      <charset val="129"/>
    </font>
    <font>
      <b/>
      <sz val="10"/>
      <color rgb="FF000000"/>
      <name val="맑은 고딕"/>
      <family val="3"/>
      <charset val="129"/>
      <scheme val="minor"/>
    </font>
    <font>
      <sz val="20"/>
      <color theme="1"/>
      <name val="맑은 고딕"/>
      <family val="2"/>
      <charset val="129"/>
      <scheme val="minor"/>
    </font>
    <font>
      <sz val="10"/>
      <color rgb="FF000000"/>
      <name val="맑은 고딕"/>
      <family val="3"/>
      <charset val="129"/>
      <scheme val="minor"/>
    </font>
    <font>
      <sz val="10"/>
      <color rgb="FFFF0000"/>
      <name val="맑은 고딕"/>
      <family val="3"/>
      <charset val="129"/>
      <scheme val="minor"/>
    </font>
    <font>
      <sz val="9"/>
      <color indexed="81"/>
      <name val="Tahoma"/>
      <family val="2"/>
    </font>
    <font>
      <b/>
      <sz val="9"/>
      <color indexed="81"/>
      <name val="Tahoma"/>
      <family val="2"/>
    </font>
    <font>
      <sz val="9"/>
      <color indexed="81"/>
      <name val="돋움"/>
      <family val="3"/>
      <charset val="129"/>
    </font>
    <font>
      <b/>
      <sz val="13"/>
      <color theme="0"/>
      <name val="맑은 고딕"/>
      <family val="3"/>
      <charset val="129"/>
      <scheme val="minor"/>
    </font>
    <font>
      <sz val="13"/>
      <color theme="1"/>
      <name val="맑은 고딕"/>
      <family val="3"/>
      <charset val="129"/>
      <scheme val="minor"/>
    </font>
    <font>
      <b/>
      <sz val="13"/>
      <name val="맑은 고딕"/>
      <family val="3"/>
      <charset val="129"/>
      <scheme val="minor"/>
    </font>
    <font>
      <b/>
      <sz val="13"/>
      <color theme="1"/>
      <name val="맑은 고딕"/>
      <family val="3"/>
      <charset val="129"/>
      <scheme val="minor"/>
    </font>
    <font>
      <b/>
      <sz val="10"/>
      <color rgb="FFC87700"/>
      <name val="맑은 고딕"/>
      <family val="3"/>
      <charset val="129"/>
      <scheme val="minor"/>
    </font>
    <font>
      <b/>
      <sz val="10"/>
      <color rgb="FFFFFF00"/>
      <name val="맑은 고딕"/>
      <family val="3"/>
      <charset val="129"/>
      <scheme val="minor"/>
    </font>
    <font>
      <b/>
      <sz val="10"/>
      <color theme="5"/>
      <name val="맑은 고딕"/>
      <family val="3"/>
      <charset val="129"/>
      <scheme val="minor"/>
    </font>
    <font>
      <sz val="10"/>
      <color rgb="FF00B050"/>
      <name val="맑은 고딕"/>
      <family val="2"/>
      <charset val="129"/>
      <scheme val="minor"/>
    </font>
    <font>
      <b/>
      <sz val="10"/>
      <color rgb="FF00B050"/>
      <name val="맑은 고딕"/>
      <family val="3"/>
      <charset val="129"/>
      <scheme val="minor"/>
    </font>
    <font>
      <b/>
      <sz val="10"/>
      <color theme="4"/>
      <name val="맑은 고딕"/>
      <family val="3"/>
      <charset val="129"/>
      <scheme val="minor"/>
    </font>
    <font>
      <b/>
      <sz val="10"/>
      <color theme="9" tint="-0.249977111117893"/>
      <name val="맑은 고딕"/>
      <family val="3"/>
      <charset val="129"/>
      <scheme val="minor"/>
    </font>
  </fonts>
  <fills count="15">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theme="8" tint="0.59999389629810485"/>
        <bgColor indexed="64"/>
      </patternFill>
    </fill>
    <fill>
      <patternFill patternType="solid">
        <fgColor theme="8" tint="0.39997558519241921"/>
        <bgColor indexed="64"/>
      </patternFill>
    </fill>
    <fill>
      <patternFill patternType="solid">
        <fgColor theme="0" tint="-0.249977111117893"/>
        <bgColor indexed="64"/>
      </patternFill>
    </fill>
    <fill>
      <patternFill patternType="solid">
        <fgColor rgb="FFBFBFBF"/>
        <bgColor rgb="FF000000"/>
      </patternFill>
    </fill>
    <fill>
      <patternFill patternType="solid">
        <fgColor rgb="FFFFFFFF"/>
        <bgColor rgb="FF000000"/>
      </patternFill>
    </fill>
    <fill>
      <patternFill patternType="solid">
        <fgColor rgb="FFFFFF00"/>
        <bgColor rgb="FF000000"/>
      </patternFill>
    </fill>
    <fill>
      <patternFill patternType="solid">
        <fgColor theme="1"/>
        <bgColor indexed="64"/>
      </patternFill>
    </fill>
    <fill>
      <patternFill patternType="solid">
        <fgColor rgb="FFFF0000"/>
        <bgColor indexed="64"/>
      </patternFill>
    </fill>
    <fill>
      <patternFill patternType="solid">
        <fgColor rgb="FFFF9900"/>
        <bgColor indexed="64"/>
      </patternFill>
    </fill>
    <fill>
      <patternFill patternType="solid">
        <fgColor rgb="FF00B0F0"/>
        <bgColor indexed="64"/>
      </patternFill>
    </fill>
    <fill>
      <patternFill patternType="solid">
        <fgColor rgb="FFFFC000"/>
        <bgColor indexed="64"/>
      </patternFill>
    </fill>
  </fills>
  <borders count="12">
    <border>
      <left/>
      <right/>
      <top/>
      <bottom/>
      <diagonal/>
    </border>
    <border>
      <left/>
      <right/>
      <top style="thin">
        <color indexed="64"/>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thin">
        <color indexed="64"/>
      </top>
      <bottom style="thin">
        <color indexed="64"/>
      </bottom>
      <diagonal/>
    </border>
    <border>
      <left/>
      <right style="thin">
        <color rgb="FF000000"/>
      </right>
      <top style="thin">
        <color indexed="64"/>
      </top>
      <bottom style="thin">
        <color indexed="64"/>
      </bottom>
      <diagonal/>
    </border>
    <border>
      <left style="thin">
        <color indexed="64"/>
      </left>
      <right style="thin">
        <color indexed="64"/>
      </right>
      <top/>
      <bottom style="thin">
        <color rgb="FF000000"/>
      </bottom>
      <diagonal/>
    </border>
  </borders>
  <cellStyleXfs count="2">
    <xf numFmtId="0" fontId="0" fillId="0" borderId="0">
      <alignment vertical="center"/>
    </xf>
    <xf numFmtId="41" fontId="1" fillId="0" borderId="0" applyFont="0" applyFill="0" applyBorder="0" applyAlignment="0" applyProtection="0">
      <alignment vertical="center"/>
    </xf>
  </cellStyleXfs>
  <cellXfs count="168">
    <xf numFmtId="0" fontId="0" fillId="0" borderId="0" xfId="0">
      <alignment vertical="center"/>
    </xf>
    <xf numFmtId="0" fontId="0" fillId="2" borderId="0" xfId="0" applyFill="1">
      <alignment vertical="center"/>
    </xf>
    <xf numFmtId="10" fontId="0" fillId="2" borderId="0" xfId="0" applyNumberFormat="1" applyFill="1">
      <alignment vertical="center"/>
    </xf>
    <xf numFmtId="176" fontId="4" fillId="2" borderId="0" xfId="0" applyNumberFormat="1" applyFont="1" applyFill="1">
      <alignment vertical="center"/>
    </xf>
    <xf numFmtId="41" fontId="4" fillId="2" borderId="0" xfId="1" applyFont="1" applyFill="1">
      <alignment vertical="center"/>
    </xf>
    <xf numFmtId="177" fontId="4" fillId="2" borderId="0" xfId="0" applyNumberFormat="1" applyFont="1" applyFill="1">
      <alignment vertical="center"/>
    </xf>
    <xf numFmtId="41" fontId="5" fillId="3" borderId="2" xfId="0" applyNumberFormat="1" applyFont="1" applyFill="1" applyBorder="1">
      <alignment vertical="center"/>
    </xf>
    <xf numFmtId="41" fontId="5" fillId="3" borderId="2" xfId="0" applyNumberFormat="1" applyFont="1" applyFill="1" applyBorder="1" applyAlignment="1">
      <alignment horizontal="center" vertical="center"/>
    </xf>
    <xf numFmtId="10" fontId="5" fillId="2" borderId="2" xfId="0" applyNumberFormat="1" applyFont="1" applyFill="1" applyBorder="1">
      <alignment vertical="center"/>
    </xf>
    <xf numFmtId="178" fontId="5" fillId="2" borderId="2" xfId="0" applyNumberFormat="1" applyFont="1" applyFill="1" applyBorder="1">
      <alignment vertical="center"/>
    </xf>
    <xf numFmtId="41" fontId="5" fillId="0" borderId="2" xfId="0" applyNumberFormat="1" applyFont="1" applyBorder="1">
      <alignment vertical="center"/>
    </xf>
    <xf numFmtId="177" fontId="5" fillId="2" borderId="2" xfId="0" applyNumberFormat="1" applyFont="1" applyFill="1" applyBorder="1">
      <alignment vertical="center"/>
    </xf>
    <xf numFmtId="41" fontId="5" fillId="2" borderId="2" xfId="0" applyNumberFormat="1" applyFont="1" applyFill="1" applyBorder="1">
      <alignment vertical="center"/>
    </xf>
    <xf numFmtId="41" fontId="5" fillId="4" borderId="2" xfId="0" applyNumberFormat="1" applyFont="1" applyFill="1" applyBorder="1">
      <alignment vertical="center"/>
    </xf>
    <xf numFmtId="10" fontId="5" fillId="2" borderId="2" xfId="0" applyNumberFormat="1" applyFont="1" applyFill="1" applyBorder="1" applyAlignment="1">
      <alignment horizontal="center" vertical="center"/>
    </xf>
    <xf numFmtId="10" fontId="4" fillId="0" borderId="2" xfId="0" applyNumberFormat="1" applyFont="1" applyBorder="1">
      <alignment vertical="center"/>
    </xf>
    <xf numFmtId="41" fontId="4" fillId="3" borderId="2" xfId="0" applyNumberFormat="1" applyFont="1" applyFill="1" applyBorder="1">
      <alignment vertical="center"/>
    </xf>
    <xf numFmtId="177" fontId="4" fillId="2" borderId="2" xfId="0" applyNumberFormat="1" applyFont="1" applyFill="1" applyBorder="1">
      <alignment vertical="center"/>
    </xf>
    <xf numFmtId="41" fontId="6" fillId="2" borderId="2" xfId="0" applyNumberFormat="1" applyFont="1" applyFill="1" applyBorder="1">
      <alignment vertical="center"/>
    </xf>
    <xf numFmtId="41" fontId="4" fillId="2" borderId="2" xfId="0" applyNumberFormat="1" applyFont="1" applyFill="1" applyBorder="1">
      <alignment vertical="center"/>
    </xf>
    <xf numFmtId="41" fontId="4" fillId="2" borderId="2" xfId="1" applyFont="1" applyFill="1" applyBorder="1" applyAlignment="1">
      <alignment horizontal="center" vertical="center"/>
    </xf>
    <xf numFmtId="0" fontId="4" fillId="2" borderId="0" xfId="0" applyFont="1" applyFill="1">
      <alignment vertical="center"/>
    </xf>
    <xf numFmtId="41" fontId="6" fillId="2" borderId="2" xfId="1" applyFont="1" applyFill="1" applyBorder="1" applyAlignment="1">
      <alignment horizontal="center" vertical="center"/>
    </xf>
    <xf numFmtId="41" fontId="4" fillId="2" borderId="2" xfId="1" applyFont="1" applyFill="1" applyBorder="1">
      <alignment vertical="center"/>
    </xf>
    <xf numFmtId="41" fontId="5" fillId="2" borderId="2" xfId="1" applyFont="1" applyFill="1" applyBorder="1" applyAlignment="1">
      <alignment horizontal="center" vertical="center"/>
    </xf>
    <xf numFmtId="3" fontId="7" fillId="3" borderId="2" xfId="0" applyNumberFormat="1" applyFont="1" applyFill="1" applyBorder="1">
      <alignment vertical="center"/>
    </xf>
    <xf numFmtId="0" fontId="8" fillId="2" borderId="2" xfId="0" applyFont="1" applyFill="1" applyBorder="1" applyAlignment="1">
      <alignment horizontal="center" vertical="center"/>
    </xf>
    <xf numFmtId="0" fontId="9" fillId="3" borderId="2" xfId="0" applyFont="1" applyFill="1" applyBorder="1" applyAlignment="1">
      <alignment horizontal="center" vertical="center"/>
    </xf>
    <xf numFmtId="0" fontId="9" fillId="5" borderId="2" xfId="0" applyFont="1" applyFill="1" applyBorder="1">
      <alignment vertical="center"/>
    </xf>
    <xf numFmtId="179" fontId="10" fillId="2" borderId="2" xfId="0" applyNumberFormat="1" applyFont="1" applyFill="1" applyBorder="1" applyAlignment="1">
      <alignment horizontal="center" vertical="center"/>
    </xf>
    <xf numFmtId="179" fontId="10" fillId="2" borderId="5" xfId="0" applyNumberFormat="1" applyFont="1" applyFill="1" applyBorder="1" applyAlignment="1">
      <alignment horizontal="center" vertical="center"/>
    </xf>
    <xf numFmtId="179" fontId="10" fillId="0" borderId="2" xfId="0" applyNumberFormat="1" applyFont="1" applyBorder="1" applyAlignment="1">
      <alignment horizontal="center" vertical="center"/>
    </xf>
    <xf numFmtId="177" fontId="10" fillId="0" borderId="2" xfId="0" applyNumberFormat="1" applyFont="1" applyBorder="1" applyAlignment="1">
      <alignment horizontal="center" vertical="center"/>
    </xf>
    <xf numFmtId="9" fontId="10" fillId="0" borderId="2" xfId="0" applyNumberFormat="1" applyFont="1" applyBorder="1" applyAlignment="1">
      <alignment horizontal="center" vertical="center"/>
    </xf>
    <xf numFmtId="0" fontId="10" fillId="2" borderId="2" xfId="0" applyFont="1" applyFill="1" applyBorder="1" applyAlignment="1">
      <alignment horizontal="center" vertical="center" wrapText="1"/>
    </xf>
    <xf numFmtId="10" fontId="4" fillId="2" borderId="2" xfId="0" applyNumberFormat="1" applyFont="1" applyFill="1" applyBorder="1" applyAlignment="1">
      <alignment horizontal="center" vertical="center"/>
    </xf>
    <xf numFmtId="0" fontId="10" fillId="6" borderId="2" xfId="0" applyFont="1" applyFill="1" applyBorder="1" applyAlignment="1">
      <alignment horizontal="center" vertical="center"/>
    </xf>
    <xf numFmtId="0" fontId="10" fillId="2" borderId="0" xfId="0" applyFont="1" applyFill="1" applyAlignment="1">
      <alignment horizontal="center" vertical="center"/>
    </xf>
    <xf numFmtId="0" fontId="13" fillId="0" borderId="2" xfId="0" applyFont="1" applyBorder="1" applyAlignment="1">
      <alignment horizontal="center" vertical="center"/>
    </xf>
    <xf numFmtId="9" fontId="0" fillId="2" borderId="0" xfId="0" applyNumberFormat="1" applyFill="1" applyAlignment="1">
      <alignment horizontal="center" vertical="center"/>
    </xf>
    <xf numFmtId="10" fontId="2" fillId="2" borderId="0" xfId="0" applyNumberFormat="1" applyFont="1" applyFill="1">
      <alignment vertical="center"/>
    </xf>
    <xf numFmtId="0" fontId="2" fillId="2" borderId="0" xfId="0" applyFont="1" applyFill="1">
      <alignment vertical="center"/>
    </xf>
    <xf numFmtId="41" fontId="4" fillId="2" borderId="0" xfId="1" applyFont="1" applyFill="1" applyBorder="1" applyAlignment="1">
      <alignment horizontal="center" vertical="center"/>
    </xf>
    <xf numFmtId="0" fontId="10" fillId="2" borderId="0" xfId="0" applyFont="1" applyFill="1">
      <alignment vertical="center"/>
    </xf>
    <xf numFmtId="0" fontId="0" fillId="2" borderId="0" xfId="0" applyFill="1" applyAlignment="1">
      <alignment vertical="center" wrapText="1"/>
    </xf>
    <xf numFmtId="0" fontId="0" fillId="2" borderId="0" xfId="0" applyFill="1" applyAlignment="1">
      <alignment vertical="top" wrapText="1"/>
    </xf>
    <xf numFmtId="9" fontId="15" fillId="2" borderId="0" xfId="0" applyNumberFormat="1" applyFont="1" applyFill="1" applyAlignment="1">
      <alignment vertical="top" wrapText="1"/>
    </xf>
    <xf numFmtId="0" fontId="14" fillId="7" borderId="2" xfId="0" applyFont="1" applyFill="1" applyBorder="1" applyAlignment="1">
      <alignment horizontal="center" vertical="center"/>
    </xf>
    <xf numFmtId="0" fontId="14" fillId="7" borderId="3" xfId="0" applyFont="1" applyFill="1" applyBorder="1" applyAlignment="1">
      <alignment horizontal="center" vertical="center"/>
    </xf>
    <xf numFmtId="41" fontId="16" fillId="9" borderId="5" xfId="0" applyNumberFormat="1" applyFont="1" applyFill="1" applyBorder="1" applyAlignment="1">
      <alignment horizontal="center" vertical="center"/>
    </xf>
    <xf numFmtId="41" fontId="16" fillId="9" borderId="6" xfId="0" applyNumberFormat="1" applyFont="1" applyFill="1" applyBorder="1" applyAlignment="1">
      <alignment horizontal="center" vertical="center"/>
    </xf>
    <xf numFmtId="0" fontId="8" fillId="5" borderId="2" xfId="0" applyFont="1" applyFill="1" applyBorder="1" applyAlignment="1">
      <alignment vertical="center" wrapText="1"/>
    </xf>
    <xf numFmtId="0" fontId="0" fillId="2" borderId="0" xfId="0" applyFill="1" applyAlignment="1">
      <alignment horizontal="center" vertical="center"/>
    </xf>
    <xf numFmtId="179" fontId="10" fillId="0" borderId="5" xfId="0" applyNumberFormat="1" applyFont="1" applyBorder="1" applyAlignment="1">
      <alignment horizontal="center" vertical="center"/>
    </xf>
    <xf numFmtId="41" fontId="4" fillId="2" borderId="0" xfId="0" applyNumberFormat="1" applyFont="1" applyFill="1">
      <alignment vertical="center"/>
    </xf>
    <xf numFmtId="10" fontId="11" fillId="2" borderId="2" xfId="0" applyNumberFormat="1" applyFont="1" applyFill="1" applyBorder="1" applyAlignment="1">
      <alignment horizontal="center" vertical="center" wrapText="1"/>
    </xf>
    <xf numFmtId="10" fontId="17" fillId="2" borderId="2" xfId="0" applyNumberFormat="1" applyFont="1" applyFill="1" applyBorder="1" applyAlignment="1">
      <alignment horizontal="center" vertical="center" wrapText="1"/>
    </xf>
    <xf numFmtId="0" fontId="4" fillId="2" borderId="0" xfId="0" applyFont="1" applyFill="1" applyAlignment="1">
      <alignment horizontal="center" vertical="center"/>
    </xf>
    <xf numFmtId="0" fontId="21" fillId="10" borderId="0" xfId="0" applyFont="1" applyFill="1">
      <alignment vertical="center"/>
    </xf>
    <xf numFmtId="0" fontId="22" fillId="10" borderId="0" xfId="0" applyFont="1" applyFill="1">
      <alignment vertical="center"/>
    </xf>
    <xf numFmtId="10" fontId="22" fillId="10" borderId="0" xfId="0" applyNumberFormat="1" applyFont="1" applyFill="1">
      <alignment vertical="center"/>
    </xf>
    <xf numFmtId="0" fontId="23" fillId="11" borderId="0" xfId="0" applyFont="1" applyFill="1">
      <alignment vertical="center"/>
    </xf>
    <xf numFmtId="0" fontId="24" fillId="11" borderId="0" xfId="0" applyFont="1" applyFill="1">
      <alignment vertical="center"/>
    </xf>
    <xf numFmtId="177" fontId="22" fillId="11" borderId="0" xfId="0" applyNumberFormat="1" applyFont="1" applyFill="1">
      <alignment vertical="center"/>
    </xf>
    <xf numFmtId="0" fontId="22" fillId="11" borderId="0" xfId="0" applyFont="1" applyFill="1">
      <alignment vertical="center"/>
    </xf>
    <xf numFmtId="10" fontId="22" fillId="11" borderId="0" xfId="0" applyNumberFormat="1" applyFont="1" applyFill="1">
      <alignment vertical="center"/>
    </xf>
    <xf numFmtId="0" fontId="23" fillId="12" borderId="0" xfId="0" applyFont="1" applyFill="1">
      <alignment vertical="center"/>
    </xf>
    <xf numFmtId="0" fontId="22" fillId="12" borderId="0" xfId="0" applyFont="1" applyFill="1">
      <alignment vertical="center"/>
    </xf>
    <xf numFmtId="177" fontId="22" fillId="12" borderId="0" xfId="0" applyNumberFormat="1" applyFont="1" applyFill="1">
      <alignment vertical="center"/>
    </xf>
    <xf numFmtId="41" fontId="22" fillId="12" borderId="0" xfId="1" applyFont="1" applyFill="1">
      <alignment vertical="center"/>
    </xf>
    <xf numFmtId="41" fontId="22" fillId="12" borderId="0" xfId="1" applyFont="1" applyFill="1" applyBorder="1" applyAlignment="1">
      <alignment horizontal="center" vertical="center"/>
    </xf>
    <xf numFmtId="176" fontId="22" fillId="12" borderId="0" xfId="0" applyNumberFormat="1" applyFont="1" applyFill="1">
      <alignment vertical="center"/>
    </xf>
    <xf numFmtId="10" fontId="22" fillId="12" borderId="0" xfId="0" applyNumberFormat="1" applyFont="1" applyFill="1">
      <alignment vertical="center"/>
    </xf>
    <xf numFmtId="0" fontId="22" fillId="12" borderId="0" xfId="0" applyFont="1" applyFill="1" applyAlignment="1">
      <alignment horizontal="center" vertical="center"/>
    </xf>
    <xf numFmtId="41" fontId="4" fillId="2" borderId="9" xfId="1" applyFont="1" applyFill="1" applyBorder="1" applyAlignment="1">
      <alignment horizontal="center" vertical="center"/>
    </xf>
    <xf numFmtId="3" fontId="0" fillId="2" borderId="0" xfId="0" applyNumberFormat="1" applyFill="1">
      <alignment vertical="center"/>
    </xf>
    <xf numFmtId="0" fontId="23" fillId="6" borderId="0" xfId="0" applyFont="1" applyFill="1">
      <alignment vertical="center"/>
    </xf>
    <xf numFmtId="0" fontId="0" fillId="6" borderId="0" xfId="0" applyFill="1">
      <alignment vertical="center"/>
    </xf>
    <xf numFmtId="177" fontId="4" fillId="6" borderId="0" xfId="0" applyNumberFormat="1" applyFont="1" applyFill="1">
      <alignment vertical="center"/>
    </xf>
    <xf numFmtId="41" fontId="4" fillId="6" borderId="0" xfId="1" applyFont="1" applyFill="1">
      <alignment vertical="center"/>
    </xf>
    <xf numFmtId="41" fontId="4" fillId="6" borderId="0" xfId="1" applyFont="1" applyFill="1" applyBorder="1" applyAlignment="1">
      <alignment horizontal="center" vertical="center"/>
    </xf>
    <xf numFmtId="176" fontId="4" fillId="6" borderId="0" xfId="0" applyNumberFormat="1" applyFont="1" applyFill="1">
      <alignment vertical="center"/>
    </xf>
    <xf numFmtId="10" fontId="0" fillId="6" borderId="0" xfId="0" applyNumberFormat="1" applyFill="1">
      <alignment vertical="center"/>
    </xf>
    <xf numFmtId="0" fontId="0" fillId="6" borderId="0" xfId="0" applyFill="1" applyAlignment="1">
      <alignment horizontal="center" vertical="center"/>
    </xf>
    <xf numFmtId="0" fontId="23" fillId="3" borderId="0" xfId="0" applyFont="1" applyFill="1">
      <alignment vertical="center"/>
    </xf>
    <xf numFmtId="0" fontId="24" fillId="3" borderId="0" xfId="0" applyFont="1" applyFill="1">
      <alignment vertical="center"/>
    </xf>
    <xf numFmtId="177" fontId="22" fillId="3" borderId="0" xfId="0" applyNumberFormat="1" applyFont="1" applyFill="1">
      <alignment vertical="center"/>
    </xf>
    <xf numFmtId="0" fontId="22" fillId="3" borderId="0" xfId="0" applyFont="1" applyFill="1">
      <alignment vertical="center"/>
    </xf>
    <xf numFmtId="10" fontId="22" fillId="3" borderId="0" xfId="0" applyNumberFormat="1" applyFont="1" applyFill="1">
      <alignment vertical="center"/>
    </xf>
    <xf numFmtId="41" fontId="4" fillId="2" borderId="1" xfId="1" applyFont="1" applyFill="1" applyBorder="1" applyAlignment="1">
      <alignment horizontal="center" vertical="center"/>
    </xf>
    <xf numFmtId="0" fontId="23" fillId="13" borderId="0" xfId="0" applyFont="1" applyFill="1">
      <alignment vertical="center"/>
    </xf>
    <xf numFmtId="0" fontId="24" fillId="13" borderId="0" xfId="0" applyFont="1" applyFill="1">
      <alignment vertical="center"/>
    </xf>
    <xf numFmtId="177" fontId="22" fillId="13" borderId="0" xfId="0" applyNumberFormat="1" applyFont="1" applyFill="1">
      <alignment vertical="center"/>
    </xf>
    <xf numFmtId="0" fontId="22" fillId="13" borderId="0" xfId="0" applyFont="1" applyFill="1">
      <alignment vertical="center"/>
    </xf>
    <xf numFmtId="10" fontId="22" fillId="13" borderId="0" xfId="0" applyNumberFormat="1" applyFont="1" applyFill="1">
      <alignment vertical="center"/>
    </xf>
    <xf numFmtId="0" fontId="23" fillId="14" borderId="0" xfId="0" applyFont="1" applyFill="1">
      <alignment vertical="center"/>
    </xf>
    <xf numFmtId="0" fontId="22" fillId="14" borderId="0" xfId="0" applyFont="1" applyFill="1">
      <alignment vertical="center"/>
    </xf>
    <xf numFmtId="177" fontId="22" fillId="14" borderId="0" xfId="0" applyNumberFormat="1" applyFont="1" applyFill="1">
      <alignment vertical="center"/>
    </xf>
    <xf numFmtId="41" fontId="22" fillId="14" borderId="0" xfId="1" applyFont="1" applyFill="1">
      <alignment vertical="center"/>
    </xf>
    <xf numFmtId="41" fontId="22" fillId="14" borderId="0" xfId="1" applyFont="1" applyFill="1" applyBorder="1" applyAlignment="1">
      <alignment horizontal="center" vertical="center"/>
    </xf>
    <xf numFmtId="176" fontId="22" fillId="14" borderId="0" xfId="0" applyNumberFormat="1" applyFont="1" applyFill="1">
      <alignment vertical="center"/>
    </xf>
    <xf numFmtId="10" fontId="22" fillId="14" borderId="0" xfId="0" applyNumberFormat="1" applyFont="1" applyFill="1">
      <alignment vertical="center"/>
    </xf>
    <xf numFmtId="0" fontId="22" fillId="14" borderId="0" xfId="0" applyFont="1" applyFill="1" applyAlignment="1">
      <alignment horizontal="center" vertical="center"/>
    </xf>
    <xf numFmtId="0" fontId="0" fillId="2" borderId="0" xfId="0" applyFill="1" applyAlignment="1">
      <alignment horizontal="center" vertical="top" wrapText="1"/>
    </xf>
    <xf numFmtId="0" fontId="0" fillId="2" borderId="0" xfId="0" applyFill="1" applyAlignment="1">
      <alignment horizontal="left" vertical="center" wrapText="1"/>
    </xf>
    <xf numFmtId="41" fontId="4" fillId="2" borderId="9" xfId="1" applyFont="1" applyFill="1" applyBorder="1" applyAlignment="1">
      <alignment horizontal="center" vertical="center"/>
    </xf>
    <xf numFmtId="0" fontId="10" fillId="2" borderId="7" xfId="0" applyFont="1" applyFill="1" applyBorder="1" applyAlignment="1">
      <alignment horizontal="center" vertical="center" wrapText="1"/>
    </xf>
    <xf numFmtId="0" fontId="10" fillId="2" borderId="5" xfId="0" applyFont="1" applyFill="1" applyBorder="1" applyAlignment="1">
      <alignment horizontal="center" vertical="center" wrapText="1"/>
    </xf>
    <xf numFmtId="0" fontId="14" fillId="8" borderId="7" xfId="0" applyFont="1" applyFill="1" applyBorder="1" applyAlignment="1">
      <alignment horizontal="center" vertical="center" wrapText="1"/>
    </xf>
    <xf numFmtId="0" fontId="14" fillId="8" borderId="11" xfId="0" applyFont="1" applyFill="1" applyBorder="1" applyAlignment="1">
      <alignment horizontal="center" vertical="center" wrapText="1"/>
    </xf>
    <xf numFmtId="41" fontId="4" fillId="2" borderId="4" xfId="1" applyFont="1" applyFill="1" applyBorder="1" applyAlignment="1">
      <alignment horizontal="center" vertical="center"/>
    </xf>
    <xf numFmtId="41" fontId="4" fillId="2" borderId="3" xfId="1" applyFont="1" applyFill="1" applyBorder="1" applyAlignment="1">
      <alignment horizontal="center" vertical="center"/>
    </xf>
    <xf numFmtId="41" fontId="4" fillId="0" borderId="4" xfId="1" applyFont="1" applyFill="1" applyBorder="1" applyAlignment="1">
      <alignment horizontal="center" vertical="center"/>
    </xf>
    <xf numFmtId="41" fontId="4" fillId="0" borderId="3" xfId="1" applyFont="1" applyFill="1" applyBorder="1" applyAlignment="1">
      <alignment horizontal="center" vertical="center"/>
    </xf>
    <xf numFmtId="10" fontId="5" fillId="2" borderId="4" xfId="0" applyNumberFormat="1" applyFont="1" applyFill="1" applyBorder="1" applyAlignment="1">
      <alignment horizontal="center" vertical="center"/>
    </xf>
    <xf numFmtId="10" fontId="5" fillId="2" borderId="3" xfId="0" applyNumberFormat="1" applyFont="1" applyFill="1" applyBorder="1" applyAlignment="1">
      <alignment horizontal="center" vertical="center"/>
    </xf>
    <xf numFmtId="0" fontId="10" fillId="2" borderId="7" xfId="0" applyFont="1" applyFill="1" applyBorder="1" applyAlignment="1">
      <alignment horizontal="center" vertical="center"/>
    </xf>
    <xf numFmtId="0" fontId="10" fillId="2" borderId="5" xfId="0" applyFont="1" applyFill="1" applyBorder="1" applyAlignment="1">
      <alignment horizontal="center" vertical="center"/>
    </xf>
    <xf numFmtId="10" fontId="10" fillId="2" borderId="7" xfId="0" applyNumberFormat="1" applyFont="1" applyFill="1" applyBorder="1" applyAlignment="1">
      <alignment horizontal="center" vertical="center"/>
    </xf>
    <xf numFmtId="10" fontId="10" fillId="2" borderId="5" xfId="0" applyNumberFormat="1" applyFont="1" applyFill="1" applyBorder="1" applyAlignment="1">
      <alignment horizontal="center" vertical="center"/>
    </xf>
    <xf numFmtId="10" fontId="11" fillId="2" borderId="7" xfId="0" applyNumberFormat="1" applyFont="1" applyFill="1" applyBorder="1" applyAlignment="1">
      <alignment horizontal="center" vertical="center" wrapText="1"/>
    </xf>
    <xf numFmtId="10" fontId="11" fillId="2" borderId="5" xfId="0" applyNumberFormat="1" applyFont="1" applyFill="1" applyBorder="1" applyAlignment="1">
      <alignment horizontal="center" vertical="center" wrapText="1"/>
    </xf>
    <xf numFmtId="0" fontId="10" fillId="0" borderId="4" xfId="0" applyFont="1" applyBorder="1" applyAlignment="1">
      <alignment horizontal="center" vertical="center" wrapText="1"/>
    </xf>
    <xf numFmtId="0" fontId="10" fillId="0" borderId="3" xfId="0" applyFont="1" applyBorder="1" applyAlignment="1">
      <alignment horizontal="center" vertical="center" wrapText="1"/>
    </xf>
    <xf numFmtId="0" fontId="10" fillId="6" borderId="7" xfId="0" applyFont="1" applyFill="1" applyBorder="1" applyAlignment="1">
      <alignment horizontal="center" vertical="center"/>
    </xf>
    <xf numFmtId="0" fontId="10" fillId="6" borderId="8" xfId="0" applyFont="1" applyFill="1" applyBorder="1" applyAlignment="1">
      <alignment horizontal="center" vertical="center"/>
    </xf>
    <xf numFmtId="0" fontId="10" fillId="6" borderId="5" xfId="0" applyFont="1" applyFill="1" applyBorder="1" applyAlignment="1">
      <alignment horizontal="center" vertical="center"/>
    </xf>
    <xf numFmtId="0" fontId="11" fillId="7" borderId="4" xfId="0" applyFont="1" applyFill="1" applyBorder="1" applyAlignment="1">
      <alignment horizontal="center" vertical="center"/>
    </xf>
    <xf numFmtId="0" fontId="11" fillId="7" borderId="9" xfId="0" applyFont="1" applyFill="1" applyBorder="1" applyAlignment="1">
      <alignment horizontal="center" vertical="center"/>
    </xf>
    <xf numFmtId="0" fontId="11" fillId="7" borderId="10" xfId="0" applyFont="1" applyFill="1" applyBorder="1" applyAlignment="1">
      <alignment horizontal="center" vertical="center"/>
    </xf>
    <xf numFmtId="0" fontId="10" fillId="6" borderId="4" xfId="0" applyFont="1" applyFill="1" applyBorder="1" applyAlignment="1">
      <alignment horizontal="center" vertical="center"/>
    </xf>
    <xf numFmtId="0" fontId="10" fillId="6" borderId="9" xfId="0" applyFont="1" applyFill="1" applyBorder="1" applyAlignment="1">
      <alignment horizontal="center" vertical="center"/>
    </xf>
    <xf numFmtId="0" fontId="10" fillId="6" borderId="3" xfId="0" applyFont="1" applyFill="1" applyBorder="1" applyAlignment="1">
      <alignment horizontal="center" vertical="center"/>
    </xf>
    <xf numFmtId="0" fontId="10" fillId="0" borderId="7" xfId="0" applyFont="1" applyBorder="1" applyAlignment="1">
      <alignment horizontal="center" vertical="center"/>
    </xf>
    <xf numFmtId="0" fontId="10" fillId="0" borderId="5" xfId="0" applyFont="1" applyBorder="1" applyAlignment="1">
      <alignment horizontal="center" vertical="center"/>
    </xf>
    <xf numFmtId="0" fontId="25" fillId="7" borderId="4" xfId="0" applyFont="1" applyFill="1" applyBorder="1" applyAlignment="1">
      <alignment horizontal="center" vertical="center"/>
    </xf>
    <xf numFmtId="0" fontId="25" fillId="7" borderId="9" xfId="0" applyFont="1" applyFill="1" applyBorder="1" applyAlignment="1">
      <alignment horizontal="center" vertical="center"/>
    </xf>
    <xf numFmtId="0" fontId="25" fillId="7" borderId="10" xfId="0" applyFont="1" applyFill="1" applyBorder="1" applyAlignment="1">
      <alignment horizontal="center" vertical="center"/>
    </xf>
    <xf numFmtId="41" fontId="4" fillId="2" borderId="1" xfId="1" applyFont="1" applyFill="1" applyBorder="1" applyAlignment="1">
      <alignment horizontal="center" vertical="center"/>
    </xf>
    <xf numFmtId="0" fontId="26" fillId="7" borderId="4" xfId="0" applyFont="1" applyFill="1" applyBorder="1" applyAlignment="1">
      <alignment horizontal="center" vertical="center"/>
    </xf>
    <xf numFmtId="0" fontId="26" fillId="7" borderId="9" xfId="0" applyFont="1" applyFill="1" applyBorder="1" applyAlignment="1">
      <alignment horizontal="center" vertical="center"/>
    </xf>
    <xf numFmtId="0" fontId="26" fillId="7" borderId="10" xfId="0" applyFont="1" applyFill="1" applyBorder="1" applyAlignment="1">
      <alignment horizontal="center" vertical="center"/>
    </xf>
    <xf numFmtId="0" fontId="27" fillId="7" borderId="4" xfId="0" applyFont="1" applyFill="1" applyBorder="1" applyAlignment="1">
      <alignment horizontal="center" vertical="center"/>
    </xf>
    <xf numFmtId="0" fontId="27" fillId="7" borderId="9" xfId="0" applyFont="1" applyFill="1" applyBorder="1" applyAlignment="1">
      <alignment horizontal="center" vertical="center"/>
    </xf>
    <xf numFmtId="0" fontId="27" fillId="7" borderId="10" xfId="0" applyFont="1" applyFill="1" applyBorder="1" applyAlignment="1">
      <alignment horizontal="center" vertical="center"/>
    </xf>
    <xf numFmtId="0" fontId="0" fillId="3" borderId="0" xfId="0" applyFill="1" applyAlignment="1">
      <alignment horizontal="left" vertical="center" wrapText="1"/>
    </xf>
    <xf numFmtId="0" fontId="0" fillId="2" borderId="0" xfId="0" applyFill="1" applyAlignment="1">
      <alignment horizontal="left" vertical="top" wrapText="1"/>
    </xf>
    <xf numFmtId="0" fontId="0" fillId="2" borderId="0" xfId="0" applyFill="1" applyAlignment="1">
      <alignment horizontal="center" vertical="top" wrapText="1"/>
    </xf>
    <xf numFmtId="0" fontId="10" fillId="7" borderId="4" xfId="0" applyFont="1" applyFill="1" applyBorder="1" applyAlignment="1">
      <alignment horizontal="center" vertical="center"/>
    </xf>
    <xf numFmtId="0" fontId="10" fillId="7" borderId="9" xfId="0" applyFont="1" applyFill="1" applyBorder="1" applyAlignment="1">
      <alignment horizontal="center" vertical="center"/>
    </xf>
    <xf numFmtId="0" fontId="10" fillId="7" borderId="10" xfId="0" applyFont="1" applyFill="1" applyBorder="1" applyAlignment="1">
      <alignment horizontal="center" vertical="center"/>
    </xf>
    <xf numFmtId="0" fontId="11" fillId="2" borderId="7" xfId="0" applyFont="1" applyFill="1" applyBorder="1" applyAlignment="1">
      <alignment horizontal="center" vertical="center" wrapText="1"/>
    </xf>
    <xf numFmtId="0" fontId="11" fillId="2" borderId="5" xfId="0" applyFont="1" applyFill="1" applyBorder="1" applyAlignment="1">
      <alignment horizontal="center" vertical="center" wrapText="1"/>
    </xf>
    <xf numFmtId="0" fontId="10" fillId="6" borderId="2" xfId="0" applyFont="1" applyFill="1" applyBorder="1" applyAlignment="1">
      <alignment horizontal="center" vertical="center"/>
    </xf>
    <xf numFmtId="0" fontId="5" fillId="6" borderId="2" xfId="0" applyFont="1" applyFill="1" applyBorder="1" applyAlignment="1">
      <alignment horizontal="center" vertical="center"/>
    </xf>
    <xf numFmtId="177" fontId="4" fillId="2" borderId="0" xfId="0" applyNumberFormat="1" applyFont="1" applyFill="1" applyBorder="1" applyAlignment="1">
      <alignment horizontal="center" vertical="center"/>
    </xf>
    <xf numFmtId="0" fontId="11" fillId="7" borderId="3" xfId="0" applyFont="1" applyFill="1" applyBorder="1" applyAlignment="1">
      <alignment horizontal="center" vertical="center"/>
    </xf>
    <xf numFmtId="41" fontId="4" fillId="2" borderId="1" xfId="0" applyNumberFormat="1" applyFont="1" applyFill="1" applyBorder="1" applyAlignment="1">
      <alignment horizontal="center" vertical="center"/>
    </xf>
    <xf numFmtId="41" fontId="28" fillId="2" borderId="2" xfId="1" applyFont="1" applyFill="1" applyBorder="1" applyAlignment="1">
      <alignment horizontal="center" vertical="center"/>
    </xf>
    <xf numFmtId="0" fontId="29" fillId="2" borderId="2" xfId="0" applyFont="1" applyFill="1" applyBorder="1" applyAlignment="1">
      <alignment horizontal="center" vertical="center" wrapText="1"/>
    </xf>
    <xf numFmtId="41" fontId="4" fillId="2" borderId="0" xfId="0" applyNumberFormat="1" applyFont="1" applyFill="1" applyBorder="1" applyAlignment="1">
      <alignment horizontal="center" vertical="center"/>
    </xf>
    <xf numFmtId="41" fontId="4" fillId="2" borderId="0" xfId="1" applyFont="1" applyFill="1" applyAlignment="1">
      <alignment horizontal="center" vertical="center"/>
    </xf>
    <xf numFmtId="177" fontId="4" fillId="2" borderId="4" xfId="0" applyNumberFormat="1" applyFont="1" applyFill="1" applyBorder="1" applyAlignment="1">
      <alignment horizontal="center" vertical="center"/>
    </xf>
    <xf numFmtId="177" fontId="4" fillId="2" borderId="9" xfId="0" applyNumberFormat="1" applyFont="1" applyFill="1" applyBorder="1" applyAlignment="1">
      <alignment horizontal="center" vertical="center"/>
    </xf>
    <xf numFmtId="177" fontId="4" fillId="2" borderId="3" xfId="0" applyNumberFormat="1" applyFont="1" applyFill="1" applyBorder="1" applyAlignment="1">
      <alignment horizontal="center" vertical="center"/>
    </xf>
    <xf numFmtId="0" fontId="31" fillId="7" borderId="4" xfId="0" applyFont="1" applyFill="1" applyBorder="1" applyAlignment="1">
      <alignment horizontal="center" vertical="center"/>
    </xf>
    <xf numFmtId="0" fontId="31" fillId="7" borderId="9" xfId="0" applyFont="1" applyFill="1" applyBorder="1" applyAlignment="1">
      <alignment horizontal="center" vertical="center"/>
    </xf>
    <xf numFmtId="0" fontId="31" fillId="7" borderId="3" xfId="0" applyFont="1" applyFill="1" applyBorder="1" applyAlignment="1">
      <alignment horizontal="center" vertical="center"/>
    </xf>
  </cellXfs>
  <cellStyles count="2">
    <cellStyle name="쉼표 [0]" xfId="1" builtinId="6"/>
    <cellStyle name="표준" xfId="0" builtinId="0"/>
  </cellStyles>
  <dxfs count="0"/>
  <tableStyles count="0" defaultTableStyle="TableStyleMedium2" defaultPivotStyle="PivotStyleLight16"/>
  <colors>
    <mruColors>
      <color rgb="FFC87700"/>
      <color rgb="FFE68900"/>
      <color rgb="FFD67F00"/>
      <color rgb="FFFF9900"/>
      <color rgb="FFFA95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21</xdr:col>
      <xdr:colOff>807571</xdr:colOff>
      <xdr:row>1</xdr:row>
      <xdr:rowOff>468779</xdr:rowOff>
    </xdr:from>
    <xdr:to>
      <xdr:col>27</xdr:col>
      <xdr:colOff>32567</xdr:colOff>
      <xdr:row>2</xdr:row>
      <xdr:rowOff>2999687</xdr:rowOff>
    </xdr:to>
    <xdr:pic>
      <xdr:nvPicPr>
        <xdr:cNvPr id="2" name="그림 1">
          <a:extLst>
            <a:ext uri="{FF2B5EF4-FFF2-40B4-BE49-F238E27FC236}">
              <a16:creationId xmlns:a16="http://schemas.microsoft.com/office/drawing/2014/main" id="{3A7A5B41-958F-4875-A367-0B6A54659AA3}"/>
            </a:ext>
          </a:extLst>
        </xdr:cNvPr>
        <xdr:cNvPicPr>
          <a:picLocks noChangeAspect="1"/>
        </xdr:cNvPicPr>
      </xdr:nvPicPr>
      <xdr:blipFill>
        <a:blip xmlns:r="http://schemas.openxmlformats.org/officeDocument/2006/relationships" r:embed="rId1"/>
        <a:stretch>
          <a:fillRect/>
        </a:stretch>
      </xdr:blipFill>
      <xdr:spPr>
        <a:xfrm>
          <a:off x="14488646" y="1046629"/>
          <a:ext cx="4495496" cy="3108758"/>
        </a:xfrm>
        <a:prstGeom prst="rect">
          <a:avLst/>
        </a:prstGeom>
      </xdr:spPr>
    </xdr:pic>
    <xdr:clientData/>
  </xdr:twoCellAnchor>
  <xdr:twoCellAnchor editAs="oneCell">
    <xdr:from>
      <xdr:col>27</xdr:col>
      <xdr:colOff>291352</xdr:colOff>
      <xdr:row>1</xdr:row>
      <xdr:rowOff>481853</xdr:rowOff>
    </xdr:from>
    <xdr:to>
      <xdr:col>34</xdr:col>
      <xdr:colOff>22169</xdr:colOff>
      <xdr:row>2</xdr:row>
      <xdr:rowOff>2714998</xdr:rowOff>
    </xdr:to>
    <xdr:pic>
      <xdr:nvPicPr>
        <xdr:cNvPr id="3" name="그림 2">
          <a:extLst>
            <a:ext uri="{FF2B5EF4-FFF2-40B4-BE49-F238E27FC236}">
              <a16:creationId xmlns:a16="http://schemas.microsoft.com/office/drawing/2014/main" id="{800CE27E-8845-40A6-AB58-9B7627F03EC6}"/>
            </a:ext>
          </a:extLst>
        </xdr:cNvPr>
        <xdr:cNvPicPr>
          <a:picLocks noChangeAspect="1"/>
        </xdr:cNvPicPr>
      </xdr:nvPicPr>
      <xdr:blipFill>
        <a:blip xmlns:r="http://schemas.openxmlformats.org/officeDocument/2006/relationships" r:embed="rId2"/>
        <a:stretch>
          <a:fillRect/>
        </a:stretch>
      </xdr:blipFill>
      <xdr:spPr>
        <a:xfrm>
          <a:off x="19249277" y="1066053"/>
          <a:ext cx="4613967" cy="281099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xdr:from>
      <xdr:col>21</xdr:col>
      <xdr:colOff>807571</xdr:colOff>
      <xdr:row>1</xdr:row>
      <xdr:rowOff>468779</xdr:rowOff>
    </xdr:from>
    <xdr:ext cx="4490351" cy="3105802"/>
    <xdr:pic>
      <xdr:nvPicPr>
        <xdr:cNvPr id="2" name="그림 1">
          <a:extLst>
            <a:ext uri="{FF2B5EF4-FFF2-40B4-BE49-F238E27FC236}">
              <a16:creationId xmlns:a16="http://schemas.microsoft.com/office/drawing/2014/main" id="{3633819F-0924-4F06-90E4-BF6FCD58B983}"/>
            </a:ext>
          </a:extLst>
        </xdr:cNvPr>
        <xdr:cNvPicPr>
          <a:picLocks noChangeAspect="1"/>
        </xdr:cNvPicPr>
      </xdr:nvPicPr>
      <xdr:blipFill>
        <a:blip xmlns:r="http://schemas.openxmlformats.org/officeDocument/2006/relationships" r:embed="rId1"/>
        <a:stretch>
          <a:fillRect/>
        </a:stretch>
      </xdr:blipFill>
      <xdr:spPr>
        <a:xfrm>
          <a:off x="14488646" y="1046629"/>
          <a:ext cx="4490351" cy="3105802"/>
        </a:xfrm>
        <a:prstGeom prst="rect">
          <a:avLst/>
        </a:prstGeom>
      </xdr:spPr>
    </xdr:pic>
    <xdr:clientData/>
  </xdr:oneCellAnchor>
  <xdr:oneCellAnchor>
    <xdr:from>
      <xdr:col>27</xdr:col>
      <xdr:colOff>291352</xdr:colOff>
      <xdr:row>1</xdr:row>
      <xdr:rowOff>481853</xdr:rowOff>
    </xdr:from>
    <xdr:ext cx="4615390" cy="2804864"/>
    <xdr:pic>
      <xdr:nvPicPr>
        <xdr:cNvPr id="3" name="그림 2">
          <a:extLst>
            <a:ext uri="{FF2B5EF4-FFF2-40B4-BE49-F238E27FC236}">
              <a16:creationId xmlns:a16="http://schemas.microsoft.com/office/drawing/2014/main" id="{B0F6DC0E-7B9E-42A7-A379-DCC2AEEA65B0}"/>
            </a:ext>
          </a:extLst>
        </xdr:cNvPr>
        <xdr:cNvPicPr>
          <a:picLocks noChangeAspect="1"/>
        </xdr:cNvPicPr>
      </xdr:nvPicPr>
      <xdr:blipFill>
        <a:blip xmlns:r="http://schemas.openxmlformats.org/officeDocument/2006/relationships" r:embed="rId2"/>
        <a:stretch>
          <a:fillRect/>
        </a:stretch>
      </xdr:blipFill>
      <xdr:spPr>
        <a:xfrm>
          <a:off x="19249277" y="1066053"/>
          <a:ext cx="4615390" cy="2804864"/>
        </a:xfrm>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twoCellAnchor editAs="oneCell">
    <xdr:from>
      <xdr:col>25</xdr:col>
      <xdr:colOff>807571</xdr:colOff>
      <xdr:row>1</xdr:row>
      <xdr:rowOff>468779</xdr:rowOff>
    </xdr:from>
    <xdr:to>
      <xdr:col>34</xdr:col>
      <xdr:colOff>354362</xdr:colOff>
      <xdr:row>2</xdr:row>
      <xdr:rowOff>2993337</xdr:rowOff>
    </xdr:to>
    <xdr:pic>
      <xdr:nvPicPr>
        <xdr:cNvPr id="2" name="그림 1">
          <a:extLst>
            <a:ext uri="{FF2B5EF4-FFF2-40B4-BE49-F238E27FC236}">
              <a16:creationId xmlns:a16="http://schemas.microsoft.com/office/drawing/2014/main" id="{271A88E7-047C-4D73-ACED-40758DBFFFC1}"/>
            </a:ext>
          </a:extLst>
        </xdr:cNvPr>
        <xdr:cNvPicPr>
          <a:picLocks noChangeAspect="1"/>
        </xdr:cNvPicPr>
      </xdr:nvPicPr>
      <xdr:blipFill>
        <a:blip xmlns:r="http://schemas.openxmlformats.org/officeDocument/2006/relationships" r:embed="rId1"/>
        <a:stretch>
          <a:fillRect/>
        </a:stretch>
      </xdr:blipFill>
      <xdr:spPr>
        <a:xfrm>
          <a:off x="14460071" y="1046629"/>
          <a:ext cx="4495496" cy="3102408"/>
        </a:xfrm>
        <a:prstGeom prst="rect">
          <a:avLst/>
        </a:prstGeom>
      </xdr:spPr>
    </xdr:pic>
    <xdr:clientData/>
  </xdr:twoCellAnchor>
  <xdr:twoCellAnchor editAs="oneCell">
    <xdr:from>
      <xdr:col>31</xdr:col>
      <xdr:colOff>0</xdr:colOff>
      <xdr:row>1</xdr:row>
      <xdr:rowOff>481853</xdr:rowOff>
    </xdr:from>
    <xdr:to>
      <xdr:col>38</xdr:col>
      <xdr:colOff>135910</xdr:colOff>
      <xdr:row>2</xdr:row>
      <xdr:rowOff>2714998</xdr:rowOff>
    </xdr:to>
    <xdr:pic>
      <xdr:nvPicPr>
        <xdr:cNvPr id="3" name="그림 2">
          <a:extLst>
            <a:ext uri="{FF2B5EF4-FFF2-40B4-BE49-F238E27FC236}">
              <a16:creationId xmlns:a16="http://schemas.microsoft.com/office/drawing/2014/main" id="{672C2A95-49DA-417F-80C9-D81E6FBE08C6}"/>
            </a:ext>
          </a:extLst>
        </xdr:cNvPr>
        <xdr:cNvPicPr>
          <a:picLocks noChangeAspect="1"/>
        </xdr:cNvPicPr>
      </xdr:nvPicPr>
      <xdr:blipFill>
        <a:blip xmlns:r="http://schemas.openxmlformats.org/officeDocument/2006/relationships" r:embed="rId2"/>
        <a:stretch>
          <a:fillRect/>
        </a:stretch>
      </xdr:blipFill>
      <xdr:spPr>
        <a:xfrm>
          <a:off x="19150853" y="1064559"/>
          <a:ext cx="4629469" cy="2815851"/>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25</xdr:col>
      <xdr:colOff>807571</xdr:colOff>
      <xdr:row>1</xdr:row>
      <xdr:rowOff>468779</xdr:rowOff>
    </xdr:from>
    <xdr:to>
      <xdr:col>34</xdr:col>
      <xdr:colOff>354362</xdr:colOff>
      <xdr:row>2</xdr:row>
      <xdr:rowOff>2993337</xdr:rowOff>
    </xdr:to>
    <xdr:pic>
      <xdr:nvPicPr>
        <xdr:cNvPr id="2" name="그림 1">
          <a:extLst>
            <a:ext uri="{FF2B5EF4-FFF2-40B4-BE49-F238E27FC236}">
              <a16:creationId xmlns:a16="http://schemas.microsoft.com/office/drawing/2014/main" id="{FADC2E29-3560-4C89-B4D2-D378C5C73E52}"/>
            </a:ext>
          </a:extLst>
        </xdr:cNvPr>
        <xdr:cNvPicPr>
          <a:picLocks noChangeAspect="1"/>
        </xdr:cNvPicPr>
      </xdr:nvPicPr>
      <xdr:blipFill>
        <a:blip xmlns:r="http://schemas.openxmlformats.org/officeDocument/2006/relationships" r:embed="rId1"/>
        <a:stretch>
          <a:fillRect/>
        </a:stretch>
      </xdr:blipFill>
      <xdr:spPr>
        <a:xfrm>
          <a:off x="17066746" y="1049804"/>
          <a:ext cx="4490266" cy="3105583"/>
        </a:xfrm>
        <a:prstGeom prst="rect">
          <a:avLst/>
        </a:prstGeom>
      </xdr:spPr>
    </xdr:pic>
    <xdr:clientData/>
  </xdr:twoCellAnchor>
  <xdr:twoCellAnchor editAs="oneCell">
    <xdr:from>
      <xdr:col>31</xdr:col>
      <xdr:colOff>0</xdr:colOff>
      <xdr:row>1</xdr:row>
      <xdr:rowOff>481853</xdr:rowOff>
    </xdr:from>
    <xdr:to>
      <xdr:col>38</xdr:col>
      <xdr:colOff>135910</xdr:colOff>
      <xdr:row>2</xdr:row>
      <xdr:rowOff>2714998</xdr:rowOff>
    </xdr:to>
    <xdr:pic>
      <xdr:nvPicPr>
        <xdr:cNvPr id="3" name="그림 2">
          <a:extLst>
            <a:ext uri="{FF2B5EF4-FFF2-40B4-BE49-F238E27FC236}">
              <a16:creationId xmlns:a16="http://schemas.microsoft.com/office/drawing/2014/main" id="{284691C6-9C00-4D62-8CEC-D1A959FFCAC5}"/>
            </a:ext>
          </a:extLst>
        </xdr:cNvPr>
        <xdr:cNvPicPr>
          <a:picLocks noChangeAspect="1"/>
        </xdr:cNvPicPr>
      </xdr:nvPicPr>
      <xdr:blipFill>
        <a:blip xmlns:r="http://schemas.openxmlformats.org/officeDocument/2006/relationships" r:embed="rId2"/>
        <a:stretch>
          <a:fillRect/>
        </a:stretch>
      </xdr:blipFill>
      <xdr:spPr>
        <a:xfrm>
          <a:off x="19754850" y="1062878"/>
          <a:ext cx="4622185" cy="281417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25</xdr:col>
      <xdr:colOff>807571</xdr:colOff>
      <xdr:row>1</xdr:row>
      <xdr:rowOff>468779</xdr:rowOff>
    </xdr:from>
    <xdr:to>
      <xdr:col>34</xdr:col>
      <xdr:colOff>354362</xdr:colOff>
      <xdr:row>2</xdr:row>
      <xdr:rowOff>2993337</xdr:rowOff>
    </xdr:to>
    <xdr:pic>
      <xdr:nvPicPr>
        <xdr:cNvPr id="2" name="그림 1">
          <a:extLst>
            <a:ext uri="{FF2B5EF4-FFF2-40B4-BE49-F238E27FC236}">
              <a16:creationId xmlns:a16="http://schemas.microsoft.com/office/drawing/2014/main" id="{C57C06E4-0081-490E-9F24-7AB881879373}"/>
            </a:ext>
          </a:extLst>
        </xdr:cNvPr>
        <xdr:cNvPicPr>
          <a:picLocks noChangeAspect="1"/>
        </xdr:cNvPicPr>
      </xdr:nvPicPr>
      <xdr:blipFill>
        <a:blip xmlns:r="http://schemas.openxmlformats.org/officeDocument/2006/relationships" r:embed="rId1"/>
        <a:stretch>
          <a:fillRect/>
        </a:stretch>
      </xdr:blipFill>
      <xdr:spPr>
        <a:xfrm>
          <a:off x="17066746" y="1049804"/>
          <a:ext cx="4490266" cy="3105583"/>
        </a:xfrm>
        <a:prstGeom prst="rect">
          <a:avLst/>
        </a:prstGeom>
      </xdr:spPr>
    </xdr:pic>
    <xdr:clientData/>
  </xdr:twoCellAnchor>
  <xdr:twoCellAnchor editAs="oneCell">
    <xdr:from>
      <xdr:col>31</xdr:col>
      <xdr:colOff>0</xdr:colOff>
      <xdr:row>1</xdr:row>
      <xdr:rowOff>481853</xdr:rowOff>
    </xdr:from>
    <xdr:to>
      <xdr:col>38</xdr:col>
      <xdr:colOff>135910</xdr:colOff>
      <xdr:row>2</xdr:row>
      <xdr:rowOff>2714998</xdr:rowOff>
    </xdr:to>
    <xdr:pic>
      <xdr:nvPicPr>
        <xdr:cNvPr id="3" name="그림 2">
          <a:extLst>
            <a:ext uri="{FF2B5EF4-FFF2-40B4-BE49-F238E27FC236}">
              <a16:creationId xmlns:a16="http://schemas.microsoft.com/office/drawing/2014/main" id="{9B54A47A-1AF1-49D4-BEE2-170AF219DB6B}"/>
            </a:ext>
          </a:extLst>
        </xdr:cNvPr>
        <xdr:cNvPicPr>
          <a:picLocks noChangeAspect="1"/>
        </xdr:cNvPicPr>
      </xdr:nvPicPr>
      <xdr:blipFill>
        <a:blip xmlns:r="http://schemas.openxmlformats.org/officeDocument/2006/relationships" r:embed="rId2"/>
        <a:stretch>
          <a:fillRect/>
        </a:stretch>
      </xdr:blipFill>
      <xdr:spPr>
        <a:xfrm>
          <a:off x="19754850" y="1062878"/>
          <a:ext cx="4622185" cy="281417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Pc\&#50629;&#47924;&#44277;&#50976;_&#51204;&#51649;&#50896;\ASUS%20&#50629;&#47924;&#52280;&#44256;%20&#54260;&#45908;\&#49884;&#48044;\&#51060;&#48288;&#51060;\2024\20240306(&#49688;)~0318(&#50900;)%20&#51648;&#47560;&#53011;%20&amp;%20&#50725;&#49496;%20&#49352;&#48388;&#49352;&#52636;&#48156;&#54532;&#47196;&#47784;&#49496;\20240306(&#49688;)~0318(&#50900;)%20&#51648;&#47560;&#53011;%20&amp;%20&#50725;&#49496;%20&#49352;&#48388;&#49352;&#52636;&#48156;&#54532;&#47196;&#47784;&#49496;.xlsx" TargetMode="External"/><Relationship Id="rId1" Type="http://schemas.openxmlformats.org/officeDocument/2006/relationships/externalLinkPath" Target="/ASUS%20&#50629;&#47924;&#52280;&#44256;%20&#54260;&#45908;/&#49884;&#48044;/&#51060;&#48288;&#51060;/2024/20240306(&#49688;)~0318(&#50900;)%20&#51648;&#47560;&#53011;%20&amp;%20&#50725;&#49496;%20&#49352;&#48388;&#49352;&#52636;&#48156;&#54532;&#47196;&#47784;&#49496;/20240306(&#49688;)~0318(&#50900;)%20&#51648;&#47560;&#53011;%20&amp;%20&#50725;&#49496;%20&#49352;&#48388;&#49352;&#52636;&#48156;&#54532;&#47196;&#47784;&#49496;.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스킴"/>
      <sheetName val="20240306(수)~0318(월)새봄새출발"/>
    </sheetNames>
    <sheetDataSet>
      <sheetData sheetId="0">
        <row r="2">
          <cell r="B2" t="str">
            <v>노트북</v>
          </cell>
        </row>
        <row r="3">
          <cell r="B3" t="str">
            <v>저장&amp;주변기기</v>
          </cell>
        </row>
        <row r="4">
          <cell r="B4" t="str">
            <v>모니터</v>
          </cell>
        </row>
      </sheetData>
      <sheetData sheetId="1"/>
    </sheetDataSet>
  </externalBook>
</externalLink>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openxmlformats.org/officeDocument/2006/relationships/comments" Target="../comments2.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3.bin"/><Relationship Id="rId4" Type="http://schemas.openxmlformats.org/officeDocument/2006/relationships/comments" Target="../comments3.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rinterSettings" Target="../printerSettings/printerSettings4.bin"/><Relationship Id="rId4" Type="http://schemas.openxmlformats.org/officeDocument/2006/relationships/comments" Target="../comments4.xml"/></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5.xml"/><Relationship Id="rId1" Type="http://schemas.openxmlformats.org/officeDocument/2006/relationships/printerSettings" Target="../printerSettings/printerSettings5.bin"/><Relationship Id="rId4" Type="http://schemas.openxmlformats.org/officeDocument/2006/relationships/comments" Target="../comments5.xml"/></Relationships>
</file>

<file path=xl/worksheets/_rels/sheet6.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ABC91-1BA7-4C1B-9017-70180F225658}">
  <dimension ref="A1:BB214"/>
  <sheetViews>
    <sheetView topLeftCell="A77" zoomScale="70" zoomScaleNormal="70" workbookViewId="0">
      <pane xSplit="1" topLeftCell="B1" activePane="topRight" state="frozen"/>
      <selection activeCell="E44" sqref="E44"/>
      <selection pane="topRight" activeCell="Q21" sqref="Q21"/>
    </sheetView>
  </sheetViews>
  <sheetFormatPr defaultColWidth="9" defaultRowHeight="16.5" x14ac:dyDescent="0.3"/>
  <cols>
    <col min="1" max="1" width="22.25" style="1" customWidth="1"/>
    <col min="2" max="2" width="7" style="1" bestFit="1" customWidth="1"/>
    <col min="3" max="3" width="8.25" style="1" bestFit="1" customWidth="1"/>
    <col min="4" max="4" width="11.25" style="1" bestFit="1" customWidth="1"/>
    <col min="5" max="5" width="10.625" style="1" customWidth="1"/>
    <col min="6" max="6" width="10" style="1" bestFit="1" customWidth="1"/>
    <col min="7" max="7" width="6.125" style="1" customWidth="1"/>
    <col min="8" max="8" width="10" style="1" bestFit="1" customWidth="1"/>
    <col min="9" max="9" width="7.25" style="1" bestFit="1" customWidth="1"/>
    <col min="10" max="10" width="8.625" style="1" customWidth="1"/>
    <col min="11" max="11" width="7.25" style="1" bestFit="1" customWidth="1"/>
    <col min="12" max="12" width="10" style="1" bestFit="1" customWidth="1"/>
    <col min="13" max="13" width="5.375" style="1" customWidth="1"/>
    <col min="14" max="14" width="8.625" style="1" customWidth="1"/>
    <col min="15" max="15" width="5.375" style="1" hidden="1" customWidth="1"/>
    <col min="16" max="16" width="8.625" style="1" hidden="1" customWidth="1"/>
    <col min="17" max="17" width="12.75" style="1" bestFit="1" customWidth="1"/>
    <col min="18" max="18" width="22.125" style="1" customWidth="1"/>
    <col min="19" max="19" width="2.625" style="1" customWidth="1"/>
    <col min="20" max="20" width="9.375" style="1" bestFit="1" customWidth="1"/>
    <col min="21" max="21" width="10.625" style="1" hidden="1" customWidth="1"/>
    <col min="22" max="22" width="11" style="1" customWidth="1"/>
    <col min="23" max="23" width="12.75" style="1" customWidth="1"/>
    <col min="24" max="24" width="10.625" style="1" customWidth="1"/>
    <col min="25" max="25" width="11.5" style="1" customWidth="1"/>
    <col min="26" max="26" width="12.75" style="1" customWidth="1"/>
    <col min="27" max="27" width="10.625" style="1" customWidth="1"/>
    <col min="28" max="28" width="5.375" style="1" customWidth="1"/>
    <col min="29" max="29" width="8.75" style="1" bestFit="1" customWidth="1"/>
    <col min="30" max="30" width="10.25" style="1" bestFit="1" customWidth="1"/>
    <col min="31" max="31" width="13.375" style="1" customWidth="1"/>
    <col min="32" max="32" width="9.5" style="1" bestFit="1" customWidth="1"/>
    <col min="33" max="33" width="9.625" style="1" customWidth="1"/>
    <col min="34" max="34" width="7.375" style="2" bestFit="1" customWidth="1"/>
    <col min="35" max="35" width="8.25" style="2" bestFit="1" customWidth="1"/>
    <col min="36" max="37" width="6.875" style="2" bestFit="1" customWidth="1"/>
    <col min="38" max="38" width="1.875" style="1" customWidth="1"/>
    <col min="39" max="39" width="9.375" style="1" customWidth="1"/>
    <col min="40" max="40" width="5.875" style="1" customWidth="1"/>
    <col min="41" max="41" width="9.5" style="1" hidden="1" customWidth="1"/>
    <col min="42" max="42" width="6.125" style="1" hidden="1" customWidth="1"/>
    <col min="43" max="43" width="9.875" style="1" bestFit="1" customWidth="1"/>
    <col min="44" max="44" width="7.375" style="1" bestFit="1" customWidth="1"/>
    <col min="45" max="45" width="2.625" style="1" customWidth="1"/>
    <col min="46" max="46" width="16.625" style="1" customWidth="1"/>
    <col min="47" max="47" width="9" style="1"/>
    <col min="48" max="48" width="12" style="1" customWidth="1"/>
    <col min="49" max="49" width="13.375" style="1" customWidth="1"/>
    <col min="50" max="50" width="2.875" style="1" customWidth="1"/>
    <col min="51" max="51" width="38.25" style="1" customWidth="1"/>
    <col min="52" max="52" width="5.375" style="1" bestFit="1" customWidth="1"/>
    <col min="53" max="53" width="1.375" style="1" customWidth="1"/>
    <col min="54" max="54" width="39.125" style="1" customWidth="1"/>
    <col min="55" max="55" width="1.125" style="1" customWidth="1"/>
    <col min="56" max="16384" width="9" style="1"/>
  </cols>
  <sheetData>
    <row r="1" spans="1:54" ht="45.75" customHeight="1" x14ac:dyDescent="0.3">
      <c r="A1" s="145"/>
      <c r="B1" s="145"/>
      <c r="C1" s="145"/>
      <c r="D1" s="44"/>
      <c r="E1" s="44"/>
      <c r="F1" s="44"/>
      <c r="G1" s="44"/>
      <c r="H1" s="45"/>
      <c r="I1" s="45"/>
      <c r="J1" s="45"/>
      <c r="K1" s="45"/>
      <c r="L1" s="45"/>
      <c r="M1" s="45"/>
      <c r="N1" s="45"/>
      <c r="O1" s="45"/>
      <c r="P1" s="45"/>
      <c r="Q1" s="45"/>
      <c r="R1" s="45"/>
      <c r="T1" s="44"/>
      <c r="U1" s="44"/>
      <c r="V1" s="44"/>
      <c r="W1" s="44"/>
      <c r="X1" s="44"/>
      <c r="Y1" s="44"/>
      <c r="Z1" s="44"/>
      <c r="AA1" s="44"/>
      <c r="AB1" s="44"/>
    </row>
    <row r="2" spans="1:54" ht="45.75" customHeight="1" x14ac:dyDescent="0.3">
      <c r="A2" s="45"/>
      <c r="B2" s="45"/>
      <c r="C2" s="45"/>
      <c r="D2" s="44"/>
      <c r="E2" s="44"/>
      <c r="F2" s="44"/>
      <c r="G2" s="44"/>
      <c r="H2" s="146" t="s">
        <v>121</v>
      </c>
      <c r="I2" s="146"/>
      <c r="J2" s="146"/>
      <c r="K2" s="146"/>
      <c r="L2" s="146"/>
      <c r="M2" s="146"/>
      <c r="N2" s="146"/>
      <c r="O2" s="146"/>
      <c r="P2" s="146"/>
      <c r="Q2" s="146"/>
      <c r="R2" s="146"/>
      <c r="T2" s="44"/>
      <c r="U2" s="44"/>
      <c r="V2" s="44"/>
      <c r="W2" s="44"/>
      <c r="X2" s="45" t="s">
        <v>120</v>
      </c>
      <c r="Y2" s="44"/>
      <c r="Z2" s="44"/>
      <c r="AA2" s="44"/>
      <c r="AB2" s="44"/>
      <c r="AE2" s="1" t="s">
        <v>119</v>
      </c>
    </row>
    <row r="3" spans="1:54" s="45" customFormat="1" ht="409.5" customHeight="1" x14ac:dyDescent="0.3">
      <c r="A3" s="146" t="s">
        <v>116</v>
      </c>
      <c r="B3" s="146"/>
      <c r="C3" s="146"/>
      <c r="D3" s="146"/>
      <c r="E3" s="146"/>
      <c r="F3" s="146"/>
      <c r="H3" s="146"/>
      <c r="I3" s="146"/>
      <c r="J3" s="146"/>
      <c r="K3" s="146"/>
      <c r="L3" s="146"/>
      <c r="M3" s="146"/>
      <c r="N3" s="146"/>
      <c r="O3" s="146"/>
      <c r="P3" s="146"/>
      <c r="Q3" s="146"/>
      <c r="R3" s="146"/>
      <c r="U3" s="46"/>
      <c r="V3" s="146"/>
      <c r="W3" s="146"/>
      <c r="X3" s="146"/>
      <c r="Y3" s="146"/>
      <c r="Z3" s="146"/>
      <c r="AA3" s="146"/>
    </row>
    <row r="4" spans="1:54" s="45" customFormat="1" ht="18" customHeight="1" x14ac:dyDescent="0.3">
      <c r="E4" s="147"/>
      <c r="F4" s="147"/>
      <c r="G4" s="147"/>
      <c r="H4" s="147"/>
      <c r="I4" s="147"/>
      <c r="J4" s="147"/>
      <c r="K4" s="147"/>
      <c r="L4" s="147"/>
      <c r="M4" s="147"/>
      <c r="N4" s="147"/>
      <c r="O4" s="147"/>
      <c r="P4" s="147"/>
      <c r="Q4" s="147"/>
      <c r="R4" s="147"/>
    </row>
    <row r="5" spans="1:54" x14ac:dyDescent="0.3">
      <c r="A5" s="43"/>
      <c r="B5" s="43"/>
      <c r="C5" s="43"/>
      <c r="D5" s="43"/>
    </row>
    <row r="6" spans="1:54" x14ac:dyDescent="0.3">
      <c r="S6" s="41"/>
      <c r="AG6" s="41"/>
      <c r="AH6" s="40"/>
      <c r="AI6" s="40"/>
      <c r="AJ6" s="40"/>
      <c r="AK6" s="40"/>
    </row>
    <row r="7" spans="1:54" x14ac:dyDescent="0.3">
      <c r="A7" s="43"/>
      <c r="B7" s="43"/>
      <c r="C7" s="43"/>
      <c r="D7" s="43"/>
      <c r="E7" s="5"/>
    </row>
    <row r="8" spans="1:54" x14ac:dyDescent="0.3">
      <c r="A8" s="43"/>
      <c r="B8" s="43"/>
      <c r="C8" s="43"/>
      <c r="D8" s="43"/>
      <c r="E8" s="5"/>
    </row>
    <row r="9" spans="1:54" s="64" customFormat="1" ht="19.5" x14ac:dyDescent="0.3">
      <c r="A9" s="61" t="s">
        <v>40</v>
      </c>
      <c r="B9" s="62"/>
      <c r="C9" s="62"/>
      <c r="D9" s="62"/>
      <c r="E9" s="63"/>
      <c r="AH9" s="65"/>
      <c r="AI9" s="65"/>
      <c r="AJ9" s="65"/>
      <c r="AK9" s="65"/>
    </row>
    <row r="10" spans="1:54" x14ac:dyDescent="0.3">
      <c r="A10" s="43"/>
      <c r="B10" s="43"/>
      <c r="C10" s="43"/>
      <c r="D10" s="43"/>
      <c r="E10" s="5"/>
    </row>
    <row r="11" spans="1:54" ht="27" customHeight="1" x14ac:dyDescent="0.3">
      <c r="A11" s="124" t="s">
        <v>34</v>
      </c>
      <c r="B11" s="127" t="s">
        <v>117</v>
      </c>
      <c r="C11" s="128"/>
      <c r="D11" s="128"/>
      <c r="E11" s="128"/>
      <c r="F11" s="128"/>
      <c r="G11" s="128"/>
      <c r="H11" s="128"/>
      <c r="I11" s="128"/>
      <c r="J11" s="128"/>
      <c r="K11" s="128"/>
      <c r="L11" s="128"/>
      <c r="M11" s="128"/>
      <c r="N11" s="128"/>
      <c r="O11" s="128"/>
      <c r="P11" s="128"/>
      <c r="Q11" s="128"/>
      <c r="R11" s="129"/>
      <c r="T11" s="130" t="s">
        <v>33</v>
      </c>
      <c r="U11" s="131"/>
      <c r="V11" s="131"/>
      <c r="W11" s="131"/>
      <c r="X11" s="131"/>
      <c r="Y11" s="131"/>
      <c r="Z11" s="131"/>
      <c r="AA11" s="131"/>
      <c r="AB11" s="131"/>
      <c r="AC11" s="131"/>
      <c r="AD11" s="131"/>
      <c r="AE11" s="131"/>
      <c r="AF11" s="131"/>
      <c r="AG11" s="131"/>
      <c r="AH11" s="132"/>
      <c r="AI11" s="37"/>
      <c r="AM11" s="130" t="s">
        <v>32</v>
      </c>
      <c r="AN11" s="131"/>
      <c r="AO11" s="131"/>
      <c r="AP11" s="131"/>
      <c r="AQ11" s="131"/>
      <c r="AR11" s="132"/>
      <c r="AT11" s="130" t="s">
        <v>31</v>
      </c>
      <c r="AU11" s="131"/>
      <c r="AV11" s="131"/>
      <c r="AW11" s="132"/>
      <c r="AY11" s="47" t="s">
        <v>36</v>
      </c>
      <c r="AZ11" s="48"/>
      <c r="BB11" s="36"/>
    </row>
    <row r="12" spans="1:54" ht="32.25" customHeight="1" x14ac:dyDescent="0.3">
      <c r="A12" s="125"/>
      <c r="B12" s="133" t="s">
        <v>30</v>
      </c>
      <c r="C12" s="133" t="s">
        <v>29</v>
      </c>
      <c r="D12" s="116" t="s">
        <v>28</v>
      </c>
      <c r="E12" s="116" t="s">
        <v>27</v>
      </c>
      <c r="F12" s="34" t="s">
        <v>26</v>
      </c>
      <c r="G12" s="122" t="s">
        <v>63</v>
      </c>
      <c r="H12" s="123"/>
      <c r="I12" s="122" t="s">
        <v>50</v>
      </c>
      <c r="J12" s="123"/>
      <c r="K12" s="122" t="s">
        <v>62</v>
      </c>
      <c r="L12" s="123"/>
      <c r="M12" s="122" t="s">
        <v>25</v>
      </c>
      <c r="N12" s="123"/>
      <c r="O12" s="122" t="s">
        <v>24</v>
      </c>
      <c r="P12" s="123"/>
      <c r="Q12" s="106" t="s">
        <v>23</v>
      </c>
      <c r="R12" s="106" t="s">
        <v>22</v>
      </c>
      <c r="S12" s="21"/>
      <c r="T12" s="34" t="s">
        <v>21</v>
      </c>
      <c r="U12" s="34" t="s">
        <v>20</v>
      </c>
      <c r="V12" s="34" t="s">
        <v>95</v>
      </c>
      <c r="W12" s="34" t="s">
        <v>19</v>
      </c>
      <c r="X12" s="34" t="s">
        <v>18</v>
      </c>
      <c r="Y12" s="34" t="s">
        <v>48</v>
      </c>
      <c r="Z12" s="34" t="s">
        <v>49</v>
      </c>
      <c r="AA12" s="34" t="s">
        <v>17</v>
      </c>
      <c r="AB12" s="106" t="s">
        <v>16</v>
      </c>
      <c r="AC12" s="106" t="s">
        <v>15</v>
      </c>
      <c r="AD12" s="106" t="s">
        <v>14</v>
      </c>
      <c r="AE12" s="106" t="s">
        <v>13</v>
      </c>
      <c r="AF12" s="106" t="s">
        <v>12</v>
      </c>
      <c r="AG12" s="116" t="s">
        <v>11</v>
      </c>
      <c r="AH12" s="118" t="s">
        <v>10</v>
      </c>
      <c r="AI12" s="120" t="s">
        <v>9</v>
      </c>
      <c r="AJ12" s="35">
        <f>(1-R14/F14)</f>
        <v>0.20178619756427607</v>
      </c>
      <c r="AK12" s="35">
        <f>1-(AD14+AM14)/F14</f>
        <v>0.16442489851150199</v>
      </c>
      <c r="AM12" s="106" t="s">
        <v>8</v>
      </c>
      <c r="AN12" s="106" t="s">
        <v>7</v>
      </c>
      <c r="AO12" s="106" t="s">
        <v>37</v>
      </c>
      <c r="AP12" s="106" t="s">
        <v>38</v>
      </c>
      <c r="AQ12" s="106" t="s">
        <v>6</v>
      </c>
      <c r="AR12" s="106" t="s">
        <v>5</v>
      </c>
      <c r="AT12" s="106" t="s">
        <v>4</v>
      </c>
      <c r="AU12" s="106" t="s">
        <v>3</v>
      </c>
      <c r="AV12" s="106" t="s">
        <v>2</v>
      </c>
      <c r="AW12" s="106" t="s">
        <v>1</v>
      </c>
      <c r="AY12" s="108"/>
      <c r="AZ12" s="108"/>
      <c r="BB12" s="106"/>
    </row>
    <row r="13" spans="1:54" ht="27" customHeight="1" x14ac:dyDescent="0.3">
      <c r="A13" s="126"/>
      <c r="B13" s="134"/>
      <c r="C13" s="134"/>
      <c r="D13" s="117"/>
      <c r="E13" s="117"/>
      <c r="F13" s="31">
        <v>0</v>
      </c>
      <c r="G13" s="33">
        <v>0.08</v>
      </c>
      <c r="H13" s="32">
        <v>1000000</v>
      </c>
      <c r="I13" s="31">
        <v>1</v>
      </c>
      <c r="J13" s="32">
        <v>0</v>
      </c>
      <c r="K13" s="31">
        <v>1</v>
      </c>
      <c r="L13" s="32">
        <v>300000</v>
      </c>
      <c r="M13" s="31">
        <v>7.0000000000000007E-2</v>
      </c>
      <c r="N13" s="32">
        <v>150000</v>
      </c>
      <c r="O13" s="31">
        <v>0</v>
      </c>
      <c r="P13" s="32">
        <v>0</v>
      </c>
      <c r="Q13" s="107"/>
      <c r="R13" s="107"/>
      <c r="S13" s="21"/>
      <c r="T13" s="31">
        <f>IF(C14="노트북",7%,IF(C14="저장&amp;주변기기",9%,IF(C14="모니터",7%)))</f>
        <v>7.0000000000000007E-2</v>
      </c>
      <c r="U13" s="31">
        <v>0</v>
      </c>
      <c r="V13" s="31">
        <v>0.02</v>
      </c>
      <c r="W13" s="31">
        <f>IF(G13=0%,20%,0%)</f>
        <v>0</v>
      </c>
      <c r="X13" s="30">
        <v>0</v>
      </c>
      <c r="Y13" s="30">
        <v>1</v>
      </c>
      <c r="Z13" s="53">
        <v>1</v>
      </c>
      <c r="AA13" s="29">
        <v>0.5</v>
      </c>
      <c r="AB13" s="107"/>
      <c r="AC13" s="107"/>
      <c r="AD13" s="107"/>
      <c r="AE13" s="107"/>
      <c r="AF13" s="107"/>
      <c r="AG13" s="117"/>
      <c r="AH13" s="119"/>
      <c r="AI13" s="121"/>
      <c r="AJ13" s="55" t="s">
        <v>52</v>
      </c>
      <c r="AK13" s="56">
        <f>AJ12-AK12</f>
        <v>3.7361299052774077E-2</v>
      </c>
      <c r="AM13" s="107"/>
      <c r="AN13" s="107"/>
      <c r="AO13" s="107"/>
      <c r="AP13" s="107"/>
      <c r="AQ13" s="107"/>
      <c r="AR13" s="107"/>
      <c r="AS13" s="39"/>
      <c r="AT13" s="107"/>
      <c r="AU13" s="117"/>
      <c r="AV13" s="107"/>
      <c r="AW13" s="107"/>
      <c r="AY13" s="109"/>
      <c r="AZ13" s="109"/>
      <c r="BB13" s="107"/>
    </row>
    <row r="14" spans="1:54" ht="27" customHeight="1" x14ac:dyDescent="0.3">
      <c r="A14" s="28" t="s">
        <v>44</v>
      </c>
      <c r="B14" s="38" t="s">
        <v>35</v>
      </c>
      <c r="C14" s="27" t="s">
        <v>0</v>
      </c>
      <c r="D14" s="26">
        <v>4321441081</v>
      </c>
      <c r="E14" s="25">
        <v>3695000</v>
      </c>
      <c r="F14" s="24">
        <f>ROUNDDOWN(E14/(1-F13),-1)</f>
        <v>3695000</v>
      </c>
      <c r="G14" s="110">
        <f>ROUNDDOWN(IF(F14*G13&gt;H13,H13,F14*G13),-1)</f>
        <v>295600</v>
      </c>
      <c r="H14" s="111"/>
      <c r="I14" s="112">
        <f>ROUNDDOWN(IF(F14*I13&gt;J13,J13,F14*I13),-1)</f>
        <v>0</v>
      </c>
      <c r="J14" s="113"/>
      <c r="K14" s="112">
        <f>ROUNDDOWN(IF(F14*K13&gt;L13,L13,F14*K13),-1)</f>
        <v>300000</v>
      </c>
      <c r="L14" s="113"/>
      <c r="M14" s="110">
        <f>ROUNDDOWN(IF(Q14*M13&gt;N13,N13,Q14*M13),-1)</f>
        <v>150000</v>
      </c>
      <c r="N14" s="111"/>
      <c r="O14" s="110">
        <f>ROUNDDOWN(IF(F14*O13&gt;P13,P13,F14*O13),-1)</f>
        <v>0</v>
      </c>
      <c r="P14" s="111"/>
      <c r="Q14" s="23">
        <f>F14-G14-I14-K14</f>
        <v>3099400</v>
      </c>
      <c r="R14" s="22">
        <f>F14-G14-I14-K14-M14-O14</f>
        <v>2949400</v>
      </c>
      <c r="S14" s="21"/>
      <c r="T14" s="20">
        <f>F14*T13</f>
        <v>258650.00000000003</v>
      </c>
      <c r="U14" s="20">
        <f>F14*U13</f>
        <v>0</v>
      </c>
      <c r="V14" s="20">
        <f>(F14-I14)*V13</f>
        <v>73900</v>
      </c>
      <c r="W14" s="19">
        <f>(F14*F13)*W13</f>
        <v>0</v>
      </c>
      <c r="X14" s="19">
        <f>G14*X13</f>
        <v>0</v>
      </c>
      <c r="Y14" s="19">
        <f>I14*Y13</f>
        <v>0</v>
      </c>
      <c r="Z14" s="19">
        <f>K14*Z13</f>
        <v>300000</v>
      </c>
      <c r="AA14" s="19">
        <f>M14*AA13</f>
        <v>75000</v>
      </c>
      <c r="AB14" s="19">
        <v>0</v>
      </c>
      <c r="AC14" s="16">
        <v>15000</v>
      </c>
      <c r="AD14" s="18">
        <f>F14-T14-U14-V14-W14-AA14-X14-Y14-Z14-AB14</f>
        <v>2987450</v>
      </c>
      <c r="AE14" s="18">
        <f>F14-T14-U14-V14-W14-X14-Y14-Z14-AA14-AB14-AC14</f>
        <v>2972450</v>
      </c>
      <c r="AF14" s="17">
        <f>AE14-AG14</f>
        <v>-2550</v>
      </c>
      <c r="AG14" s="16">
        <v>2975000</v>
      </c>
      <c r="AH14" s="15">
        <f>AF14/AG14</f>
        <v>-8.571428571428571E-4</v>
      </c>
      <c r="AI14" s="14">
        <f>1-R14/(AG14-AM14-AN14-AO14)</f>
        <v>-2.5878260869565128E-2</v>
      </c>
      <c r="AJ14" s="114">
        <f>(1-R14/F14)-(1-(AD14)/F14)</f>
        <v>1.0297699594046028E-2</v>
      </c>
      <c r="AK14" s="115"/>
      <c r="AM14" s="13">
        <v>100000</v>
      </c>
      <c r="AN14" s="12">
        <f>X14*AN13</f>
        <v>0</v>
      </c>
      <c r="AO14" s="12">
        <v>0</v>
      </c>
      <c r="AP14" s="12"/>
      <c r="AQ14" s="11">
        <f>AE14-(AG14-AM14-AN14-AO14-AP14)</f>
        <v>97450</v>
      </c>
      <c r="AR14" s="8">
        <f>AQ14/AG14</f>
        <v>3.2756302521008404E-2</v>
      </c>
      <c r="AT14" s="10">
        <v>0</v>
      </c>
      <c r="AU14" s="10">
        <v>0</v>
      </c>
      <c r="AV14" s="9">
        <f>AQ14-AT14-AU14</f>
        <v>97450</v>
      </c>
      <c r="AW14" s="8">
        <f>AV14/AG14</f>
        <v>3.2756302521008404E-2</v>
      </c>
      <c r="AY14" s="49"/>
      <c r="AZ14" s="50"/>
      <c r="BB14" s="6"/>
    </row>
    <row r="15" spans="1:54" x14ac:dyDescent="0.3">
      <c r="E15" s="5">
        <v>3199000</v>
      </c>
      <c r="F15" s="4">
        <f>ROUNDDOWN(E15/(1-F13),-1)</f>
        <v>3199000</v>
      </c>
      <c r="G15" s="138">
        <f>ROUNDDOWN(IF(F15*G13&gt;H13,H13,F15*G13),-1)</f>
        <v>255920</v>
      </c>
      <c r="H15" s="138"/>
      <c r="J15" s="54">
        <f>F14*4%</f>
        <v>147800</v>
      </c>
      <c r="R15" s="4">
        <v>2999720</v>
      </c>
      <c r="X15" s="3">
        <f>G15*X13</f>
        <v>0</v>
      </c>
      <c r="Y15" s="3"/>
      <c r="Z15" s="3"/>
    </row>
    <row r="16" spans="1:54" x14ac:dyDescent="0.3">
      <c r="A16" s="43"/>
      <c r="B16" s="43"/>
      <c r="C16" s="43"/>
      <c r="D16" s="43"/>
      <c r="E16" s="5"/>
    </row>
    <row r="18" spans="1:54" ht="27" customHeight="1" x14ac:dyDescent="0.3">
      <c r="A18" s="124" t="s">
        <v>34</v>
      </c>
      <c r="B18" s="127" t="s">
        <v>117</v>
      </c>
      <c r="C18" s="128"/>
      <c r="D18" s="128"/>
      <c r="E18" s="128"/>
      <c r="F18" s="128"/>
      <c r="G18" s="128"/>
      <c r="H18" s="128"/>
      <c r="I18" s="128"/>
      <c r="J18" s="128"/>
      <c r="K18" s="128"/>
      <c r="L18" s="128"/>
      <c r="M18" s="128"/>
      <c r="N18" s="128"/>
      <c r="O18" s="128"/>
      <c r="P18" s="128"/>
      <c r="Q18" s="128"/>
      <c r="R18" s="129"/>
      <c r="T18" s="130" t="s">
        <v>33</v>
      </c>
      <c r="U18" s="131"/>
      <c r="V18" s="131"/>
      <c r="W18" s="131"/>
      <c r="X18" s="131"/>
      <c r="Y18" s="131"/>
      <c r="Z18" s="131"/>
      <c r="AA18" s="131"/>
      <c r="AB18" s="131"/>
      <c r="AC18" s="131"/>
      <c r="AD18" s="131"/>
      <c r="AE18" s="131"/>
      <c r="AF18" s="131"/>
      <c r="AG18" s="131"/>
      <c r="AH18" s="132"/>
      <c r="AI18" s="37"/>
      <c r="AM18" s="130" t="s">
        <v>32</v>
      </c>
      <c r="AN18" s="131"/>
      <c r="AO18" s="131"/>
      <c r="AP18" s="131"/>
      <c r="AQ18" s="131"/>
      <c r="AR18" s="132"/>
      <c r="AT18" s="130" t="s">
        <v>31</v>
      </c>
      <c r="AU18" s="131"/>
      <c r="AV18" s="131"/>
      <c r="AW18" s="132"/>
      <c r="AY18" s="47" t="s">
        <v>36</v>
      </c>
      <c r="AZ18" s="48"/>
      <c r="BB18" s="36"/>
    </row>
    <row r="19" spans="1:54" ht="32.25" customHeight="1" x14ac:dyDescent="0.3">
      <c r="A19" s="125"/>
      <c r="B19" s="133" t="s">
        <v>30</v>
      </c>
      <c r="C19" s="133" t="s">
        <v>29</v>
      </c>
      <c r="D19" s="116" t="s">
        <v>28</v>
      </c>
      <c r="E19" s="116" t="s">
        <v>27</v>
      </c>
      <c r="F19" s="34" t="s">
        <v>26</v>
      </c>
      <c r="G19" s="122" t="s">
        <v>63</v>
      </c>
      <c r="H19" s="123"/>
      <c r="I19" s="122" t="s">
        <v>50</v>
      </c>
      <c r="J19" s="123"/>
      <c r="K19" s="122" t="s">
        <v>62</v>
      </c>
      <c r="L19" s="123"/>
      <c r="M19" s="122" t="s">
        <v>25</v>
      </c>
      <c r="N19" s="123"/>
      <c r="O19" s="122" t="s">
        <v>24</v>
      </c>
      <c r="P19" s="123"/>
      <c r="Q19" s="106" t="s">
        <v>23</v>
      </c>
      <c r="R19" s="106" t="s">
        <v>22</v>
      </c>
      <c r="S19" s="21"/>
      <c r="T19" s="34" t="s">
        <v>21</v>
      </c>
      <c r="U19" s="34" t="s">
        <v>20</v>
      </c>
      <c r="V19" s="34" t="s">
        <v>95</v>
      </c>
      <c r="W19" s="34" t="s">
        <v>19</v>
      </c>
      <c r="X19" s="34" t="s">
        <v>18</v>
      </c>
      <c r="Y19" s="34" t="s">
        <v>48</v>
      </c>
      <c r="Z19" s="34" t="s">
        <v>49</v>
      </c>
      <c r="AA19" s="34" t="s">
        <v>17</v>
      </c>
      <c r="AB19" s="106" t="s">
        <v>16</v>
      </c>
      <c r="AC19" s="106" t="s">
        <v>15</v>
      </c>
      <c r="AD19" s="106" t="s">
        <v>14</v>
      </c>
      <c r="AE19" s="106" t="s">
        <v>13</v>
      </c>
      <c r="AF19" s="106" t="s">
        <v>12</v>
      </c>
      <c r="AG19" s="116" t="s">
        <v>11</v>
      </c>
      <c r="AH19" s="118" t="s">
        <v>10</v>
      </c>
      <c r="AI19" s="120" t="s">
        <v>9</v>
      </c>
      <c r="AJ19" s="35">
        <f>(1-R21/F21)</f>
        <v>0.19664074650077756</v>
      </c>
      <c r="AK19" s="35">
        <f>1-(AD21+AM21)/F21</f>
        <v>0.1612804561949196</v>
      </c>
      <c r="AM19" s="106" t="s">
        <v>8</v>
      </c>
      <c r="AN19" s="106" t="s">
        <v>7</v>
      </c>
      <c r="AO19" s="106" t="s">
        <v>37</v>
      </c>
      <c r="AP19" s="106" t="s">
        <v>38</v>
      </c>
      <c r="AQ19" s="106" t="s">
        <v>6</v>
      </c>
      <c r="AR19" s="106" t="s">
        <v>5</v>
      </c>
      <c r="AT19" s="106" t="s">
        <v>4</v>
      </c>
      <c r="AU19" s="106" t="s">
        <v>3</v>
      </c>
      <c r="AV19" s="106" t="s">
        <v>2</v>
      </c>
      <c r="AW19" s="106" t="s">
        <v>1</v>
      </c>
      <c r="AY19" s="108"/>
      <c r="AZ19" s="108"/>
      <c r="BB19" s="106"/>
    </row>
    <row r="20" spans="1:54" ht="27" customHeight="1" x14ac:dyDescent="0.3">
      <c r="A20" s="126"/>
      <c r="B20" s="134"/>
      <c r="C20" s="134"/>
      <c r="D20" s="117"/>
      <c r="E20" s="117"/>
      <c r="F20" s="31">
        <v>0</v>
      </c>
      <c r="G20" s="33">
        <v>0.08</v>
      </c>
      <c r="H20" s="32">
        <v>1000000</v>
      </c>
      <c r="I20" s="31">
        <v>1</v>
      </c>
      <c r="J20" s="32">
        <v>0</v>
      </c>
      <c r="K20" s="31">
        <v>1</v>
      </c>
      <c r="L20" s="32">
        <v>300000</v>
      </c>
      <c r="M20" s="31">
        <v>7.0000000000000007E-2</v>
      </c>
      <c r="N20" s="32">
        <v>150000</v>
      </c>
      <c r="O20" s="31">
        <v>0</v>
      </c>
      <c r="P20" s="32">
        <v>0</v>
      </c>
      <c r="Q20" s="107"/>
      <c r="R20" s="107"/>
      <c r="S20" s="21"/>
      <c r="T20" s="31">
        <f>IF(C21="노트북",7%,IF(C21="저장&amp;주변기기",9%,IF(C21="모니터",7%)))</f>
        <v>7.0000000000000007E-2</v>
      </c>
      <c r="U20" s="31">
        <v>0</v>
      </c>
      <c r="V20" s="31">
        <v>0.02</v>
      </c>
      <c r="W20" s="31">
        <f>IF(G20=0%,20%,0%)</f>
        <v>0</v>
      </c>
      <c r="X20" s="30">
        <v>0</v>
      </c>
      <c r="Y20" s="30">
        <v>1</v>
      </c>
      <c r="Z20" s="53">
        <v>1</v>
      </c>
      <c r="AA20" s="29">
        <v>0.5</v>
      </c>
      <c r="AB20" s="107"/>
      <c r="AC20" s="107"/>
      <c r="AD20" s="107"/>
      <c r="AE20" s="107"/>
      <c r="AF20" s="107"/>
      <c r="AG20" s="117"/>
      <c r="AH20" s="119"/>
      <c r="AI20" s="121"/>
      <c r="AJ20" s="55" t="s">
        <v>52</v>
      </c>
      <c r="AK20" s="56">
        <f>AJ19-AK19</f>
        <v>3.5360290305857967E-2</v>
      </c>
      <c r="AM20" s="107"/>
      <c r="AN20" s="107"/>
      <c r="AO20" s="107"/>
      <c r="AP20" s="107"/>
      <c r="AQ20" s="107"/>
      <c r="AR20" s="107"/>
      <c r="AS20" s="39"/>
      <c r="AT20" s="107"/>
      <c r="AU20" s="117"/>
      <c r="AV20" s="107"/>
      <c r="AW20" s="107"/>
      <c r="AY20" s="109"/>
      <c r="AZ20" s="109"/>
      <c r="BB20" s="107"/>
    </row>
    <row r="21" spans="1:54" ht="27" customHeight="1" x14ac:dyDescent="0.3">
      <c r="A21" s="28" t="s">
        <v>45</v>
      </c>
      <c r="B21" s="38" t="s">
        <v>35</v>
      </c>
      <c r="C21" s="27" t="s">
        <v>0</v>
      </c>
      <c r="D21" s="26">
        <v>4321436481</v>
      </c>
      <c r="E21" s="25">
        <v>3858000</v>
      </c>
      <c r="F21" s="24">
        <f>ROUNDDOWN(E21/(1-F20),-1)</f>
        <v>3858000</v>
      </c>
      <c r="G21" s="110">
        <f>ROUNDDOWN(IF(F21*G20&gt;H20,H20,F21*G20),-1)</f>
        <v>308640</v>
      </c>
      <c r="H21" s="111"/>
      <c r="I21" s="112">
        <f>ROUNDDOWN(IF(F21*I20&gt;J20,J20,F21*I20),-1)</f>
        <v>0</v>
      </c>
      <c r="J21" s="113"/>
      <c r="K21" s="112">
        <f>ROUNDDOWN(IF(F21*K20&gt;L20,L20,F21*K20),-1)</f>
        <v>300000</v>
      </c>
      <c r="L21" s="113"/>
      <c r="M21" s="110">
        <f>ROUNDDOWN(IF(Q21*M20&gt;N20,N20,Q21*M20),-1)</f>
        <v>150000</v>
      </c>
      <c r="N21" s="111"/>
      <c r="O21" s="110">
        <f>ROUNDDOWN(IF(F21*O20&gt;P20,P20,F21*O20),-1)</f>
        <v>0</v>
      </c>
      <c r="P21" s="111"/>
      <c r="Q21" s="23">
        <f>F21-G21-I21-K21</f>
        <v>3249360</v>
      </c>
      <c r="R21" s="22">
        <f>F21-G21-I21-K21-M21-O21</f>
        <v>3099360</v>
      </c>
      <c r="S21" s="21"/>
      <c r="T21" s="20">
        <f>F21*T20</f>
        <v>270060</v>
      </c>
      <c r="U21" s="20">
        <f>F21*U20</f>
        <v>0</v>
      </c>
      <c r="V21" s="20">
        <f>(F21-I21)*V20</f>
        <v>77160</v>
      </c>
      <c r="W21" s="19">
        <f>(F21*F20)*W20</f>
        <v>0</v>
      </c>
      <c r="X21" s="19">
        <f>G21*X20</f>
        <v>0</v>
      </c>
      <c r="Y21" s="19">
        <f>I21*Y20</f>
        <v>0</v>
      </c>
      <c r="Z21" s="19">
        <f>K21*Z20</f>
        <v>300000</v>
      </c>
      <c r="AA21" s="19">
        <f>M21*AA20</f>
        <v>75000</v>
      </c>
      <c r="AB21" s="19">
        <v>0</v>
      </c>
      <c r="AC21" s="16">
        <v>15000</v>
      </c>
      <c r="AD21" s="18">
        <f>F21-T21-U21-V21-W21-AA21-X21-Y21-Z21-AB21</f>
        <v>3135780</v>
      </c>
      <c r="AE21" s="18">
        <f>F21-T21-U21-V21-W21-X21-Y21-Z21-AA21-AB21-AC21</f>
        <v>3120780</v>
      </c>
      <c r="AF21" s="17">
        <f>AE21-AG21</f>
        <v>-23220</v>
      </c>
      <c r="AG21" s="16">
        <v>3144000</v>
      </c>
      <c r="AH21" s="15">
        <f>AF21/AG21</f>
        <v>-7.3854961832061066E-3</v>
      </c>
      <c r="AI21" s="14">
        <f>1-R21/(AG21-AM21-AN21-AO21)</f>
        <v>-1.8186596583442904E-2</v>
      </c>
      <c r="AJ21" s="114">
        <f>(1-R21/F21)-(1-(AD21)/F21)</f>
        <v>9.4401244167962028E-3</v>
      </c>
      <c r="AK21" s="115"/>
      <c r="AM21" s="13">
        <v>100000</v>
      </c>
      <c r="AN21" s="12">
        <f>X21*AN20</f>
        <v>0</v>
      </c>
      <c r="AO21" s="12">
        <v>0</v>
      </c>
      <c r="AP21" s="12"/>
      <c r="AQ21" s="11">
        <f>AE21-(AG21-AM21-AN21-AO21-AP21)</f>
        <v>76780</v>
      </c>
      <c r="AR21" s="8">
        <f>AQ21/AG21</f>
        <v>2.4421119592875316E-2</v>
      </c>
      <c r="AT21" s="10">
        <v>0</v>
      </c>
      <c r="AU21" s="10">
        <v>0</v>
      </c>
      <c r="AV21" s="9">
        <f>AQ21-AT21-AU21</f>
        <v>76780</v>
      </c>
      <c r="AW21" s="8">
        <f>AV21/AG21</f>
        <v>2.4421119592875316E-2</v>
      </c>
      <c r="AY21" s="49"/>
      <c r="AZ21" s="50"/>
      <c r="BB21" s="6"/>
    </row>
    <row r="22" spans="1:54" x14ac:dyDescent="0.3">
      <c r="E22" s="5">
        <v>3399000</v>
      </c>
      <c r="F22" s="4">
        <f>ROUNDDOWN(E22/(1-F20),-1)</f>
        <v>3399000</v>
      </c>
      <c r="G22" s="138">
        <f>ROUNDDOWN(IF(F22*G20&gt;H20,H20,F22*G20),-1)</f>
        <v>271920</v>
      </c>
      <c r="H22" s="138"/>
      <c r="J22" s="54">
        <f>F21*4%</f>
        <v>154320</v>
      </c>
      <c r="R22" s="4">
        <v>3189240</v>
      </c>
      <c r="X22" s="3">
        <f>G22*X20</f>
        <v>0</v>
      </c>
      <c r="Y22" s="3"/>
      <c r="Z22" s="3"/>
      <c r="AD22" s="75"/>
    </row>
    <row r="23" spans="1:54" x14ac:dyDescent="0.3">
      <c r="E23" s="5"/>
      <c r="F23" s="4"/>
      <c r="G23" s="42"/>
      <c r="H23" s="42"/>
      <c r="J23" s="54"/>
      <c r="X23" s="3"/>
      <c r="Y23" s="3"/>
      <c r="Z23" s="3"/>
    </row>
    <row r="24" spans="1:54" x14ac:dyDescent="0.3">
      <c r="A24" s="43"/>
      <c r="B24" s="43"/>
      <c r="C24" s="43"/>
      <c r="D24" s="43"/>
      <c r="E24" s="5"/>
    </row>
    <row r="25" spans="1:54" ht="27" customHeight="1" x14ac:dyDescent="0.3">
      <c r="A25" s="124" t="s">
        <v>34</v>
      </c>
      <c r="B25" s="127" t="s">
        <v>117</v>
      </c>
      <c r="C25" s="128"/>
      <c r="D25" s="128"/>
      <c r="E25" s="128"/>
      <c r="F25" s="128"/>
      <c r="G25" s="128"/>
      <c r="H25" s="128"/>
      <c r="I25" s="128"/>
      <c r="J25" s="128"/>
      <c r="K25" s="128"/>
      <c r="L25" s="128"/>
      <c r="M25" s="128"/>
      <c r="N25" s="128"/>
      <c r="O25" s="128"/>
      <c r="P25" s="128"/>
      <c r="Q25" s="128"/>
      <c r="R25" s="129"/>
      <c r="T25" s="130" t="s">
        <v>33</v>
      </c>
      <c r="U25" s="131"/>
      <c r="V25" s="131"/>
      <c r="W25" s="131"/>
      <c r="X25" s="131"/>
      <c r="Y25" s="131"/>
      <c r="Z25" s="131"/>
      <c r="AA25" s="131"/>
      <c r="AB25" s="131"/>
      <c r="AC25" s="131"/>
      <c r="AD25" s="131"/>
      <c r="AE25" s="131"/>
      <c r="AF25" s="131"/>
      <c r="AG25" s="131"/>
      <c r="AH25" s="132"/>
      <c r="AI25" s="37"/>
      <c r="AM25" s="130" t="s">
        <v>32</v>
      </c>
      <c r="AN25" s="131"/>
      <c r="AO25" s="131"/>
      <c r="AP25" s="131"/>
      <c r="AQ25" s="131"/>
      <c r="AR25" s="132"/>
      <c r="AT25" s="130" t="s">
        <v>31</v>
      </c>
      <c r="AU25" s="131"/>
      <c r="AV25" s="131"/>
      <c r="AW25" s="132"/>
      <c r="AY25" s="47" t="s">
        <v>36</v>
      </c>
      <c r="AZ25" s="48"/>
      <c r="BB25" s="36"/>
    </row>
    <row r="26" spans="1:54" ht="32.25" customHeight="1" x14ac:dyDescent="0.3">
      <c r="A26" s="125"/>
      <c r="B26" s="133" t="s">
        <v>30</v>
      </c>
      <c r="C26" s="133" t="s">
        <v>29</v>
      </c>
      <c r="D26" s="116" t="s">
        <v>28</v>
      </c>
      <c r="E26" s="116" t="s">
        <v>27</v>
      </c>
      <c r="F26" s="34" t="s">
        <v>26</v>
      </c>
      <c r="G26" s="122" t="s">
        <v>63</v>
      </c>
      <c r="H26" s="123"/>
      <c r="I26" s="122" t="s">
        <v>50</v>
      </c>
      <c r="J26" s="123"/>
      <c r="K26" s="122" t="s">
        <v>62</v>
      </c>
      <c r="L26" s="123"/>
      <c r="M26" s="122" t="s">
        <v>25</v>
      </c>
      <c r="N26" s="123"/>
      <c r="O26" s="122" t="s">
        <v>24</v>
      </c>
      <c r="P26" s="123"/>
      <c r="Q26" s="106" t="s">
        <v>23</v>
      </c>
      <c r="R26" s="106" t="s">
        <v>22</v>
      </c>
      <c r="S26" s="21"/>
      <c r="T26" s="34" t="s">
        <v>21</v>
      </c>
      <c r="U26" s="34" t="s">
        <v>20</v>
      </c>
      <c r="V26" s="34" t="s">
        <v>95</v>
      </c>
      <c r="W26" s="34" t="s">
        <v>19</v>
      </c>
      <c r="X26" s="34" t="s">
        <v>18</v>
      </c>
      <c r="Y26" s="34" t="s">
        <v>48</v>
      </c>
      <c r="Z26" s="34" t="s">
        <v>49</v>
      </c>
      <c r="AA26" s="34" t="s">
        <v>17</v>
      </c>
      <c r="AB26" s="106" t="s">
        <v>16</v>
      </c>
      <c r="AC26" s="106" t="s">
        <v>15</v>
      </c>
      <c r="AD26" s="106" t="s">
        <v>14</v>
      </c>
      <c r="AE26" s="106" t="s">
        <v>13</v>
      </c>
      <c r="AF26" s="106" t="s">
        <v>12</v>
      </c>
      <c r="AG26" s="116" t="s">
        <v>11</v>
      </c>
      <c r="AH26" s="118" t="s">
        <v>10</v>
      </c>
      <c r="AI26" s="120" t="s">
        <v>9</v>
      </c>
      <c r="AJ26" s="35">
        <f>(1-R28/F28)</f>
        <v>0.18222626079054971</v>
      </c>
      <c r="AK26" s="35">
        <f>1-(AD28+AM28)/F28</f>
        <v>0.17518855065879146</v>
      </c>
      <c r="AM26" s="106" t="s">
        <v>8</v>
      </c>
      <c r="AN26" s="106" t="s">
        <v>7</v>
      </c>
      <c r="AO26" s="106" t="s">
        <v>37</v>
      </c>
      <c r="AP26" s="106" t="s">
        <v>38</v>
      </c>
      <c r="AQ26" s="106" t="s">
        <v>6</v>
      </c>
      <c r="AR26" s="106" t="s">
        <v>5</v>
      </c>
      <c r="AT26" s="106" t="s">
        <v>4</v>
      </c>
      <c r="AU26" s="106" t="s">
        <v>3</v>
      </c>
      <c r="AV26" s="106" t="s">
        <v>2</v>
      </c>
      <c r="AW26" s="106" t="s">
        <v>1</v>
      </c>
      <c r="AY26" s="108"/>
      <c r="AZ26" s="108"/>
      <c r="BB26" s="106"/>
    </row>
    <row r="27" spans="1:54" ht="27" customHeight="1" x14ac:dyDescent="0.3">
      <c r="A27" s="126"/>
      <c r="B27" s="134"/>
      <c r="C27" s="134"/>
      <c r="D27" s="117"/>
      <c r="E27" s="117"/>
      <c r="F27" s="31">
        <v>0</v>
      </c>
      <c r="G27" s="33">
        <v>0.08</v>
      </c>
      <c r="H27" s="32">
        <v>1000000</v>
      </c>
      <c r="I27" s="31">
        <v>1</v>
      </c>
      <c r="J27" s="32">
        <v>0</v>
      </c>
      <c r="K27" s="31">
        <v>1</v>
      </c>
      <c r="L27" s="32">
        <v>300000</v>
      </c>
      <c r="M27" s="31">
        <v>7.0000000000000007E-2</v>
      </c>
      <c r="N27" s="32">
        <v>150000</v>
      </c>
      <c r="O27" s="31">
        <v>0</v>
      </c>
      <c r="P27" s="32">
        <v>0</v>
      </c>
      <c r="Q27" s="107"/>
      <c r="R27" s="107"/>
      <c r="S27" s="21"/>
      <c r="T27" s="31">
        <f>IF(C28="노트북",7%,IF(C28="저장&amp;주변기기",9%,IF(C28="모니터",7%)))</f>
        <v>7.0000000000000007E-2</v>
      </c>
      <c r="U27" s="31">
        <v>0</v>
      </c>
      <c r="V27" s="31">
        <v>0.02</v>
      </c>
      <c r="W27" s="31">
        <f>IF(G27=0%,20%,0%)</f>
        <v>0</v>
      </c>
      <c r="X27" s="30">
        <v>0</v>
      </c>
      <c r="Y27" s="30">
        <v>1</v>
      </c>
      <c r="Z27" s="53">
        <v>1</v>
      </c>
      <c r="AA27" s="29">
        <v>0.5</v>
      </c>
      <c r="AB27" s="107"/>
      <c r="AC27" s="107"/>
      <c r="AD27" s="107"/>
      <c r="AE27" s="107"/>
      <c r="AF27" s="107"/>
      <c r="AG27" s="117"/>
      <c r="AH27" s="119"/>
      <c r="AI27" s="121"/>
      <c r="AJ27" s="55" t="s">
        <v>52</v>
      </c>
      <c r="AK27" s="56">
        <f>AJ26-AK26</f>
        <v>7.0377101317582458E-3</v>
      </c>
      <c r="AM27" s="107"/>
      <c r="AN27" s="107"/>
      <c r="AO27" s="107"/>
      <c r="AP27" s="107"/>
      <c r="AQ27" s="107"/>
      <c r="AR27" s="107"/>
      <c r="AS27" s="39"/>
      <c r="AT27" s="107"/>
      <c r="AU27" s="117"/>
      <c r="AV27" s="107"/>
      <c r="AW27" s="107"/>
      <c r="AY27" s="109"/>
      <c r="AZ27" s="109"/>
      <c r="BB27" s="107"/>
    </row>
    <row r="28" spans="1:54" ht="27" customHeight="1" x14ac:dyDescent="0.3">
      <c r="A28" s="28" t="s">
        <v>39</v>
      </c>
      <c r="B28" s="38" t="s">
        <v>35</v>
      </c>
      <c r="C28" s="27" t="s">
        <v>0</v>
      </c>
      <c r="D28" s="26">
        <v>4321378893</v>
      </c>
      <c r="E28" s="25">
        <v>4402000</v>
      </c>
      <c r="F28" s="24">
        <f>ROUNDDOWN(E28/(1-F27),-1)</f>
        <v>4402000</v>
      </c>
      <c r="G28" s="110">
        <f>ROUNDDOWN(IF(F28*G27&gt;H27,H27,F28*G27),-1)</f>
        <v>352160</v>
      </c>
      <c r="H28" s="111"/>
      <c r="I28" s="112">
        <f>ROUNDDOWN(IF(F28*I27&gt;J27,J27,F28*I27),-1)</f>
        <v>0</v>
      </c>
      <c r="J28" s="113"/>
      <c r="K28" s="112">
        <f>ROUNDDOWN(IF(F28*K27&gt;L27,L27,F28*K27),-1)</f>
        <v>300000</v>
      </c>
      <c r="L28" s="113"/>
      <c r="M28" s="110">
        <f>ROUNDDOWN(IF(Q28*M27&gt;N27,N27,Q28*M27),-1)</f>
        <v>150000</v>
      </c>
      <c r="N28" s="111"/>
      <c r="O28" s="110">
        <f>ROUNDDOWN(IF(F28*O27&gt;P27,P27,F28*O27),-1)</f>
        <v>0</v>
      </c>
      <c r="P28" s="111"/>
      <c r="Q28" s="23">
        <f>F28-G28-I28-K28</f>
        <v>3749840</v>
      </c>
      <c r="R28" s="22">
        <f>F28-G28-I28-K28-M28-O28</f>
        <v>3599840</v>
      </c>
      <c r="S28" s="21"/>
      <c r="T28" s="20">
        <f>F28*T27</f>
        <v>308140.00000000006</v>
      </c>
      <c r="U28" s="20">
        <f>F28*U27</f>
        <v>0</v>
      </c>
      <c r="V28" s="20">
        <f>(F28-I28)*V27</f>
        <v>88040</v>
      </c>
      <c r="W28" s="19">
        <f>(F28*F27)*W27</f>
        <v>0</v>
      </c>
      <c r="X28" s="19">
        <f>G28*X27</f>
        <v>0</v>
      </c>
      <c r="Y28" s="19">
        <f>I28*Y27</f>
        <v>0</v>
      </c>
      <c r="Z28" s="19">
        <f>K28*Z27</f>
        <v>300000</v>
      </c>
      <c r="AA28" s="19">
        <f>M28*AA27</f>
        <v>75000</v>
      </c>
      <c r="AB28" s="19">
        <v>0</v>
      </c>
      <c r="AC28" s="16">
        <v>15000</v>
      </c>
      <c r="AD28" s="18">
        <f>F28-T28-U28-V28-W28-AA28-X28-Y28-Z28-AB28</f>
        <v>3630820</v>
      </c>
      <c r="AE28" s="18">
        <f>F28-T28-U28-V28-W28-X28-Y28-Z28-AA28-AB28-AC28</f>
        <v>3615820</v>
      </c>
      <c r="AF28" s="17">
        <f>AE28-AG28</f>
        <v>101820</v>
      </c>
      <c r="AG28" s="16">
        <v>3514000</v>
      </c>
      <c r="AH28" s="15">
        <f>AF28/AG28</f>
        <v>2.8975526465566306E-2</v>
      </c>
      <c r="AI28" s="14">
        <f>1-R28/(AG28-AM28-AN28-AO28)</f>
        <v>-2.4428002276607907E-2</v>
      </c>
      <c r="AJ28" s="114">
        <f>AJ26-AK26</f>
        <v>7.0377101317582458E-3</v>
      </c>
      <c r="AK28" s="115"/>
      <c r="AM28" s="13">
        <v>0</v>
      </c>
      <c r="AN28" s="12">
        <f>X28*AN27</f>
        <v>0</v>
      </c>
      <c r="AO28" s="12">
        <v>0</v>
      </c>
      <c r="AP28" s="12"/>
      <c r="AQ28" s="11">
        <f>AE28-(AG28-AM28-AN28-AO28-AP28)</f>
        <v>101820</v>
      </c>
      <c r="AR28" s="8">
        <f>AQ28/AG28</f>
        <v>2.8975526465566306E-2</v>
      </c>
      <c r="AT28" s="10">
        <v>0</v>
      </c>
      <c r="AU28" s="10">
        <v>0</v>
      </c>
      <c r="AV28" s="9">
        <f>AQ28-AT28-AU28</f>
        <v>101820</v>
      </c>
      <c r="AW28" s="8">
        <f>AV28/AG28</f>
        <v>2.8975526465566306E-2</v>
      </c>
      <c r="AY28" s="49"/>
      <c r="AZ28" s="50"/>
      <c r="BB28" s="6"/>
    </row>
    <row r="29" spans="1:54" x14ac:dyDescent="0.3">
      <c r="A29" s="43"/>
      <c r="B29" s="43"/>
      <c r="C29" s="43"/>
      <c r="D29" s="43"/>
      <c r="E29" s="5">
        <v>3799000</v>
      </c>
      <c r="F29" s="4">
        <f>ROUNDDOWN(E29/(1-F27),-1)</f>
        <v>3799000</v>
      </c>
      <c r="G29" s="138">
        <f>ROUNDDOWN(IF(F29*G27&gt;H27,H27,F29*G27),-1)</f>
        <v>303920</v>
      </c>
      <c r="H29" s="138"/>
      <c r="J29" s="54">
        <f>F28*4%</f>
        <v>176080</v>
      </c>
      <c r="R29" s="4">
        <v>3299000</v>
      </c>
    </row>
    <row r="30" spans="1:54" ht="27" customHeight="1" x14ac:dyDescent="0.3">
      <c r="A30" s="124" t="s">
        <v>34</v>
      </c>
      <c r="B30" s="142" t="s">
        <v>132</v>
      </c>
      <c r="C30" s="143"/>
      <c r="D30" s="143"/>
      <c r="E30" s="143"/>
      <c r="F30" s="143"/>
      <c r="G30" s="143"/>
      <c r="H30" s="143"/>
      <c r="I30" s="143"/>
      <c r="J30" s="143"/>
      <c r="K30" s="143"/>
      <c r="L30" s="143"/>
      <c r="M30" s="143"/>
      <c r="N30" s="143"/>
      <c r="O30" s="143"/>
      <c r="P30" s="143"/>
      <c r="Q30" s="143"/>
      <c r="R30" s="144"/>
      <c r="T30" s="130" t="s">
        <v>33</v>
      </c>
      <c r="U30" s="131"/>
      <c r="V30" s="131"/>
      <c r="W30" s="131"/>
      <c r="X30" s="131"/>
      <c r="Y30" s="131"/>
      <c r="Z30" s="131"/>
      <c r="AA30" s="131"/>
      <c r="AB30" s="131"/>
      <c r="AC30" s="131"/>
      <c r="AD30" s="131"/>
      <c r="AE30" s="131"/>
      <c r="AF30" s="131"/>
      <c r="AG30" s="131"/>
      <c r="AH30" s="132"/>
      <c r="AI30" s="37"/>
      <c r="AM30" s="130" t="s">
        <v>32</v>
      </c>
      <c r="AN30" s="131"/>
      <c r="AO30" s="131"/>
      <c r="AP30" s="131"/>
      <c r="AQ30" s="131"/>
      <c r="AR30" s="132"/>
      <c r="AT30" s="130" t="s">
        <v>31</v>
      </c>
      <c r="AU30" s="131"/>
      <c r="AV30" s="131"/>
      <c r="AW30" s="132"/>
      <c r="AY30" s="47" t="s">
        <v>36</v>
      </c>
      <c r="AZ30" s="48"/>
      <c r="BB30" s="36"/>
    </row>
    <row r="31" spans="1:54" ht="32.25" customHeight="1" x14ac:dyDescent="0.3">
      <c r="A31" s="125"/>
      <c r="B31" s="133" t="s">
        <v>30</v>
      </c>
      <c r="C31" s="133" t="s">
        <v>29</v>
      </c>
      <c r="D31" s="116" t="s">
        <v>28</v>
      </c>
      <c r="E31" s="116" t="s">
        <v>27</v>
      </c>
      <c r="F31" s="34" t="s">
        <v>26</v>
      </c>
      <c r="G31" s="122" t="s">
        <v>63</v>
      </c>
      <c r="H31" s="123"/>
      <c r="I31" s="122" t="s">
        <v>50</v>
      </c>
      <c r="J31" s="123"/>
      <c r="K31" s="122" t="s">
        <v>62</v>
      </c>
      <c r="L31" s="123"/>
      <c r="M31" s="122" t="s">
        <v>25</v>
      </c>
      <c r="N31" s="123"/>
      <c r="O31" s="122" t="s">
        <v>24</v>
      </c>
      <c r="P31" s="123"/>
      <c r="Q31" s="106" t="s">
        <v>23</v>
      </c>
      <c r="R31" s="106" t="s">
        <v>22</v>
      </c>
      <c r="S31" s="21"/>
      <c r="T31" s="34" t="s">
        <v>21</v>
      </c>
      <c r="U31" s="34" t="s">
        <v>20</v>
      </c>
      <c r="V31" s="34" t="s">
        <v>95</v>
      </c>
      <c r="W31" s="34" t="s">
        <v>19</v>
      </c>
      <c r="X31" s="34" t="s">
        <v>18</v>
      </c>
      <c r="Y31" s="34" t="s">
        <v>48</v>
      </c>
      <c r="Z31" s="34" t="s">
        <v>49</v>
      </c>
      <c r="AA31" s="34" t="s">
        <v>17</v>
      </c>
      <c r="AB31" s="106" t="s">
        <v>16</v>
      </c>
      <c r="AC31" s="106" t="s">
        <v>15</v>
      </c>
      <c r="AD31" s="106" t="s">
        <v>14</v>
      </c>
      <c r="AE31" s="106" t="s">
        <v>13</v>
      </c>
      <c r="AF31" s="106" t="s">
        <v>12</v>
      </c>
      <c r="AG31" s="116" t="s">
        <v>11</v>
      </c>
      <c r="AH31" s="118" t="s">
        <v>10</v>
      </c>
      <c r="AI31" s="120" t="s">
        <v>9</v>
      </c>
      <c r="AJ31" s="35">
        <f>(1-R33/F33)</f>
        <v>0.18904134484325308</v>
      </c>
      <c r="AK31" s="35">
        <f>1-(AD33+AM33)/F33</f>
        <v>0.18186733303044067</v>
      </c>
      <c r="AM31" s="106" t="s">
        <v>8</v>
      </c>
      <c r="AN31" s="106" t="s">
        <v>7</v>
      </c>
      <c r="AO31" s="106" t="s">
        <v>37</v>
      </c>
      <c r="AP31" s="106" t="s">
        <v>38</v>
      </c>
      <c r="AQ31" s="106" t="s">
        <v>6</v>
      </c>
      <c r="AR31" s="106" t="s">
        <v>5</v>
      </c>
      <c r="AT31" s="106" t="s">
        <v>4</v>
      </c>
      <c r="AU31" s="106" t="s">
        <v>3</v>
      </c>
      <c r="AV31" s="106" t="s">
        <v>2</v>
      </c>
      <c r="AW31" s="106" t="s">
        <v>1</v>
      </c>
      <c r="AY31" s="108"/>
      <c r="AZ31" s="108"/>
      <c r="BB31" s="106"/>
    </row>
    <row r="32" spans="1:54" ht="27" customHeight="1" x14ac:dyDescent="0.3">
      <c r="A32" s="126"/>
      <c r="B32" s="134"/>
      <c r="C32" s="134"/>
      <c r="D32" s="117"/>
      <c r="E32" s="117"/>
      <c r="F32" s="31">
        <v>0</v>
      </c>
      <c r="G32" s="33">
        <v>0.08</v>
      </c>
      <c r="H32" s="32">
        <v>1000000</v>
      </c>
      <c r="I32" s="31">
        <v>1</v>
      </c>
      <c r="J32" s="32">
        <v>30000</v>
      </c>
      <c r="K32" s="31">
        <v>1</v>
      </c>
      <c r="L32" s="32">
        <v>300000</v>
      </c>
      <c r="M32" s="31">
        <v>7.0000000000000007E-2</v>
      </c>
      <c r="N32" s="32">
        <v>150000</v>
      </c>
      <c r="O32" s="31">
        <v>0</v>
      </c>
      <c r="P32" s="32">
        <v>0</v>
      </c>
      <c r="Q32" s="107"/>
      <c r="R32" s="107"/>
      <c r="S32" s="21"/>
      <c r="T32" s="31">
        <f>IF(C33="노트북",7%,IF(C33="저장&amp;주변기기",9%,IF(C33="모니터",7%)))</f>
        <v>7.0000000000000007E-2</v>
      </c>
      <c r="U32" s="31">
        <v>0</v>
      </c>
      <c r="V32" s="31">
        <v>0.02</v>
      </c>
      <c r="W32" s="31">
        <f>IF(G32=0%,20%,0%)</f>
        <v>0</v>
      </c>
      <c r="X32" s="30">
        <v>0</v>
      </c>
      <c r="Y32" s="30">
        <v>1</v>
      </c>
      <c r="Z32" s="53">
        <v>1</v>
      </c>
      <c r="AA32" s="29">
        <v>0.5</v>
      </c>
      <c r="AB32" s="107"/>
      <c r="AC32" s="107"/>
      <c r="AD32" s="107"/>
      <c r="AE32" s="107"/>
      <c r="AF32" s="107"/>
      <c r="AG32" s="117"/>
      <c r="AH32" s="119"/>
      <c r="AI32" s="121"/>
      <c r="AJ32" s="55" t="s">
        <v>52</v>
      </c>
      <c r="AK32" s="56">
        <f>AJ31-AK31</f>
        <v>7.1740118128124086E-3</v>
      </c>
      <c r="AM32" s="107"/>
      <c r="AN32" s="107"/>
      <c r="AO32" s="107"/>
      <c r="AP32" s="107"/>
      <c r="AQ32" s="107"/>
      <c r="AR32" s="107"/>
      <c r="AS32" s="39"/>
      <c r="AT32" s="107"/>
      <c r="AU32" s="107"/>
      <c r="AV32" s="107"/>
      <c r="AW32" s="107"/>
      <c r="AY32" s="109"/>
      <c r="AZ32" s="109"/>
      <c r="BB32" s="107"/>
    </row>
    <row r="33" spans="1:54" ht="27" customHeight="1" x14ac:dyDescent="0.3">
      <c r="A33" s="28" t="s">
        <v>39</v>
      </c>
      <c r="B33" s="38" t="s">
        <v>35</v>
      </c>
      <c r="C33" s="27" t="s">
        <v>0</v>
      </c>
      <c r="D33" s="26">
        <v>4321378893</v>
      </c>
      <c r="E33" s="25">
        <v>4402000</v>
      </c>
      <c r="F33" s="24">
        <f>ROUNDDOWN(E33/(1-F32),-1)</f>
        <v>4402000</v>
      </c>
      <c r="G33" s="110">
        <f>ROUNDDOWN(IF(F33*G32&gt;H32,H32,F33*G32),-1)</f>
        <v>352160</v>
      </c>
      <c r="H33" s="111"/>
      <c r="I33" s="112">
        <f>ROUNDDOWN(IF(F33*I32&gt;J32,J32,F33*I32),-1)</f>
        <v>30000</v>
      </c>
      <c r="J33" s="113"/>
      <c r="K33" s="112">
        <f>ROUNDDOWN(IF(F33*K32&gt;L32,L32,F33*K32),-1)</f>
        <v>300000</v>
      </c>
      <c r="L33" s="113"/>
      <c r="M33" s="110">
        <f>ROUNDDOWN(IF(Q33*M32&gt;N32,N32,Q33*M32),-1)</f>
        <v>150000</v>
      </c>
      <c r="N33" s="111"/>
      <c r="O33" s="110">
        <f>ROUNDDOWN(IF(F33*O32&gt;P32,P32,F33*O32),-1)</f>
        <v>0</v>
      </c>
      <c r="P33" s="111"/>
      <c r="Q33" s="23">
        <f>F33-G33-I33-K33</f>
        <v>3719840</v>
      </c>
      <c r="R33" s="22">
        <f>F33-G33-I33-K33-M33-O33</f>
        <v>3569840</v>
      </c>
      <c r="S33" s="21"/>
      <c r="T33" s="20">
        <f>F33*T32</f>
        <v>308140.00000000006</v>
      </c>
      <c r="U33" s="20">
        <f>F33*U32</f>
        <v>0</v>
      </c>
      <c r="V33" s="20">
        <f>(F33-I33)*V32</f>
        <v>87440</v>
      </c>
      <c r="W33" s="19">
        <f>(F33*F32)*W32</f>
        <v>0</v>
      </c>
      <c r="X33" s="19">
        <f>G33*X32</f>
        <v>0</v>
      </c>
      <c r="Y33" s="19">
        <f>I33*Y32</f>
        <v>30000</v>
      </c>
      <c r="Z33" s="19">
        <f>K33*Z32</f>
        <v>300000</v>
      </c>
      <c r="AA33" s="19">
        <f>M33*AA32</f>
        <v>75000</v>
      </c>
      <c r="AB33" s="19">
        <v>0</v>
      </c>
      <c r="AC33" s="16">
        <v>15000</v>
      </c>
      <c r="AD33" s="18">
        <f>F33-T33-U33-V33-W33-AA33-X33-Y33-Z33-AB33</f>
        <v>3601420</v>
      </c>
      <c r="AE33" s="18">
        <f>F33-T33-U33-V33-W33-X33-Y33-Z33-AA33-AB33-AC33</f>
        <v>3586420</v>
      </c>
      <c r="AF33" s="17">
        <f>AE33-AG33</f>
        <v>72420</v>
      </c>
      <c r="AG33" s="16">
        <v>3514000</v>
      </c>
      <c r="AH33" s="15">
        <f>AF33/AG33</f>
        <v>2.0608992601024473E-2</v>
      </c>
      <c r="AI33" s="14">
        <f>1-R33/(AG33-AM33-AN33-AO33)</f>
        <v>-1.5890722822993641E-2</v>
      </c>
      <c r="AJ33" s="114">
        <f>AJ31-AK31</f>
        <v>7.1740118128124086E-3</v>
      </c>
      <c r="AK33" s="115"/>
      <c r="AM33" s="13">
        <v>0</v>
      </c>
      <c r="AN33" s="12">
        <f>X33*AN32</f>
        <v>0</v>
      </c>
      <c r="AO33" s="12">
        <v>0</v>
      </c>
      <c r="AP33" s="12"/>
      <c r="AQ33" s="11">
        <f>AE33-(AG33-AM33-AN33-AO33-AP33)</f>
        <v>72420</v>
      </c>
      <c r="AR33" s="8">
        <f>AQ33/AG33</f>
        <v>2.0608992601024473E-2</v>
      </c>
      <c r="AT33" s="10">
        <v>0</v>
      </c>
      <c r="AU33" s="10">
        <v>0</v>
      </c>
      <c r="AV33" s="9">
        <f>AQ33-AT33-AU33</f>
        <v>72420</v>
      </c>
      <c r="AW33" s="8">
        <f>AV33/AG33</f>
        <v>2.0608992601024473E-2</v>
      </c>
      <c r="AY33" s="49"/>
      <c r="AZ33" s="50"/>
      <c r="BB33" s="6"/>
    </row>
    <row r="34" spans="1:54" x14ac:dyDescent="0.3">
      <c r="A34" s="43"/>
      <c r="B34" s="43"/>
      <c r="C34" s="43"/>
      <c r="D34" s="43"/>
      <c r="E34" s="5">
        <v>3799000</v>
      </c>
      <c r="F34" s="4">
        <f>ROUNDDOWN(E34/(1-F32),-1)</f>
        <v>3799000</v>
      </c>
      <c r="G34" s="105">
        <f>ROUNDDOWN(IF(F34*G32&gt;H32,H32,F34*G32),-1)</f>
        <v>303920</v>
      </c>
      <c r="H34" s="105"/>
      <c r="J34" s="54">
        <f>F33*4%</f>
        <v>176080</v>
      </c>
      <c r="R34" s="4">
        <v>3299000</v>
      </c>
    </row>
    <row r="35" spans="1:54" ht="27" customHeight="1" x14ac:dyDescent="0.3">
      <c r="A35" s="124" t="s">
        <v>34</v>
      </c>
      <c r="B35" s="139" t="s">
        <v>133</v>
      </c>
      <c r="C35" s="140"/>
      <c r="D35" s="140"/>
      <c r="E35" s="140"/>
      <c r="F35" s="140"/>
      <c r="G35" s="140"/>
      <c r="H35" s="140"/>
      <c r="I35" s="140"/>
      <c r="J35" s="140"/>
      <c r="K35" s="140"/>
      <c r="L35" s="140"/>
      <c r="M35" s="140"/>
      <c r="N35" s="140"/>
      <c r="O35" s="140"/>
      <c r="P35" s="140"/>
      <c r="Q35" s="140"/>
      <c r="R35" s="141"/>
      <c r="T35" s="130" t="s">
        <v>33</v>
      </c>
      <c r="U35" s="131"/>
      <c r="V35" s="131"/>
      <c r="W35" s="131"/>
      <c r="X35" s="131"/>
      <c r="Y35" s="131"/>
      <c r="Z35" s="131"/>
      <c r="AA35" s="131"/>
      <c r="AB35" s="131"/>
      <c r="AC35" s="131"/>
      <c r="AD35" s="131"/>
      <c r="AE35" s="131"/>
      <c r="AF35" s="131"/>
      <c r="AG35" s="131"/>
      <c r="AH35" s="132"/>
      <c r="AI35" s="37"/>
      <c r="AM35" s="130" t="s">
        <v>32</v>
      </c>
      <c r="AN35" s="131"/>
      <c r="AO35" s="131"/>
      <c r="AP35" s="131"/>
      <c r="AQ35" s="131"/>
      <c r="AR35" s="132"/>
      <c r="AT35" s="130" t="s">
        <v>31</v>
      </c>
      <c r="AU35" s="131"/>
      <c r="AV35" s="131"/>
      <c r="AW35" s="132"/>
      <c r="AY35" s="47" t="s">
        <v>36</v>
      </c>
      <c r="AZ35" s="48"/>
      <c r="BB35" s="36"/>
    </row>
    <row r="36" spans="1:54" ht="32.25" customHeight="1" x14ac:dyDescent="0.3">
      <c r="A36" s="125"/>
      <c r="B36" s="133" t="s">
        <v>30</v>
      </c>
      <c r="C36" s="133" t="s">
        <v>29</v>
      </c>
      <c r="D36" s="116" t="s">
        <v>28</v>
      </c>
      <c r="E36" s="116" t="s">
        <v>27</v>
      </c>
      <c r="F36" s="34" t="s">
        <v>26</v>
      </c>
      <c r="G36" s="122" t="s">
        <v>63</v>
      </c>
      <c r="H36" s="123"/>
      <c r="I36" s="122" t="s">
        <v>50</v>
      </c>
      <c r="J36" s="123"/>
      <c r="K36" s="122" t="s">
        <v>62</v>
      </c>
      <c r="L36" s="123"/>
      <c r="M36" s="122" t="s">
        <v>25</v>
      </c>
      <c r="N36" s="123"/>
      <c r="O36" s="122" t="s">
        <v>24</v>
      </c>
      <c r="P36" s="123"/>
      <c r="Q36" s="106" t="s">
        <v>23</v>
      </c>
      <c r="R36" s="106" t="s">
        <v>22</v>
      </c>
      <c r="S36" s="21"/>
      <c r="T36" s="34" t="s">
        <v>21</v>
      </c>
      <c r="U36" s="34" t="s">
        <v>20</v>
      </c>
      <c r="V36" s="34" t="s">
        <v>95</v>
      </c>
      <c r="W36" s="34" t="s">
        <v>19</v>
      </c>
      <c r="X36" s="34" t="s">
        <v>18</v>
      </c>
      <c r="Y36" s="34" t="s">
        <v>48</v>
      </c>
      <c r="Z36" s="34" t="s">
        <v>49</v>
      </c>
      <c r="AA36" s="34" t="s">
        <v>17</v>
      </c>
      <c r="AB36" s="106" t="s">
        <v>16</v>
      </c>
      <c r="AC36" s="106" t="s">
        <v>15</v>
      </c>
      <c r="AD36" s="106" t="s">
        <v>14</v>
      </c>
      <c r="AE36" s="106" t="s">
        <v>13</v>
      </c>
      <c r="AF36" s="106" t="s">
        <v>12</v>
      </c>
      <c r="AG36" s="116" t="s">
        <v>11</v>
      </c>
      <c r="AH36" s="118" t="s">
        <v>10</v>
      </c>
      <c r="AI36" s="120" t="s">
        <v>9</v>
      </c>
      <c r="AJ36" s="35">
        <f>(1-R38/F38)</f>
        <v>0.20297882031427916</v>
      </c>
      <c r="AK36" s="35">
        <f>1-(AD38+AM38)/F38</f>
        <v>0.1843748485538601</v>
      </c>
      <c r="AM36" s="106" t="s">
        <v>8</v>
      </c>
      <c r="AN36" s="106" t="s">
        <v>7</v>
      </c>
      <c r="AO36" s="106" t="s">
        <v>37</v>
      </c>
      <c r="AP36" s="106" t="s">
        <v>38</v>
      </c>
      <c r="AQ36" s="106" t="s">
        <v>6</v>
      </c>
      <c r="AR36" s="106" t="s">
        <v>5</v>
      </c>
      <c r="AT36" s="106" t="s">
        <v>4</v>
      </c>
      <c r="AU36" s="106" t="s">
        <v>3</v>
      </c>
      <c r="AV36" s="106" t="s">
        <v>2</v>
      </c>
      <c r="AW36" s="106" t="s">
        <v>1</v>
      </c>
      <c r="AY36" s="108"/>
      <c r="AZ36" s="108"/>
      <c r="BB36" s="106"/>
    </row>
    <row r="37" spans="1:54" ht="27" customHeight="1" x14ac:dyDescent="0.3">
      <c r="A37" s="126"/>
      <c r="B37" s="134"/>
      <c r="C37" s="134"/>
      <c r="D37" s="117"/>
      <c r="E37" s="117"/>
      <c r="F37" s="31">
        <v>0</v>
      </c>
      <c r="G37" s="33">
        <v>0.08</v>
      </c>
      <c r="H37" s="32">
        <v>1000000</v>
      </c>
      <c r="I37" s="31">
        <v>1</v>
      </c>
      <c r="J37" s="32">
        <v>30000</v>
      </c>
      <c r="K37" s="31">
        <v>1</v>
      </c>
      <c r="L37" s="32">
        <v>360000</v>
      </c>
      <c r="M37" s="31">
        <v>7.0000000000000007E-2</v>
      </c>
      <c r="N37" s="32">
        <v>150000</v>
      </c>
      <c r="O37" s="31">
        <v>0</v>
      </c>
      <c r="P37" s="32">
        <v>0</v>
      </c>
      <c r="Q37" s="107"/>
      <c r="R37" s="107"/>
      <c r="S37" s="21"/>
      <c r="T37" s="31">
        <f>IF(C38="노트북",7%,IF(C38="저장&amp;주변기기",9%,IF(C38="모니터",7%)))</f>
        <v>7.0000000000000007E-2</v>
      </c>
      <c r="U37" s="31">
        <v>0</v>
      </c>
      <c r="V37" s="31">
        <v>0.02</v>
      </c>
      <c r="W37" s="31">
        <f>IF(G37=0%,20%,0%)</f>
        <v>0</v>
      </c>
      <c r="X37" s="30">
        <v>0</v>
      </c>
      <c r="Y37" s="30">
        <v>1</v>
      </c>
      <c r="Z37" s="53">
        <v>0.86111099999999996</v>
      </c>
      <c r="AA37" s="29">
        <v>0.5</v>
      </c>
      <c r="AB37" s="107"/>
      <c r="AC37" s="107"/>
      <c r="AD37" s="107"/>
      <c r="AE37" s="107"/>
      <c r="AF37" s="107"/>
      <c r="AG37" s="117"/>
      <c r="AH37" s="119"/>
      <c r="AI37" s="121"/>
      <c r="AJ37" s="55" t="s">
        <v>52</v>
      </c>
      <c r="AK37" s="56">
        <f>AJ36-AK36</f>
        <v>1.8603971760419058E-2</v>
      </c>
      <c r="AM37" s="107"/>
      <c r="AN37" s="107"/>
      <c r="AO37" s="107"/>
      <c r="AP37" s="107"/>
      <c r="AQ37" s="107"/>
      <c r="AR37" s="107"/>
      <c r="AS37" s="39"/>
      <c r="AT37" s="107"/>
      <c r="AU37" s="117"/>
      <c r="AV37" s="107"/>
      <c r="AW37" s="107"/>
      <c r="AY37" s="109"/>
      <c r="AZ37" s="109"/>
      <c r="BB37" s="107"/>
    </row>
    <row r="38" spans="1:54" ht="27" customHeight="1" x14ac:dyDescent="0.3">
      <c r="A38" s="28" t="s">
        <v>39</v>
      </c>
      <c r="B38" s="38" t="s">
        <v>35</v>
      </c>
      <c r="C38" s="27" t="s">
        <v>0</v>
      </c>
      <c r="D38" s="26">
        <v>4321378893</v>
      </c>
      <c r="E38" s="25">
        <v>4391000</v>
      </c>
      <c r="F38" s="24">
        <f>ROUNDDOWN(E38/(1-F37),-1)</f>
        <v>4391000</v>
      </c>
      <c r="G38" s="110">
        <f>ROUNDDOWN(IF(F38*G37&gt;H37,H37,F38*G37),-1)</f>
        <v>351280</v>
      </c>
      <c r="H38" s="111"/>
      <c r="I38" s="112">
        <f>ROUNDDOWN(IF(F38*I37&gt;J37,J37,F38*I37),-1)</f>
        <v>30000</v>
      </c>
      <c r="J38" s="113"/>
      <c r="K38" s="112">
        <f>ROUNDDOWN(IF(F38*K37&gt;L37,L37,F38*K37),-1)</f>
        <v>360000</v>
      </c>
      <c r="L38" s="113"/>
      <c r="M38" s="110">
        <f>ROUNDDOWN(IF(Q38*M37&gt;N37,N37,Q38*M37),-1)</f>
        <v>150000</v>
      </c>
      <c r="N38" s="111"/>
      <c r="O38" s="110">
        <f>ROUNDDOWN(IF(F38*O37&gt;P37,P37,F38*O37),-1)</f>
        <v>0</v>
      </c>
      <c r="P38" s="111"/>
      <c r="Q38" s="23">
        <f>F38-G38-I38-K38</f>
        <v>3649720</v>
      </c>
      <c r="R38" s="22">
        <f>F38-G38-I38-K38-M38-O38</f>
        <v>3499720</v>
      </c>
      <c r="S38" s="21"/>
      <c r="T38" s="20">
        <f>F38*T37</f>
        <v>307370.00000000006</v>
      </c>
      <c r="U38" s="20">
        <f>F38*U37</f>
        <v>0</v>
      </c>
      <c r="V38" s="20">
        <f>(F38-I38)*V37</f>
        <v>87220</v>
      </c>
      <c r="W38" s="19">
        <f>(F38*F37)*W37</f>
        <v>0</v>
      </c>
      <c r="X38" s="19">
        <f>G38*X37</f>
        <v>0</v>
      </c>
      <c r="Y38" s="19">
        <f>I38*Y37</f>
        <v>30000</v>
      </c>
      <c r="Z38" s="19">
        <f>K38*Z37</f>
        <v>309999.95999999996</v>
      </c>
      <c r="AA38" s="19">
        <f>M38*AA37</f>
        <v>75000</v>
      </c>
      <c r="AB38" s="19">
        <v>0</v>
      </c>
      <c r="AC38" s="16">
        <v>15000</v>
      </c>
      <c r="AD38" s="18">
        <f>F38-T38-U38-V38-W38-AA38-X38-Y38-Z38-AB38</f>
        <v>3581410.04</v>
      </c>
      <c r="AE38" s="18">
        <f>F38-T38-U38-V38-W38-X38-Y38-Z38-AA38-AB38-AC38</f>
        <v>3566410.04</v>
      </c>
      <c r="AF38" s="17">
        <f>AE38-AG38</f>
        <v>52410.040000000037</v>
      </c>
      <c r="AG38" s="16">
        <v>3514000</v>
      </c>
      <c r="AH38" s="15">
        <f>AF38/AG38</f>
        <v>1.4914638588503141E-2</v>
      </c>
      <c r="AI38" s="14">
        <f>1-R38/(AG38-AM38-AN38-AO38)</f>
        <v>4.0637450199203506E-3</v>
      </c>
      <c r="AJ38" s="114">
        <f>AJ36-AK36</f>
        <v>1.8603971760419058E-2</v>
      </c>
      <c r="AK38" s="115"/>
      <c r="AM38" s="13">
        <v>0</v>
      </c>
      <c r="AN38" s="12">
        <f>X38*AN37</f>
        <v>0</v>
      </c>
      <c r="AO38" s="12">
        <v>0</v>
      </c>
      <c r="AP38" s="12"/>
      <c r="AQ38" s="11">
        <f>AE38-(AG38-AM38-AN38-AO38-AP38)</f>
        <v>52410.040000000037</v>
      </c>
      <c r="AR38" s="8">
        <f>AQ38/AG38</f>
        <v>1.4914638588503141E-2</v>
      </c>
      <c r="AT38" s="10">
        <v>0</v>
      </c>
      <c r="AU38" s="10">
        <v>0</v>
      </c>
      <c r="AV38" s="9">
        <f>AQ38-AT38-AU38</f>
        <v>52410.040000000037</v>
      </c>
      <c r="AW38" s="8">
        <f>AV38/AG38</f>
        <v>1.4914638588503141E-2</v>
      </c>
      <c r="AY38" s="49"/>
      <c r="AZ38" s="50"/>
      <c r="BB38" s="6"/>
    </row>
    <row r="39" spans="1:54" x14ac:dyDescent="0.3">
      <c r="A39" s="43"/>
      <c r="B39" s="43"/>
      <c r="C39" s="43"/>
      <c r="D39" s="43"/>
      <c r="E39" s="5">
        <v>3799000</v>
      </c>
      <c r="F39" s="4">
        <f>ROUNDDOWN(E39/(1-F37),-1)</f>
        <v>3799000</v>
      </c>
      <c r="G39" s="138">
        <f>ROUNDDOWN(IF(F39*G37&gt;H37,H37,F39*G37),-1)</f>
        <v>303920</v>
      </c>
      <c r="H39" s="138"/>
      <c r="J39" s="54">
        <f>F38*4%</f>
        <v>175640</v>
      </c>
      <c r="R39" s="4">
        <v>3299000</v>
      </c>
    </row>
    <row r="40" spans="1:54" x14ac:dyDescent="0.3">
      <c r="A40" s="43"/>
      <c r="B40" s="43"/>
      <c r="C40" s="43"/>
      <c r="D40" s="43"/>
      <c r="E40" s="5"/>
      <c r="F40" s="4"/>
      <c r="G40" s="42"/>
      <c r="H40" s="42"/>
      <c r="J40" s="54"/>
      <c r="R40" s="4"/>
    </row>
    <row r="41" spans="1:54" x14ac:dyDescent="0.3">
      <c r="A41" s="43"/>
      <c r="B41" s="43"/>
      <c r="C41" s="43"/>
      <c r="D41" s="43"/>
      <c r="E41" s="5"/>
      <c r="F41" s="4"/>
      <c r="G41" s="42"/>
      <c r="H41" s="42"/>
      <c r="J41" s="54"/>
    </row>
    <row r="42" spans="1:54" x14ac:dyDescent="0.3">
      <c r="A42" s="43"/>
      <c r="B42" s="43"/>
      <c r="C42" s="43"/>
      <c r="D42" s="43"/>
      <c r="E42" s="5"/>
    </row>
    <row r="43" spans="1:54" s="64" customFormat="1" ht="19.5" x14ac:dyDescent="0.3">
      <c r="A43" s="61" t="s">
        <v>41</v>
      </c>
      <c r="B43" s="62"/>
      <c r="C43" s="62"/>
      <c r="D43" s="62"/>
      <c r="E43" s="63"/>
      <c r="AH43" s="65"/>
      <c r="AI43" s="65"/>
      <c r="AJ43" s="65"/>
      <c r="AK43" s="65"/>
    </row>
    <row r="44" spans="1:54" x14ac:dyDescent="0.3">
      <c r="A44" s="43"/>
      <c r="B44" s="43"/>
      <c r="C44" s="43"/>
      <c r="D44" s="43"/>
      <c r="E44" s="5"/>
    </row>
    <row r="45" spans="1:54" ht="27" customHeight="1" x14ac:dyDescent="0.3">
      <c r="A45" s="124" t="s">
        <v>34</v>
      </c>
      <c r="B45" s="127" t="s">
        <v>117</v>
      </c>
      <c r="C45" s="128"/>
      <c r="D45" s="128"/>
      <c r="E45" s="128"/>
      <c r="F45" s="128"/>
      <c r="G45" s="128"/>
      <c r="H45" s="128"/>
      <c r="I45" s="128"/>
      <c r="J45" s="128"/>
      <c r="K45" s="128"/>
      <c r="L45" s="128"/>
      <c r="M45" s="128"/>
      <c r="N45" s="128"/>
      <c r="O45" s="128"/>
      <c r="P45" s="128"/>
      <c r="Q45" s="128"/>
      <c r="R45" s="129"/>
      <c r="T45" s="130" t="s">
        <v>33</v>
      </c>
      <c r="U45" s="131"/>
      <c r="V45" s="131"/>
      <c r="W45" s="131"/>
      <c r="X45" s="131"/>
      <c r="Y45" s="131"/>
      <c r="Z45" s="131"/>
      <c r="AA45" s="131"/>
      <c r="AB45" s="131"/>
      <c r="AC45" s="131"/>
      <c r="AD45" s="131"/>
      <c r="AE45" s="131"/>
      <c r="AF45" s="131"/>
      <c r="AG45" s="131"/>
      <c r="AH45" s="132"/>
      <c r="AI45" s="37"/>
      <c r="AM45" s="130" t="s">
        <v>32</v>
      </c>
      <c r="AN45" s="131"/>
      <c r="AO45" s="131"/>
      <c r="AP45" s="131"/>
      <c r="AQ45" s="131"/>
      <c r="AR45" s="132"/>
      <c r="AT45" s="130" t="s">
        <v>31</v>
      </c>
      <c r="AU45" s="131"/>
      <c r="AV45" s="131"/>
      <c r="AW45" s="132"/>
      <c r="AY45" s="47" t="s">
        <v>36</v>
      </c>
      <c r="AZ45" s="48"/>
      <c r="BB45" s="36"/>
    </row>
    <row r="46" spans="1:54" ht="32.25" customHeight="1" x14ac:dyDescent="0.3">
      <c r="A46" s="125"/>
      <c r="B46" s="133" t="s">
        <v>30</v>
      </c>
      <c r="C46" s="133" t="s">
        <v>29</v>
      </c>
      <c r="D46" s="116" t="s">
        <v>28</v>
      </c>
      <c r="E46" s="116" t="s">
        <v>27</v>
      </c>
      <c r="F46" s="34" t="s">
        <v>26</v>
      </c>
      <c r="G46" s="122" t="s">
        <v>63</v>
      </c>
      <c r="H46" s="123"/>
      <c r="I46" s="122" t="s">
        <v>50</v>
      </c>
      <c r="J46" s="123"/>
      <c r="K46" s="122" t="s">
        <v>62</v>
      </c>
      <c r="L46" s="123"/>
      <c r="M46" s="122" t="s">
        <v>25</v>
      </c>
      <c r="N46" s="123"/>
      <c r="O46" s="122" t="s">
        <v>24</v>
      </c>
      <c r="P46" s="123"/>
      <c r="Q46" s="106" t="s">
        <v>23</v>
      </c>
      <c r="R46" s="106" t="s">
        <v>22</v>
      </c>
      <c r="S46" s="21"/>
      <c r="T46" s="34" t="s">
        <v>21</v>
      </c>
      <c r="U46" s="34" t="s">
        <v>20</v>
      </c>
      <c r="V46" s="34" t="s">
        <v>95</v>
      </c>
      <c r="W46" s="34" t="s">
        <v>19</v>
      </c>
      <c r="X46" s="34" t="s">
        <v>18</v>
      </c>
      <c r="Y46" s="34" t="s">
        <v>48</v>
      </c>
      <c r="Z46" s="34" t="s">
        <v>49</v>
      </c>
      <c r="AA46" s="34" t="s">
        <v>17</v>
      </c>
      <c r="AB46" s="106" t="s">
        <v>16</v>
      </c>
      <c r="AC46" s="106" t="s">
        <v>15</v>
      </c>
      <c r="AD46" s="106" t="s">
        <v>14</v>
      </c>
      <c r="AE46" s="106" t="s">
        <v>13</v>
      </c>
      <c r="AF46" s="106" t="s">
        <v>12</v>
      </c>
      <c r="AG46" s="116" t="s">
        <v>11</v>
      </c>
      <c r="AH46" s="118" t="s">
        <v>10</v>
      </c>
      <c r="AI46" s="120" t="s">
        <v>9</v>
      </c>
      <c r="AJ46" s="35">
        <f>(1-R48/F48)</f>
        <v>0.1918953348252711</v>
      </c>
      <c r="AK46" s="35">
        <f>1-(AD48+AM48)/F48</f>
        <v>0.16316233430883109</v>
      </c>
      <c r="AM46" s="106" t="s">
        <v>8</v>
      </c>
      <c r="AN46" s="106" t="s">
        <v>7</v>
      </c>
      <c r="AO46" s="106" t="s">
        <v>37</v>
      </c>
      <c r="AP46" s="106" t="s">
        <v>38</v>
      </c>
      <c r="AQ46" s="106" t="s">
        <v>6</v>
      </c>
      <c r="AR46" s="106" t="s">
        <v>5</v>
      </c>
      <c r="AT46" s="106" t="s">
        <v>4</v>
      </c>
      <c r="AU46" s="106" t="s">
        <v>3</v>
      </c>
      <c r="AV46" s="106" t="s">
        <v>2</v>
      </c>
      <c r="AW46" s="106" t="s">
        <v>1</v>
      </c>
      <c r="AY46" s="108"/>
      <c r="AZ46" s="108"/>
      <c r="BB46" s="106"/>
    </row>
    <row r="47" spans="1:54" ht="27" customHeight="1" x14ac:dyDescent="0.3">
      <c r="A47" s="126"/>
      <c r="B47" s="134"/>
      <c r="C47" s="134"/>
      <c r="D47" s="117"/>
      <c r="E47" s="117"/>
      <c r="F47" s="31">
        <v>0</v>
      </c>
      <c r="G47" s="33">
        <v>0.08</v>
      </c>
      <c r="H47" s="32">
        <v>1000000</v>
      </c>
      <c r="I47" s="31">
        <v>1</v>
      </c>
      <c r="J47" s="32">
        <v>0</v>
      </c>
      <c r="K47" s="31">
        <v>1</v>
      </c>
      <c r="L47" s="32">
        <v>500000</v>
      </c>
      <c r="M47" s="31">
        <v>7.0000000000000007E-2</v>
      </c>
      <c r="N47" s="32">
        <v>150000</v>
      </c>
      <c r="O47" s="31">
        <v>0</v>
      </c>
      <c r="P47" s="32">
        <v>0</v>
      </c>
      <c r="Q47" s="107"/>
      <c r="R47" s="107"/>
      <c r="S47" s="21"/>
      <c r="T47" s="31">
        <f>IF(C48="노트북",7%,IF(C48="저장&amp;주변기기",9%,IF(C48="모니터",7%)))</f>
        <v>7.0000000000000007E-2</v>
      </c>
      <c r="U47" s="31">
        <v>0</v>
      </c>
      <c r="V47" s="31">
        <v>0.02</v>
      </c>
      <c r="W47" s="31">
        <f>IF(G47=0%,20%,0%)</f>
        <v>0</v>
      </c>
      <c r="X47" s="30">
        <v>0</v>
      </c>
      <c r="Y47" s="30">
        <v>1</v>
      </c>
      <c r="Z47" s="53">
        <v>1</v>
      </c>
      <c r="AA47" s="29">
        <v>0.5</v>
      </c>
      <c r="AB47" s="107"/>
      <c r="AC47" s="107"/>
      <c r="AD47" s="107"/>
      <c r="AE47" s="107"/>
      <c r="AF47" s="107"/>
      <c r="AG47" s="117"/>
      <c r="AH47" s="119"/>
      <c r="AI47" s="121"/>
      <c r="AJ47" s="55" t="s">
        <v>52</v>
      </c>
      <c r="AK47" s="56">
        <f>AJ46-AK46</f>
        <v>2.873300051644001E-2</v>
      </c>
      <c r="AM47" s="107"/>
      <c r="AN47" s="107"/>
      <c r="AO47" s="107"/>
      <c r="AP47" s="107"/>
      <c r="AQ47" s="107"/>
      <c r="AR47" s="107"/>
      <c r="AS47" s="39"/>
      <c r="AT47" s="107"/>
      <c r="AU47" s="107"/>
      <c r="AV47" s="107"/>
      <c r="AW47" s="107"/>
      <c r="AY47" s="109"/>
      <c r="AZ47" s="109"/>
      <c r="BB47" s="107"/>
    </row>
    <row r="48" spans="1:54" ht="27" customHeight="1" x14ac:dyDescent="0.3">
      <c r="A48" s="28" t="s">
        <v>42</v>
      </c>
      <c r="B48" s="38" t="s">
        <v>35</v>
      </c>
      <c r="C48" s="27" t="s">
        <v>0</v>
      </c>
      <c r="D48" s="26">
        <v>4334604127</v>
      </c>
      <c r="E48" s="25">
        <v>5809000</v>
      </c>
      <c r="F48" s="24">
        <f>ROUNDDOWN(E48/(1-F47),-1)</f>
        <v>5809000</v>
      </c>
      <c r="G48" s="110">
        <f>ROUNDDOWN(IF(F48*G47&gt;H47,H47,F48*G47),-1)</f>
        <v>464720</v>
      </c>
      <c r="H48" s="111"/>
      <c r="I48" s="112">
        <f>ROUNDDOWN(IF(F48*I47&gt;J47,J47,F48*I47),-1)</f>
        <v>0</v>
      </c>
      <c r="J48" s="113"/>
      <c r="K48" s="112">
        <f>ROUNDDOWN(IF(F48*K47&gt;L47,L47,F48*K47),-1)</f>
        <v>500000</v>
      </c>
      <c r="L48" s="113"/>
      <c r="M48" s="110">
        <f>ROUNDDOWN(IF(Q48*M47&gt;N47,N47,Q48*M47),-1)</f>
        <v>150000</v>
      </c>
      <c r="N48" s="111"/>
      <c r="O48" s="110">
        <f>ROUNDDOWN(IF(F48*O47&gt;P47,P47,F48*O47),-1)</f>
        <v>0</v>
      </c>
      <c r="P48" s="111"/>
      <c r="Q48" s="23">
        <f>F48-G48-I48-K48</f>
        <v>4844280</v>
      </c>
      <c r="R48" s="22">
        <f>F48-G48-I48-K48-M48-O48</f>
        <v>4694280</v>
      </c>
      <c r="S48" s="21"/>
      <c r="T48" s="20">
        <f>F48*T47</f>
        <v>406630.00000000006</v>
      </c>
      <c r="U48" s="20">
        <f>F48*U47</f>
        <v>0</v>
      </c>
      <c r="V48" s="20">
        <f>(F48-I48)*V47</f>
        <v>116180</v>
      </c>
      <c r="W48" s="19">
        <f>(F48*F47)*W47</f>
        <v>0</v>
      </c>
      <c r="X48" s="19">
        <f>G48*X47</f>
        <v>0</v>
      </c>
      <c r="Y48" s="19">
        <f>I48*Y47</f>
        <v>0</v>
      </c>
      <c r="Z48" s="19">
        <f>K48*Z47</f>
        <v>500000</v>
      </c>
      <c r="AA48" s="19">
        <f>M48*AA47</f>
        <v>75000</v>
      </c>
      <c r="AB48" s="19">
        <v>0</v>
      </c>
      <c r="AC48" s="16">
        <v>15000</v>
      </c>
      <c r="AD48" s="18">
        <f>F48-T48-U48-V48-W48-AA48-X48-Y48-Z48-AB48</f>
        <v>4711190</v>
      </c>
      <c r="AE48" s="18">
        <f>F48-T48-U48-V48-W48-X48-Y48-Z48-AA48-AB48-AC48</f>
        <v>4696190</v>
      </c>
      <c r="AF48" s="17">
        <f>AE48-AG48</f>
        <v>140190</v>
      </c>
      <c r="AG48" s="16">
        <v>4556000</v>
      </c>
      <c r="AH48" s="15">
        <f>AF48/AG48</f>
        <v>3.0770412642669009E-2</v>
      </c>
      <c r="AI48" s="14">
        <f>1-R48/(AG48-AM48-AN48-AO48)</f>
        <v>-6.5428960508397749E-2</v>
      </c>
      <c r="AJ48" s="114">
        <f>(1-R48/F48)-(1-(AD48)/F48)</f>
        <v>2.9110001721466272E-3</v>
      </c>
      <c r="AK48" s="115"/>
      <c r="AM48" s="13">
        <v>150000</v>
      </c>
      <c r="AN48" s="12">
        <f>X48*AN47</f>
        <v>0</v>
      </c>
      <c r="AO48" s="12">
        <v>0</v>
      </c>
      <c r="AP48" s="12"/>
      <c r="AQ48" s="11">
        <f>AE48-(AG48-AM48-AN48-AO48-AP48)</f>
        <v>290190</v>
      </c>
      <c r="AR48" s="8">
        <f>AQ48/AG48</f>
        <v>6.3694029850746264E-2</v>
      </c>
      <c r="AT48" s="10">
        <v>0</v>
      </c>
      <c r="AU48" s="10">
        <v>0</v>
      </c>
      <c r="AV48" s="9">
        <f>AQ48-AT48-AU48</f>
        <v>290190</v>
      </c>
      <c r="AW48" s="8">
        <f>AV48/AG48</f>
        <v>6.3694029850746264E-2</v>
      </c>
      <c r="AY48" s="49"/>
      <c r="AZ48" s="50"/>
      <c r="BB48" s="6"/>
    </row>
    <row r="49" spans="1:54" x14ac:dyDescent="0.3">
      <c r="E49" s="5">
        <v>4899000</v>
      </c>
      <c r="F49" s="4">
        <f>ROUNDDOWN(E49/(1-F47),-1)</f>
        <v>4899000</v>
      </c>
      <c r="G49" s="105">
        <f>ROUNDDOWN(IF(F49*G47&gt;H47,H47,F49*G47),-1)</f>
        <v>391920</v>
      </c>
      <c r="H49" s="105"/>
      <c r="J49" s="54">
        <f>F48*4%</f>
        <v>232360</v>
      </c>
      <c r="R49" s="4">
        <v>4779840</v>
      </c>
      <c r="X49" s="3">
        <f>G49*X47</f>
        <v>0</v>
      </c>
      <c r="Y49" s="3"/>
      <c r="Z49" s="3"/>
    </row>
    <row r="50" spans="1:54" x14ac:dyDescent="0.3">
      <c r="E50" s="5"/>
      <c r="F50" s="4"/>
      <c r="G50" s="42"/>
      <c r="H50" s="42"/>
      <c r="J50" s="54"/>
      <c r="R50" s="4"/>
      <c r="X50" s="3"/>
      <c r="Y50" s="3"/>
      <c r="Z50" s="3"/>
    </row>
    <row r="51" spans="1:54" x14ac:dyDescent="0.3">
      <c r="E51" s="5"/>
      <c r="F51" s="4"/>
      <c r="G51" s="42"/>
      <c r="H51" s="42"/>
      <c r="J51" s="54"/>
      <c r="R51" s="4"/>
      <c r="X51" s="3"/>
      <c r="Y51" s="3"/>
      <c r="Z51" s="3"/>
    </row>
    <row r="52" spans="1:54" x14ac:dyDescent="0.3">
      <c r="E52" s="5"/>
      <c r="F52" s="4"/>
      <c r="G52" s="42"/>
      <c r="H52" s="42"/>
      <c r="J52" s="54"/>
      <c r="X52" s="3"/>
      <c r="Y52" s="3"/>
      <c r="Z52" s="3"/>
    </row>
    <row r="53" spans="1:54" s="93" customFormat="1" ht="19.5" x14ac:dyDescent="0.3">
      <c r="A53" s="90" t="s">
        <v>101</v>
      </c>
      <c r="B53" s="91"/>
      <c r="C53" s="91"/>
      <c r="D53" s="91"/>
      <c r="E53" s="92"/>
      <c r="AH53" s="94"/>
      <c r="AI53" s="94"/>
      <c r="AJ53" s="94"/>
      <c r="AK53" s="94"/>
    </row>
    <row r="54" spans="1:54" x14ac:dyDescent="0.3">
      <c r="A54" s="43"/>
      <c r="B54" s="43"/>
      <c r="C54" s="43"/>
      <c r="D54" s="43"/>
      <c r="E54" s="5"/>
    </row>
    <row r="55" spans="1:54" ht="27" customHeight="1" x14ac:dyDescent="0.3">
      <c r="A55" s="124" t="s">
        <v>34</v>
      </c>
      <c r="B55" s="127" t="s">
        <v>117</v>
      </c>
      <c r="C55" s="128"/>
      <c r="D55" s="128"/>
      <c r="E55" s="128"/>
      <c r="F55" s="128"/>
      <c r="G55" s="128"/>
      <c r="H55" s="128"/>
      <c r="I55" s="128"/>
      <c r="J55" s="128"/>
      <c r="K55" s="128"/>
      <c r="L55" s="128"/>
      <c r="M55" s="128"/>
      <c r="N55" s="128"/>
      <c r="O55" s="128"/>
      <c r="P55" s="128"/>
      <c r="Q55" s="128"/>
      <c r="R55" s="129"/>
      <c r="T55" s="130" t="s">
        <v>33</v>
      </c>
      <c r="U55" s="131"/>
      <c r="V55" s="131"/>
      <c r="W55" s="131"/>
      <c r="X55" s="131"/>
      <c r="Y55" s="131"/>
      <c r="Z55" s="131"/>
      <c r="AA55" s="131"/>
      <c r="AB55" s="131"/>
      <c r="AC55" s="131"/>
      <c r="AD55" s="131"/>
      <c r="AE55" s="131"/>
      <c r="AF55" s="131"/>
      <c r="AG55" s="131"/>
      <c r="AH55" s="132"/>
      <c r="AI55" s="37"/>
      <c r="AM55" s="130" t="s">
        <v>32</v>
      </c>
      <c r="AN55" s="131"/>
      <c r="AO55" s="131"/>
      <c r="AP55" s="131"/>
      <c r="AQ55" s="131"/>
      <c r="AR55" s="132"/>
      <c r="AT55" s="130" t="s">
        <v>31</v>
      </c>
      <c r="AU55" s="131"/>
      <c r="AV55" s="131"/>
      <c r="AW55" s="132"/>
      <c r="AY55" s="47" t="s">
        <v>36</v>
      </c>
      <c r="AZ55" s="48"/>
      <c r="BB55" s="36"/>
    </row>
    <row r="56" spans="1:54" ht="32.25" customHeight="1" x14ac:dyDescent="0.3">
      <c r="A56" s="125"/>
      <c r="B56" s="133" t="s">
        <v>30</v>
      </c>
      <c r="C56" s="133" t="s">
        <v>29</v>
      </c>
      <c r="D56" s="116" t="s">
        <v>28</v>
      </c>
      <c r="E56" s="116" t="s">
        <v>27</v>
      </c>
      <c r="F56" s="34" t="s">
        <v>26</v>
      </c>
      <c r="G56" s="122" t="s">
        <v>63</v>
      </c>
      <c r="H56" s="123"/>
      <c r="I56" s="122" t="s">
        <v>50</v>
      </c>
      <c r="J56" s="123"/>
      <c r="K56" s="122" t="s">
        <v>62</v>
      </c>
      <c r="L56" s="123"/>
      <c r="M56" s="122" t="s">
        <v>25</v>
      </c>
      <c r="N56" s="123"/>
      <c r="O56" s="122" t="s">
        <v>24</v>
      </c>
      <c r="P56" s="123"/>
      <c r="Q56" s="106" t="s">
        <v>23</v>
      </c>
      <c r="R56" s="106" t="s">
        <v>22</v>
      </c>
      <c r="S56" s="21"/>
      <c r="T56" s="34" t="s">
        <v>21</v>
      </c>
      <c r="U56" s="34" t="s">
        <v>20</v>
      </c>
      <c r="V56" s="34" t="s">
        <v>95</v>
      </c>
      <c r="W56" s="34" t="s">
        <v>19</v>
      </c>
      <c r="X56" s="34" t="s">
        <v>18</v>
      </c>
      <c r="Y56" s="34" t="s">
        <v>48</v>
      </c>
      <c r="Z56" s="34" t="s">
        <v>49</v>
      </c>
      <c r="AA56" s="34" t="s">
        <v>17</v>
      </c>
      <c r="AB56" s="106" t="s">
        <v>16</v>
      </c>
      <c r="AC56" s="106" t="s">
        <v>15</v>
      </c>
      <c r="AD56" s="106" t="s">
        <v>14</v>
      </c>
      <c r="AE56" s="106" t="s">
        <v>13</v>
      </c>
      <c r="AF56" s="106" t="s">
        <v>12</v>
      </c>
      <c r="AG56" s="116" t="s">
        <v>11</v>
      </c>
      <c r="AH56" s="118" t="s">
        <v>10</v>
      </c>
      <c r="AI56" s="120" t="s">
        <v>9</v>
      </c>
      <c r="AJ56" s="35">
        <f>(1-R58/F58)</f>
        <v>0.1597216987969271</v>
      </c>
      <c r="AK56" s="35">
        <f>1-(AD58+AM58)/F58</f>
        <v>0.15131321930714603</v>
      </c>
      <c r="AM56" s="106" t="s">
        <v>8</v>
      </c>
      <c r="AN56" s="106" t="s">
        <v>7</v>
      </c>
      <c r="AO56" s="106" t="s">
        <v>37</v>
      </c>
      <c r="AP56" s="106" t="s">
        <v>38</v>
      </c>
      <c r="AQ56" s="106" t="s">
        <v>6</v>
      </c>
      <c r="AR56" s="106" t="s">
        <v>5</v>
      </c>
      <c r="AT56" s="106" t="s">
        <v>4</v>
      </c>
      <c r="AU56" s="106" t="s">
        <v>3</v>
      </c>
      <c r="AV56" s="106" t="s">
        <v>2</v>
      </c>
      <c r="AW56" s="106" t="s">
        <v>1</v>
      </c>
      <c r="AY56" s="108"/>
      <c r="AZ56" s="108"/>
      <c r="BB56" s="106"/>
    </row>
    <row r="57" spans="1:54" ht="27" customHeight="1" x14ac:dyDescent="0.3">
      <c r="A57" s="126"/>
      <c r="B57" s="134"/>
      <c r="C57" s="134"/>
      <c r="D57" s="117"/>
      <c r="E57" s="117"/>
      <c r="F57" s="31">
        <v>0</v>
      </c>
      <c r="G57" s="33">
        <v>0.08</v>
      </c>
      <c r="H57" s="32">
        <v>1000000</v>
      </c>
      <c r="I57" s="31">
        <v>1</v>
      </c>
      <c r="J57" s="32">
        <v>100000</v>
      </c>
      <c r="K57" s="31">
        <v>1</v>
      </c>
      <c r="L57" s="32">
        <v>300000</v>
      </c>
      <c r="M57" s="31">
        <v>7.0000000000000007E-2</v>
      </c>
      <c r="N57" s="32">
        <v>150000</v>
      </c>
      <c r="O57" s="31">
        <v>0</v>
      </c>
      <c r="P57" s="32">
        <v>0</v>
      </c>
      <c r="Q57" s="107"/>
      <c r="R57" s="107"/>
      <c r="S57" s="21"/>
      <c r="T57" s="31">
        <f>IF(C58="노트북",7%,IF(C58="저장&amp;주변기기",9%,IF(C58="모니터",7%)))</f>
        <v>7.0000000000000007E-2</v>
      </c>
      <c r="U57" s="31">
        <v>0</v>
      </c>
      <c r="V57" s="31">
        <v>0.02</v>
      </c>
      <c r="W57" s="31">
        <f>IF(G57=0%,20%,0%)</f>
        <v>0</v>
      </c>
      <c r="X57" s="30">
        <v>0</v>
      </c>
      <c r="Y57" s="30">
        <v>1</v>
      </c>
      <c r="Z57" s="53">
        <v>0.83333299999999999</v>
      </c>
      <c r="AA57" s="29">
        <v>0.5</v>
      </c>
      <c r="AB57" s="107"/>
      <c r="AC57" s="107"/>
      <c r="AD57" s="107"/>
      <c r="AE57" s="107"/>
      <c r="AF57" s="107"/>
      <c r="AG57" s="117"/>
      <c r="AH57" s="119"/>
      <c r="AI57" s="121"/>
      <c r="AJ57" s="55" t="s">
        <v>52</v>
      </c>
      <c r="AK57" s="56">
        <f>AJ56-AK56</f>
        <v>8.4084794897810733E-3</v>
      </c>
      <c r="AM57" s="107"/>
      <c r="AN57" s="107"/>
      <c r="AO57" s="107"/>
      <c r="AP57" s="107"/>
      <c r="AQ57" s="107"/>
      <c r="AR57" s="107"/>
      <c r="AS57" s="39"/>
      <c r="AT57" s="107"/>
      <c r="AU57" s="117"/>
      <c r="AV57" s="107"/>
      <c r="AW57" s="107"/>
      <c r="AY57" s="109"/>
      <c r="AZ57" s="109"/>
      <c r="BB57" s="107"/>
    </row>
    <row r="58" spans="1:54" ht="27" customHeight="1" x14ac:dyDescent="0.3">
      <c r="A58" s="28" t="s">
        <v>93</v>
      </c>
      <c r="B58" s="38" t="s">
        <v>35</v>
      </c>
      <c r="C58" s="27" t="s">
        <v>0</v>
      </c>
      <c r="D58" s="26">
        <v>4660412701</v>
      </c>
      <c r="E58" s="25">
        <v>6899000</v>
      </c>
      <c r="F58" s="24">
        <f>ROUNDDOWN(E58/(1-F57),-1)</f>
        <v>6899000</v>
      </c>
      <c r="G58" s="110">
        <f>ROUNDDOWN(IF(F58*G57&gt;H57,H57,F58*G57),-1)</f>
        <v>551920</v>
      </c>
      <c r="H58" s="111"/>
      <c r="I58" s="112">
        <f>ROUNDDOWN(IF(F58*I57&gt;J57,J57,F58*I57),-1)</f>
        <v>100000</v>
      </c>
      <c r="J58" s="113"/>
      <c r="K58" s="112">
        <f>ROUNDDOWN(IF(F58*K57&gt;L57,L57,F58*K57),-1)</f>
        <v>300000</v>
      </c>
      <c r="L58" s="113"/>
      <c r="M58" s="110">
        <f>ROUNDDOWN(IF(Q58*M57&gt;N57,N57,Q58*M57),-1)</f>
        <v>150000</v>
      </c>
      <c r="N58" s="111"/>
      <c r="O58" s="110">
        <f>ROUNDDOWN(IF(F58*O57&gt;P57,P57,F58*O57),-1)</f>
        <v>0</v>
      </c>
      <c r="P58" s="111"/>
      <c r="Q58" s="23">
        <f>F58-G58-I58-K58</f>
        <v>5947080</v>
      </c>
      <c r="R58" s="22">
        <f>F58-G58-I58-K58-M58-O58</f>
        <v>5797080</v>
      </c>
      <c r="S58" s="21"/>
      <c r="T58" s="20">
        <f>F58*T57</f>
        <v>482930.00000000006</v>
      </c>
      <c r="U58" s="20">
        <f>F58*U57</f>
        <v>0</v>
      </c>
      <c r="V58" s="20">
        <f>(F58-I58)*V57</f>
        <v>135980</v>
      </c>
      <c r="W58" s="19">
        <f>(F58*F57)*W57</f>
        <v>0</v>
      </c>
      <c r="X58" s="19">
        <f>G58*X57</f>
        <v>0</v>
      </c>
      <c r="Y58" s="19">
        <f>I58*Y57</f>
        <v>100000</v>
      </c>
      <c r="Z58" s="19">
        <f>K58*Z57</f>
        <v>249999.9</v>
      </c>
      <c r="AA58" s="19">
        <f>M58*AA57</f>
        <v>75000</v>
      </c>
      <c r="AB58" s="19">
        <v>0</v>
      </c>
      <c r="AC58" s="16">
        <v>15000</v>
      </c>
      <c r="AD58" s="18">
        <f>F58-T58-U58-V58-W58-AA58-X58-Y58-Z58-AB58</f>
        <v>5855090.0999999996</v>
      </c>
      <c r="AE58" s="18">
        <f>F58-T58-U58-V58-W58-X58-Y58-Z58-AA58-AB58-AC58</f>
        <v>5840090.0999999996</v>
      </c>
      <c r="AF58" s="17">
        <f>AE58-AG58</f>
        <v>346090.09999999963</v>
      </c>
      <c r="AG58" s="16">
        <v>5494000</v>
      </c>
      <c r="AH58" s="15">
        <f>AF58/AG58</f>
        <v>6.2994193665817183E-2</v>
      </c>
      <c r="AI58" s="14">
        <f>1-R58/(AG58-AM58-AN58-AO58)</f>
        <v>-5.5165635238441979E-2</v>
      </c>
      <c r="AJ58" s="114">
        <f>(1-R58/F58)-(1-(AD58)/F58)</f>
        <v>8.4084794897810733E-3</v>
      </c>
      <c r="AK58" s="115"/>
      <c r="AM58" s="13">
        <v>0</v>
      </c>
      <c r="AN58" s="12">
        <f>X58*AN57</f>
        <v>0</v>
      </c>
      <c r="AO58" s="12">
        <v>0</v>
      </c>
      <c r="AP58" s="12"/>
      <c r="AQ58" s="11">
        <f>AE58-(AG58-AM58-AN58-AO58-AP58)</f>
        <v>346090.09999999963</v>
      </c>
      <c r="AR58" s="8">
        <f>AQ58/AG58</f>
        <v>6.2994193665817183E-2</v>
      </c>
      <c r="AT58" s="10">
        <v>0</v>
      </c>
      <c r="AU58" s="10">
        <v>0</v>
      </c>
      <c r="AV58" s="9">
        <f>AQ58-AT58-AU58</f>
        <v>346090.09999999963</v>
      </c>
      <c r="AW58" s="8">
        <f>AV58/AG58</f>
        <v>6.2994193665817183E-2</v>
      </c>
      <c r="AY58" s="49"/>
      <c r="AZ58" s="50"/>
      <c r="BB58" s="6"/>
    </row>
    <row r="59" spans="1:54" x14ac:dyDescent="0.3">
      <c r="E59" s="5">
        <v>5999000</v>
      </c>
      <c r="F59" s="4">
        <f>ROUNDDOWN(E59/(1-F57),-1)</f>
        <v>5999000</v>
      </c>
      <c r="G59" s="138">
        <f>ROUNDDOWN(IF(F59*G57&gt;H57,H57,F59*G57),-1)</f>
        <v>479920</v>
      </c>
      <c r="H59" s="138"/>
      <c r="J59" s="54">
        <f>F58*4%</f>
        <v>275960</v>
      </c>
      <c r="R59" s="4">
        <v>4779840</v>
      </c>
      <c r="X59" s="3">
        <f>G59*X57</f>
        <v>0</v>
      </c>
      <c r="Y59" s="3"/>
      <c r="Z59" s="3"/>
    </row>
    <row r="60" spans="1:54" x14ac:dyDescent="0.3">
      <c r="E60" s="5"/>
      <c r="F60" s="4"/>
      <c r="G60" s="89"/>
      <c r="H60" s="89"/>
      <c r="J60" s="54"/>
      <c r="R60" s="4"/>
      <c r="X60" s="3"/>
      <c r="Y60" s="3"/>
      <c r="Z60" s="3"/>
    </row>
    <row r="61" spans="1:54" x14ac:dyDescent="0.3">
      <c r="E61" s="5"/>
      <c r="F61" s="4"/>
      <c r="G61" s="54"/>
      <c r="H61" s="54"/>
      <c r="J61" s="54"/>
      <c r="R61" s="4"/>
      <c r="X61" s="3"/>
      <c r="Y61" s="3"/>
      <c r="Z61" s="3"/>
    </row>
    <row r="62" spans="1:54" ht="27" customHeight="1" x14ac:dyDescent="0.3">
      <c r="A62" s="124" t="s">
        <v>34</v>
      </c>
      <c r="B62" s="127" t="s">
        <v>117</v>
      </c>
      <c r="C62" s="128"/>
      <c r="D62" s="128"/>
      <c r="E62" s="128"/>
      <c r="F62" s="128"/>
      <c r="G62" s="128"/>
      <c r="H62" s="128"/>
      <c r="I62" s="128"/>
      <c r="J62" s="128"/>
      <c r="K62" s="128"/>
      <c r="L62" s="128"/>
      <c r="M62" s="128"/>
      <c r="N62" s="128"/>
      <c r="O62" s="128"/>
      <c r="P62" s="128"/>
      <c r="Q62" s="128"/>
      <c r="R62" s="129"/>
      <c r="T62" s="130" t="s">
        <v>33</v>
      </c>
      <c r="U62" s="131"/>
      <c r="V62" s="131"/>
      <c r="W62" s="131"/>
      <c r="X62" s="131"/>
      <c r="Y62" s="131"/>
      <c r="Z62" s="131"/>
      <c r="AA62" s="131"/>
      <c r="AB62" s="131"/>
      <c r="AC62" s="131"/>
      <c r="AD62" s="131"/>
      <c r="AE62" s="131"/>
      <c r="AF62" s="131"/>
      <c r="AG62" s="131"/>
      <c r="AH62" s="132"/>
      <c r="AI62" s="37"/>
      <c r="AM62" s="130" t="s">
        <v>32</v>
      </c>
      <c r="AN62" s="131"/>
      <c r="AO62" s="131"/>
      <c r="AP62" s="131"/>
      <c r="AQ62" s="131"/>
      <c r="AR62" s="132"/>
      <c r="AT62" s="130" t="s">
        <v>31</v>
      </c>
      <c r="AU62" s="131"/>
      <c r="AV62" s="131"/>
      <c r="AW62" s="132"/>
      <c r="AY62" s="47" t="s">
        <v>36</v>
      </c>
      <c r="AZ62" s="48"/>
      <c r="BB62" s="36"/>
    </row>
    <row r="63" spans="1:54" ht="32.25" customHeight="1" x14ac:dyDescent="0.3">
      <c r="A63" s="125"/>
      <c r="B63" s="133" t="s">
        <v>30</v>
      </c>
      <c r="C63" s="133" t="s">
        <v>29</v>
      </c>
      <c r="D63" s="116" t="s">
        <v>28</v>
      </c>
      <c r="E63" s="116" t="s">
        <v>27</v>
      </c>
      <c r="F63" s="34" t="s">
        <v>26</v>
      </c>
      <c r="G63" s="122" t="s">
        <v>63</v>
      </c>
      <c r="H63" s="123"/>
      <c r="I63" s="122" t="s">
        <v>50</v>
      </c>
      <c r="J63" s="123"/>
      <c r="K63" s="122" t="s">
        <v>62</v>
      </c>
      <c r="L63" s="123"/>
      <c r="M63" s="122" t="s">
        <v>25</v>
      </c>
      <c r="N63" s="123"/>
      <c r="O63" s="122" t="s">
        <v>24</v>
      </c>
      <c r="P63" s="123"/>
      <c r="Q63" s="106" t="s">
        <v>23</v>
      </c>
      <c r="R63" s="106" t="s">
        <v>22</v>
      </c>
      <c r="S63" s="21"/>
      <c r="T63" s="34" t="s">
        <v>21</v>
      </c>
      <c r="U63" s="34" t="s">
        <v>20</v>
      </c>
      <c r="V63" s="34" t="s">
        <v>95</v>
      </c>
      <c r="W63" s="34" t="s">
        <v>19</v>
      </c>
      <c r="X63" s="34" t="s">
        <v>18</v>
      </c>
      <c r="Y63" s="34" t="s">
        <v>48</v>
      </c>
      <c r="Z63" s="34" t="s">
        <v>49</v>
      </c>
      <c r="AA63" s="34" t="s">
        <v>17</v>
      </c>
      <c r="AB63" s="106" t="s">
        <v>16</v>
      </c>
      <c r="AC63" s="106" t="s">
        <v>15</v>
      </c>
      <c r="AD63" s="106" t="s">
        <v>14</v>
      </c>
      <c r="AE63" s="106" t="s">
        <v>13</v>
      </c>
      <c r="AF63" s="106" t="s">
        <v>12</v>
      </c>
      <c r="AG63" s="116" t="s">
        <v>11</v>
      </c>
      <c r="AH63" s="118" t="s">
        <v>10</v>
      </c>
      <c r="AI63" s="120" t="s">
        <v>9</v>
      </c>
      <c r="AJ63" s="35">
        <f>(1-R65/F65)</f>
        <v>0.15725804185981174</v>
      </c>
      <c r="AK63" s="35">
        <f>1-(AD65+AM65)/F65</f>
        <v>0.14941844360162948</v>
      </c>
      <c r="AM63" s="106" t="s">
        <v>8</v>
      </c>
      <c r="AN63" s="106" t="s">
        <v>7</v>
      </c>
      <c r="AO63" s="106" t="s">
        <v>37</v>
      </c>
      <c r="AP63" s="106" t="s">
        <v>38</v>
      </c>
      <c r="AQ63" s="106" t="s">
        <v>6</v>
      </c>
      <c r="AR63" s="106" t="s">
        <v>5</v>
      </c>
      <c r="AT63" s="106" t="s">
        <v>4</v>
      </c>
      <c r="AU63" s="106" t="s">
        <v>3</v>
      </c>
      <c r="AV63" s="106" t="s">
        <v>2</v>
      </c>
      <c r="AW63" s="106" t="s">
        <v>1</v>
      </c>
      <c r="AY63" s="108"/>
      <c r="AZ63" s="108"/>
      <c r="BB63" s="106"/>
    </row>
    <row r="64" spans="1:54" ht="27" customHeight="1" x14ac:dyDescent="0.3">
      <c r="A64" s="126"/>
      <c r="B64" s="134"/>
      <c r="C64" s="134"/>
      <c r="D64" s="117"/>
      <c r="E64" s="117"/>
      <c r="F64" s="31">
        <v>0</v>
      </c>
      <c r="G64" s="33">
        <v>0.08</v>
      </c>
      <c r="H64" s="32">
        <v>1000000</v>
      </c>
      <c r="I64" s="31">
        <v>1</v>
      </c>
      <c r="J64" s="32">
        <v>100000</v>
      </c>
      <c r="K64" s="31">
        <v>1</v>
      </c>
      <c r="L64" s="32">
        <v>300000</v>
      </c>
      <c r="M64" s="31">
        <v>7.0000000000000007E-2</v>
      </c>
      <c r="N64" s="32">
        <v>150000</v>
      </c>
      <c r="O64" s="31">
        <v>0</v>
      </c>
      <c r="P64" s="32">
        <v>0</v>
      </c>
      <c r="Q64" s="107"/>
      <c r="R64" s="107"/>
      <c r="S64" s="21"/>
      <c r="T64" s="31">
        <f>IF(C65="노트북",7%,IF(C65="저장&amp;주변기기",9%,IF(C65="모니터",7%)))</f>
        <v>7.0000000000000007E-2</v>
      </c>
      <c r="U64" s="31">
        <v>0</v>
      </c>
      <c r="V64" s="31">
        <v>0.02</v>
      </c>
      <c r="W64" s="31">
        <f>IF(G64=0%,20%,0%)</f>
        <v>0</v>
      </c>
      <c r="X64" s="30">
        <v>0</v>
      </c>
      <c r="Y64" s="30">
        <v>1</v>
      </c>
      <c r="Z64" s="53">
        <v>0.83333299999999999</v>
      </c>
      <c r="AA64" s="29">
        <v>0.5</v>
      </c>
      <c r="AB64" s="107"/>
      <c r="AC64" s="107"/>
      <c r="AD64" s="107"/>
      <c r="AE64" s="107"/>
      <c r="AF64" s="107"/>
      <c r="AG64" s="117"/>
      <c r="AH64" s="119"/>
      <c r="AI64" s="121"/>
      <c r="AJ64" s="55" t="s">
        <v>52</v>
      </c>
      <c r="AK64" s="56">
        <f>AJ63-AK63</f>
        <v>7.8395982581822565E-3</v>
      </c>
      <c r="AM64" s="107"/>
      <c r="AN64" s="107"/>
      <c r="AO64" s="107"/>
      <c r="AP64" s="107"/>
      <c r="AQ64" s="107"/>
      <c r="AR64" s="107"/>
      <c r="AS64" s="39"/>
      <c r="AT64" s="107"/>
      <c r="AU64" s="117"/>
      <c r="AV64" s="107"/>
      <c r="AW64" s="107"/>
      <c r="AY64" s="109"/>
      <c r="AZ64" s="109"/>
      <c r="BB64" s="107"/>
    </row>
    <row r="65" spans="1:54" ht="27" customHeight="1" x14ac:dyDescent="0.3">
      <c r="A65" s="28" t="s">
        <v>94</v>
      </c>
      <c r="B65" s="38" t="s">
        <v>35</v>
      </c>
      <c r="C65" s="27" t="s">
        <v>0</v>
      </c>
      <c r="D65" s="26">
        <v>4660417885</v>
      </c>
      <c r="E65" s="25">
        <v>7119000</v>
      </c>
      <c r="F65" s="24">
        <f>ROUNDDOWN(E65/(1-F64),-1)</f>
        <v>7119000</v>
      </c>
      <c r="G65" s="110">
        <f>ROUNDDOWN(IF(F65*G64&gt;H64,H64,F65*G64),-1)</f>
        <v>569520</v>
      </c>
      <c r="H65" s="111"/>
      <c r="I65" s="112">
        <f>ROUNDDOWN(IF(F65*I64&gt;J64,J64,F65*I64),-1)</f>
        <v>100000</v>
      </c>
      <c r="J65" s="113"/>
      <c r="K65" s="112">
        <f>ROUNDDOWN(IF(F65*K64&gt;L64,L64,F65*K64),-1)</f>
        <v>300000</v>
      </c>
      <c r="L65" s="113"/>
      <c r="M65" s="110">
        <f>ROUNDDOWN(IF(Q65*M64&gt;N64,N64,Q65*M64),-1)</f>
        <v>150000</v>
      </c>
      <c r="N65" s="111"/>
      <c r="O65" s="110">
        <f>ROUNDDOWN(IF(F65*O64&gt;P64,P64,F65*O64),-1)</f>
        <v>0</v>
      </c>
      <c r="P65" s="111"/>
      <c r="Q65" s="23">
        <f>F65-G65-I65-K65</f>
        <v>6149480</v>
      </c>
      <c r="R65" s="22">
        <f>F65-G65-I65-K65-M65-O65</f>
        <v>5999480</v>
      </c>
      <c r="S65" s="21"/>
      <c r="T65" s="20">
        <f>F65*T64</f>
        <v>498330.00000000006</v>
      </c>
      <c r="U65" s="20">
        <f>F65*U64</f>
        <v>0</v>
      </c>
      <c r="V65" s="20">
        <f>(F65-I65)*V64</f>
        <v>140380</v>
      </c>
      <c r="W65" s="19">
        <f>(F65*F64)*W64</f>
        <v>0</v>
      </c>
      <c r="X65" s="19">
        <f>G65*X64</f>
        <v>0</v>
      </c>
      <c r="Y65" s="19">
        <f>I65*Y64</f>
        <v>100000</v>
      </c>
      <c r="Z65" s="19">
        <f>K65*Z64</f>
        <v>249999.9</v>
      </c>
      <c r="AA65" s="19">
        <f>M65*AA64</f>
        <v>75000</v>
      </c>
      <c r="AB65" s="19">
        <v>0</v>
      </c>
      <c r="AC65" s="16">
        <v>15000</v>
      </c>
      <c r="AD65" s="18">
        <f>F65-T65-U65-V65-W65-AA65-X65-Y65-Z65-AB65</f>
        <v>6055290.0999999996</v>
      </c>
      <c r="AE65" s="18">
        <f>F65-T65-U65-V65-W65-X65-Y65-Z65-AA65-AB65-AC65</f>
        <v>6040290.0999999996</v>
      </c>
      <c r="AF65" s="17">
        <f>AE65-AG65</f>
        <v>1786290.0999999996</v>
      </c>
      <c r="AG65" s="16">
        <v>4254000</v>
      </c>
      <c r="AH65" s="15">
        <f>AF65/AG65</f>
        <v>0.41990834508697689</v>
      </c>
      <c r="AI65" s="14">
        <f>1-R65/(AG65-AM65-AN65-AO65)</f>
        <v>-0.41031499764927126</v>
      </c>
      <c r="AJ65" s="114">
        <f>(1-R65/F65)-(1-(AD65)/F65)</f>
        <v>7.8395982581822565E-3</v>
      </c>
      <c r="AK65" s="115"/>
      <c r="AM65" s="13">
        <v>0</v>
      </c>
      <c r="AN65" s="12">
        <f>X65*AN64</f>
        <v>0</v>
      </c>
      <c r="AO65" s="12">
        <v>0</v>
      </c>
      <c r="AP65" s="12"/>
      <c r="AQ65" s="11">
        <f>AE65-(AG65-AM65-AN65-AO65-AP65)</f>
        <v>1786290.0999999996</v>
      </c>
      <c r="AR65" s="8">
        <f>AQ65/AG65</f>
        <v>0.41990834508697689</v>
      </c>
      <c r="AT65" s="10">
        <v>0</v>
      </c>
      <c r="AU65" s="10">
        <v>0</v>
      </c>
      <c r="AV65" s="9">
        <f>AQ65-AT65-AU65</f>
        <v>1786290.0999999996</v>
      </c>
      <c r="AW65" s="8">
        <f>AV65/AG65</f>
        <v>0.41990834508697689</v>
      </c>
      <c r="AY65" s="49"/>
      <c r="AZ65" s="50"/>
      <c r="BB65" s="6"/>
    </row>
    <row r="66" spans="1:54" x14ac:dyDescent="0.3">
      <c r="E66" s="5">
        <v>6299000</v>
      </c>
      <c r="F66" s="4">
        <f>ROUNDDOWN(E66/(1-F64),-1)</f>
        <v>6299000</v>
      </c>
      <c r="G66" s="138">
        <f>ROUNDDOWN(IF(F66*G64&gt;H64,H64,F66*G64),-1)</f>
        <v>503920</v>
      </c>
      <c r="H66" s="138"/>
      <c r="J66" s="54">
        <f>F65*4%</f>
        <v>284760</v>
      </c>
      <c r="R66" s="4">
        <v>4779840</v>
      </c>
      <c r="X66" s="3">
        <f>G66*X64</f>
        <v>0</v>
      </c>
      <c r="Y66" s="3"/>
      <c r="Z66" s="3"/>
    </row>
    <row r="67" spans="1:54" x14ac:dyDescent="0.3">
      <c r="E67" s="5"/>
      <c r="F67" s="4"/>
      <c r="G67" s="42"/>
      <c r="H67" s="42"/>
      <c r="J67" s="54"/>
      <c r="R67" s="4"/>
      <c r="X67" s="3"/>
      <c r="Y67" s="3"/>
      <c r="Z67" s="3"/>
    </row>
    <row r="68" spans="1:54" x14ac:dyDescent="0.3">
      <c r="E68" s="5"/>
      <c r="F68" s="4"/>
      <c r="G68" s="42"/>
      <c r="H68" s="42"/>
      <c r="J68" s="54"/>
      <c r="R68" s="4"/>
      <c r="X68" s="3"/>
      <c r="Y68" s="3"/>
      <c r="Z68" s="3"/>
    </row>
    <row r="69" spans="1:54" x14ac:dyDescent="0.3">
      <c r="E69" s="5"/>
      <c r="F69" s="4"/>
      <c r="G69" s="42"/>
      <c r="H69" s="42"/>
      <c r="J69" s="54"/>
      <c r="R69" s="4"/>
      <c r="X69" s="3"/>
      <c r="Y69" s="3"/>
      <c r="Z69" s="3"/>
    </row>
    <row r="70" spans="1:54" s="96" customFormat="1" ht="19.5" x14ac:dyDescent="0.3">
      <c r="A70" s="95" t="s">
        <v>122</v>
      </c>
      <c r="D70" s="97"/>
      <c r="E70" s="98"/>
      <c r="F70" s="99"/>
      <c r="G70" s="99"/>
      <c r="U70" s="100"/>
      <c r="AD70" s="101"/>
      <c r="AE70" s="101"/>
      <c r="AF70" s="101"/>
      <c r="AG70" s="101"/>
      <c r="AV70" s="102"/>
      <c r="AW70" s="102"/>
      <c r="AX70" s="102"/>
      <c r="AY70" s="102"/>
      <c r="AZ70" s="102"/>
    </row>
    <row r="71" spans="1:54" x14ac:dyDescent="0.3">
      <c r="E71" s="5"/>
      <c r="F71" s="4"/>
      <c r="G71" s="42"/>
      <c r="H71" s="42"/>
      <c r="J71" s="54"/>
      <c r="R71" s="4"/>
      <c r="X71" s="3"/>
      <c r="Y71" s="3"/>
      <c r="Z71" s="3"/>
    </row>
    <row r="72" spans="1:54" ht="27" customHeight="1" x14ac:dyDescent="0.3">
      <c r="A72" s="124" t="s">
        <v>34</v>
      </c>
      <c r="B72" s="127" t="s">
        <v>117</v>
      </c>
      <c r="C72" s="128"/>
      <c r="D72" s="128"/>
      <c r="E72" s="128"/>
      <c r="F72" s="128"/>
      <c r="G72" s="128"/>
      <c r="H72" s="128"/>
      <c r="I72" s="128"/>
      <c r="J72" s="128"/>
      <c r="K72" s="128"/>
      <c r="L72" s="128"/>
      <c r="M72" s="128"/>
      <c r="N72" s="128"/>
      <c r="O72" s="128"/>
      <c r="P72" s="128"/>
      <c r="Q72" s="128"/>
      <c r="R72" s="129"/>
      <c r="T72" s="130" t="s">
        <v>33</v>
      </c>
      <c r="U72" s="131"/>
      <c r="V72" s="131"/>
      <c r="W72" s="131"/>
      <c r="X72" s="131"/>
      <c r="Y72" s="131"/>
      <c r="Z72" s="131"/>
      <c r="AA72" s="131"/>
      <c r="AB72" s="131"/>
      <c r="AC72" s="131"/>
      <c r="AD72" s="131"/>
      <c r="AE72" s="131"/>
      <c r="AF72" s="131"/>
      <c r="AG72" s="131"/>
      <c r="AH72" s="132"/>
      <c r="AI72" s="37"/>
      <c r="AM72" s="130" t="s">
        <v>32</v>
      </c>
      <c r="AN72" s="131"/>
      <c r="AO72" s="131"/>
      <c r="AP72" s="131"/>
      <c r="AQ72" s="131"/>
      <c r="AR72" s="132"/>
      <c r="AT72" s="130" t="s">
        <v>31</v>
      </c>
      <c r="AU72" s="131"/>
      <c r="AV72" s="131"/>
      <c r="AW72" s="132"/>
      <c r="AY72" s="47" t="s">
        <v>36</v>
      </c>
      <c r="AZ72" s="48"/>
      <c r="BB72" s="36"/>
    </row>
    <row r="73" spans="1:54" ht="32.25" customHeight="1" x14ac:dyDescent="0.3">
      <c r="A73" s="125"/>
      <c r="B73" s="133" t="s">
        <v>30</v>
      </c>
      <c r="C73" s="133" t="s">
        <v>29</v>
      </c>
      <c r="D73" s="116" t="s">
        <v>28</v>
      </c>
      <c r="E73" s="116" t="s">
        <v>27</v>
      </c>
      <c r="F73" s="34" t="s">
        <v>26</v>
      </c>
      <c r="G73" s="122" t="s">
        <v>63</v>
      </c>
      <c r="H73" s="123"/>
      <c r="I73" s="122" t="s">
        <v>50</v>
      </c>
      <c r="J73" s="123"/>
      <c r="K73" s="122" t="s">
        <v>62</v>
      </c>
      <c r="L73" s="123"/>
      <c r="M73" s="122" t="s">
        <v>25</v>
      </c>
      <c r="N73" s="123"/>
      <c r="O73" s="122" t="s">
        <v>24</v>
      </c>
      <c r="P73" s="123"/>
      <c r="Q73" s="106" t="s">
        <v>23</v>
      </c>
      <c r="R73" s="106" t="s">
        <v>22</v>
      </c>
      <c r="S73" s="21"/>
      <c r="T73" s="34" t="s">
        <v>21</v>
      </c>
      <c r="U73" s="34" t="s">
        <v>20</v>
      </c>
      <c r="V73" s="34" t="s">
        <v>95</v>
      </c>
      <c r="W73" s="34" t="s">
        <v>19</v>
      </c>
      <c r="X73" s="34" t="s">
        <v>18</v>
      </c>
      <c r="Y73" s="34" t="s">
        <v>48</v>
      </c>
      <c r="Z73" s="34" t="s">
        <v>49</v>
      </c>
      <c r="AA73" s="34" t="s">
        <v>17</v>
      </c>
      <c r="AB73" s="106" t="s">
        <v>16</v>
      </c>
      <c r="AC73" s="106" t="s">
        <v>15</v>
      </c>
      <c r="AD73" s="106" t="s">
        <v>14</v>
      </c>
      <c r="AE73" s="106" t="s">
        <v>13</v>
      </c>
      <c r="AF73" s="106" t="s">
        <v>12</v>
      </c>
      <c r="AG73" s="116" t="s">
        <v>11</v>
      </c>
      <c r="AH73" s="118" t="s">
        <v>10</v>
      </c>
      <c r="AI73" s="120" t="s">
        <v>9</v>
      </c>
      <c r="AJ73" s="35">
        <f>(1-R75/F75)</f>
        <v>0.23867418899858961</v>
      </c>
      <c r="AK73" s="35">
        <f>1-(AD75+AM75)/F75</f>
        <v>0.15170662905500709</v>
      </c>
      <c r="AM73" s="106" t="s">
        <v>8</v>
      </c>
      <c r="AN73" s="106" t="s">
        <v>7</v>
      </c>
      <c r="AO73" s="106" t="s">
        <v>37</v>
      </c>
      <c r="AP73" s="106" t="s">
        <v>38</v>
      </c>
      <c r="AQ73" s="106" t="s">
        <v>6</v>
      </c>
      <c r="AR73" s="106" t="s">
        <v>5</v>
      </c>
      <c r="AT73" s="106" t="s">
        <v>4</v>
      </c>
      <c r="AU73" s="106" t="s">
        <v>3</v>
      </c>
      <c r="AV73" s="106" t="s">
        <v>2</v>
      </c>
      <c r="AW73" s="106" t="s">
        <v>1</v>
      </c>
      <c r="AY73" s="108"/>
      <c r="AZ73" s="108"/>
      <c r="BB73" s="106"/>
    </row>
    <row r="74" spans="1:54" ht="27" customHeight="1" x14ac:dyDescent="0.3">
      <c r="A74" s="126"/>
      <c r="B74" s="134"/>
      <c r="C74" s="134"/>
      <c r="D74" s="117"/>
      <c r="E74" s="117"/>
      <c r="F74" s="31">
        <v>0</v>
      </c>
      <c r="G74" s="33">
        <v>0.08</v>
      </c>
      <c r="H74" s="32">
        <v>1000000</v>
      </c>
      <c r="I74" s="31">
        <v>1</v>
      </c>
      <c r="J74" s="32">
        <v>0</v>
      </c>
      <c r="K74" s="31">
        <v>1</v>
      </c>
      <c r="L74" s="32">
        <v>300000</v>
      </c>
      <c r="M74" s="31">
        <v>7.0000000000000007E-2</v>
      </c>
      <c r="N74" s="32">
        <v>150000</v>
      </c>
      <c r="O74" s="31">
        <v>0</v>
      </c>
      <c r="P74" s="32">
        <v>0</v>
      </c>
      <c r="Q74" s="107"/>
      <c r="R74" s="107"/>
      <c r="S74" s="21"/>
      <c r="T74" s="31">
        <f>IF(C75="노트북",7%,IF(C75="저장&amp;주변기기",9%,IF(C75="모니터",7%)))</f>
        <v>7.0000000000000007E-2</v>
      </c>
      <c r="U74" s="31">
        <v>0</v>
      </c>
      <c r="V74" s="31">
        <v>0.02</v>
      </c>
      <c r="W74" s="31">
        <v>0</v>
      </c>
      <c r="X74" s="30">
        <v>0</v>
      </c>
      <c r="Y74" s="30">
        <v>1</v>
      </c>
      <c r="Z74" s="53">
        <v>1</v>
      </c>
      <c r="AA74" s="29">
        <v>0.5</v>
      </c>
      <c r="AB74" s="107"/>
      <c r="AC74" s="107"/>
      <c r="AD74" s="107"/>
      <c r="AE74" s="107"/>
      <c r="AF74" s="107"/>
      <c r="AG74" s="117"/>
      <c r="AH74" s="119"/>
      <c r="AI74" s="121"/>
      <c r="AJ74" s="55" t="s">
        <v>52</v>
      </c>
      <c r="AK74" s="56">
        <f>AJ73-AK73</f>
        <v>8.6967559943582518E-2</v>
      </c>
      <c r="AM74" s="107"/>
      <c r="AN74" s="107"/>
      <c r="AO74" s="107"/>
      <c r="AP74" s="107"/>
      <c r="AQ74" s="107"/>
      <c r="AR74" s="107"/>
      <c r="AS74" s="39"/>
      <c r="AT74" s="107"/>
      <c r="AU74" s="117"/>
      <c r="AV74" s="107"/>
      <c r="AW74" s="107"/>
      <c r="AY74" s="109"/>
      <c r="AZ74" s="109"/>
      <c r="BB74" s="107"/>
    </row>
    <row r="75" spans="1:54" ht="27" customHeight="1" x14ac:dyDescent="0.3">
      <c r="A75" s="28" t="s">
        <v>123</v>
      </c>
      <c r="B75" s="38" t="s">
        <v>35</v>
      </c>
      <c r="C75" s="27" t="s">
        <v>0</v>
      </c>
      <c r="D75" s="26">
        <v>4714573992</v>
      </c>
      <c r="E75" s="25">
        <v>2836000</v>
      </c>
      <c r="F75" s="24">
        <f>ROUNDDOWN(E75/(1-F74),-1)</f>
        <v>2836000</v>
      </c>
      <c r="G75" s="110">
        <f>ROUNDDOWN(IF(F75*G74&gt;H74,H74,F75*G74),-1)</f>
        <v>226880</v>
      </c>
      <c r="H75" s="111"/>
      <c r="I75" s="112">
        <f>ROUNDDOWN(IF(F75*I74&gt;J74,J74,F75*I74),-1)</f>
        <v>0</v>
      </c>
      <c r="J75" s="113"/>
      <c r="K75" s="112">
        <f>ROUNDDOWN(IF(F75*K74&gt;L74,L74,F75*K74),-1)</f>
        <v>300000</v>
      </c>
      <c r="L75" s="113"/>
      <c r="M75" s="110">
        <f>ROUNDDOWN(IF(Q75*M74&gt;N74,N74,Q75*M74),-1)</f>
        <v>150000</v>
      </c>
      <c r="N75" s="111"/>
      <c r="O75" s="110">
        <f>ROUNDDOWN(IF(F75*O74&gt;P74,P74,F75*O74),-1)</f>
        <v>0</v>
      </c>
      <c r="P75" s="111"/>
      <c r="Q75" s="23">
        <f>F75-G75-I75-K75</f>
        <v>2309120</v>
      </c>
      <c r="R75" s="22">
        <f>F75-G75-I75-K75-M75-O75</f>
        <v>2159120</v>
      </c>
      <c r="S75" s="21"/>
      <c r="T75" s="20">
        <f>F75*T74</f>
        <v>198520.00000000003</v>
      </c>
      <c r="U75" s="20">
        <f>F75*U74</f>
        <v>0</v>
      </c>
      <c r="V75" s="20">
        <f>(F75-I75)*V74</f>
        <v>56720</v>
      </c>
      <c r="W75" s="19">
        <f>(F75*F74)*W74</f>
        <v>0</v>
      </c>
      <c r="X75" s="19">
        <f>G75*X74</f>
        <v>0</v>
      </c>
      <c r="Y75" s="19">
        <f>I75*Y74</f>
        <v>0</v>
      </c>
      <c r="Z75" s="19">
        <f>K75*Z74</f>
        <v>300000</v>
      </c>
      <c r="AA75" s="19">
        <f>M75*AA74</f>
        <v>75000</v>
      </c>
      <c r="AB75" s="19">
        <v>0</v>
      </c>
      <c r="AC75" s="16">
        <v>8000</v>
      </c>
      <c r="AD75" s="18">
        <f>F75-T75-U75-V75-W75-AA75-X75-Y75-Z75-AB75</f>
        <v>2205760</v>
      </c>
      <c r="AE75" s="18">
        <f>F75-T75-U75-V75-W75-X75-Y75-Z75-AA75-AB75-AC75</f>
        <v>2197760</v>
      </c>
      <c r="AF75" s="17">
        <f>AE75-AG75</f>
        <v>-151240</v>
      </c>
      <c r="AG75" s="16">
        <v>2349000</v>
      </c>
      <c r="AH75" s="15">
        <f>AF75/AG75</f>
        <v>-6.4384844614729667E-2</v>
      </c>
      <c r="AI75" s="14">
        <f>1-R75/(AG75-AM75-AN75-AO75)</f>
        <v>-4.7091670544439079E-3</v>
      </c>
      <c r="AJ75" s="114">
        <f>(1-R75/F75)-(1-(AD75)/F75)</f>
        <v>1.6445698166431599E-2</v>
      </c>
      <c r="AK75" s="115"/>
      <c r="AM75" s="13">
        <v>200000</v>
      </c>
      <c r="AN75" s="12"/>
      <c r="AO75" s="12">
        <v>0</v>
      </c>
      <c r="AP75" s="12"/>
      <c r="AQ75" s="11">
        <f>AE75-(AG75-AM75-AN75-AO75-AP75)</f>
        <v>48760</v>
      </c>
      <c r="AR75" s="8">
        <f>AQ75/AG75</f>
        <v>2.0757769263516392E-2</v>
      </c>
      <c r="AT75" s="10">
        <v>0</v>
      </c>
      <c r="AU75" s="10">
        <v>0</v>
      </c>
      <c r="AV75" s="9">
        <f>AQ75-AT75-AU75</f>
        <v>48760</v>
      </c>
      <c r="AW75" s="8">
        <f>AV75/AG75</f>
        <v>2.0757769263516392E-2</v>
      </c>
      <c r="AY75" s="49"/>
      <c r="AZ75" s="50"/>
      <c r="BB75" s="6"/>
    </row>
    <row r="76" spans="1:54" x14ac:dyDescent="0.3">
      <c r="E76" s="5">
        <v>2499000</v>
      </c>
      <c r="F76" s="4">
        <f>ROUNDDOWN(E76/(1-F74),-1)</f>
        <v>2499000</v>
      </c>
      <c r="G76" s="138">
        <f>ROUNDDOWN(IF(F76*G74&gt;H74,H74,F76*G74),-1)</f>
        <v>199920</v>
      </c>
      <c r="H76" s="138"/>
      <c r="J76" s="54">
        <f>F75*4%</f>
        <v>113440</v>
      </c>
      <c r="R76" s="4">
        <v>1014950</v>
      </c>
      <c r="X76" s="3">
        <f>G76*X74</f>
        <v>0</v>
      </c>
      <c r="Y76" s="3"/>
      <c r="Z76" s="3"/>
    </row>
    <row r="77" spans="1:54" ht="27" customHeight="1" x14ac:dyDescent="0.3">
      <c r="A77" s="124" t="s">
        <v>34</v>
      </c>
      <c r="B77" s="135" t="s">
        <v>134</v>
      </c>
      <c r="C77" s="136"/>
      <c r="D77" s="136"/>
      <c r="E77" s="136"/>
      <c r="F77" s="136"/>
      <c r="G77" s="136"/>
      <c r="H77" s="136"/>
      <c r="I77" s="136"/>
      <c r="J77" s="136"/>
      <c r="K77" s="136"/>
      <c r="L77" s="136"/>
      <c r="M77" s="136"/>
      <c r="N77" s="136"/>
      <c r="O77" s="136"/>
      <c r="P77" s="136"/>
      <c r="Q77" s="136"/>
      <c r="R77" s="137"/>
      <c r="T77" s="130" t="s">
        <v>33</v>
      </c>
      <c r="U77" s="131"/>
      <c r="V77" s="131"/>
      <c r="W77" s="131"/>
      <c r="X77" s="131"/>
      <c r="Y77" s="131"/>
      <c r="Z77" s="131"/>
      <c r="AA77" s="131"/>
      <c r="AB77" s="131"/>
      <c r="AC77" s="131"/>
      <c r="AD77" s="131"/>
      <c r="AE77" s="131"/>
      <c r="AF77" s="131"/>
      <c r="AG77" s="131"/>
      <c r="AH77" s="132"/>
      <c r="AI77" s="37"/>
      <c r="AM77" s="130" t="s">
        <v>32</v>
      </c>
      <c r="AN77" s="131"/>
      <c r="AO77" s="131"/>
      <c r="AP77" s="131"/>
      <c r="AQ77" s="131"/>
      <c r="AR77" s="132"/>
      <c r="AT77" s="130" t="s">
        <v>31</v>
      </c>
      <c r="AU77" s="131"/>
      <c r="AV77" s="131"/>
      <c r="AW77" s="132"/>
      <c r="AY77" s="47" t="s">
        <v>36</v>
      </c>
      <c r="AZ77" s="48"/>
      <c r="BB77" s="36"/>
    </row>
    <row r="78" spans="1:54" ht="32.25" customHeight="1" x14ac:dyDescent="0.3">
      <c r="A78" s="125"/>
      <c r="B78" s="133" t="s">
        <v>30</v>
      </c>
      <c r="C78" s="133" t="s">
        <v>29</v>
      </c>
      <c r="D78" s="116" t="s">
        <v>28</v>
      </c>
      <c r="E78" s="116" t="s">
        <v>27</v>
      </c>
      <c r="F78" s="34" t="s">
        <v>26</v>
      </c>
      <c r="G78" s="122" t="s">
        <v>63</v>
      </c>
      <c r="H78" s="123"/>
      <c r="I78" s="122" t="s">
        <v>50</v>
      </c>
      <c r="J78" s="123"/>
      <c r="K78" s="122" t="s">
        <v>62</v>
      </c>
      <c r="L78" s="123"/>
      <c r="M78" s="122" t="s">
        <v>25</v>
      </c>
      <c r="N78" s="123"/>
      <c r="O78" s="122" t="s">
        <v>24</v>
      </c>
      <c r="P78" s="123"/>
      <c r="Q78" s="106" t="s">
        <v>23</v>
      </c>
      <c r="R78" s="106" t="s">
        <v>22</v>
      </c>
      <c r="S78" s="21"/>
      <c r="T78" s="34" t="s">
        <v>21</v>
      </c>
      <c r="U78" s="34" t="s">
        <v>20</v>
      </c>
      <c r="V78" s="34" t="s">
        <v>95</v>
      </c>
      <c r="W78" s="34" t="s">
        <v>19</v>
      </c>
      <c r="X78" s="34" t="s">
        <v>18</v>
      </c>
      <c r="Y78" s="34" t="s">
        <v>48</v>
      </c>
      <c r="Z78" s="34" t="s">
        <v>49</v>
      </c>
      <c r="AA78" s="34" t="s">
        <v>17</v>
      </c>
      <c r="AB78" s="106" t="s">
        <v>16</v>
      </c>
      <c r="AC78" s="106" t="s">
        <v>15</v>
      </c>
      <c r="AD78" s="106" t="s">
        <v>14</v>
      </c>
      <c r="AE78" s="106" t="s">
        <v>13</v>
      </c>
      <c r="AF78" s="106" t="s">
        <v>12</v>
      </c>
      <c r="AG78" s="116" t="s">
        <v>11</v>
      </c>
      <c r="AH78" s="118" t="s">
        <v>10</v>
      </c>
      <c r="AI78" s="120" t="s">
        <v>9</v>
      </c>
      <c r="AJ78" s="35">
        <f>(1-R80/F80)</f>
        <v>0.23337423312883432</v>
      </c>
      <c r="AK78" s="35">
        <f>1-(AD80+AM80)/F80</f>
        <v>0.14964553510565781</v>
      </c>
      <c r="AM78" s="106" t="s">
        <v>8</v>
      </c>
      <c r="AN78" s="106" t="s">
        <v>7</v>
      </c>
      <c r="AO78" s="106" t="s">
        <v>37</v>
      </c>
      <c r="AP78" s="106" t="s">
        <v>38</v>
      </c>
      <c r="AQ78" s="106" t="s">
        <v>6</v>
      </c>
      <c r="AR78" s="106" t="s">
        <v>5</v>
      </c>
      <c r="AT78" s="106" t="s">
        <v>4</v>
      </c>
      <c r="AU78" s="106" t="s">
        <v>3</v>
      </c>
      <c r="AV78" s="106" t="s">
        <v>2</v>
      </c>
      <c r="AW78" s="106" t="s">
        <v>1</v>
      </c>
      <c r="AY78" s="108"/>
      <c r="AZ78" s="108"/>
      <c r="BB78" s="106"/>
    </row>
    <row r="79" spans="1:54" ht="27" customHeight="1" x14ac:dyDescent="0.3">
      <c r="A79" s="126"/>
      <c r="B79" s="134"/>
      <c r="C79" s="134"/>
      <c r="D79" s="117"/>
      <c r="E79" s="117"/>
      <c r="F79" s="31">
        <v>0</v>
      </c>
      <c r="G79" s="33">
        <v>0.08</v>
      </c>
      <c r="H79" s="32">
        <v>1000000</v>
      </c>
      <c r="I79" s="31">
        <v>1</v>
      </c>
      <c r="J79" s="32">
        <v>0</v>
      </c>
      <c r="K79" s="31">
        <v>1</v>
      </c>
      <c r="L79" s="32">
        <v>300000</v>
      </c>
      <c r="M79" s="31">
        <v>7.0000000000000007E-2</v>
      </c>
      <c r="N79" s="32">
        <v>150000</v>
      </c>
      <c r="O79" s="31">
        <v>0</v>
      </c>
      <c r="P79" s="32">
        <v>0</v>
      </c>
      <c r="Q79" s="107"/>
      <c r="R79" s="107"/>
      <c r="S79" s="21"/>
      <c r="T79" s="31">
        <f>IF(C80="노트북",7%,IF(C80="저장&amp;주변기기",9%,IF(C80="모니터",7%)))</f>
        <v>7.0000000000000007E-2</v>
      </c>
      <c r="U79" s="31">
        <v>0</v>
      </c>
      <c r="V79" s="31">
        <v>0.02</v>
      </c>
      <c r="W79" s="31">
        <v>0</v>
      </c>
      <c r="X79" s="30">
        <v>0</v>
      </c>
      <c r="Y79" s="30">
        <v>1</v>
      </c>
      <c r="Z79" s="53">
        <v>1</v>
      </c>
      <c r="AA79" s="29">
        <v>0.5</v>
      </c>
      <c r="AB79" s="107"/>
      <c r="AC79" s="107"/>
      <c r="AD79" s="107"/>
      <c r="AE79" s="107"/>
      <c r="AF79" s="107"/>
      <c r="AG79" s="117"/>
      <c r="AH79" s="119"/>
      <c r="AI79" s="121"/>
      <c r="AJ79" s="55" t="s">
        <v>52</v>
      </c>
      <c r="AK79" s="56">
        <f>AJ78-AK78</f>
        <v>8.3728698023176507E-2</v>
      </c>
      <c r="AM79" s="107"/>
      <c r="AN79" s="107"/>
      <c r="AO79" s="107"/>
      <c r="AP79" s="107"/>
      <c r="AQ79" s="107"/>
      <c r="AR79" s="107"/>
      <c r="AS79" s="39"/>
      <c r="AT79" s="107"/>
      <c r="AU79" s="117"/>
      <c r="AV79" s="107"/>
      <c r="AW79" s="107"/>
      <c r="AY79" s="109"/>
      <c r="AZ79" s="109"/>
      <c r="BB79" s="107"/>
    </row>
    <row r="80" spans="1:54" ht="27" customHeight="1" x14ac:dyDescent="0.3">
      <c r="A80" s="28" t="s">
        <v>123</v>
      </c>
      <c r="B80" s="38" t="s">
        <v>35</v>
      </c>
      <c r="C80" s="27" t="s">
        <v>0</v>
      </c>
      <c r="D80" s="26">
        <v>4714573992</v>
      </c>
      <c r="E80" s="25">
        <v>2934000</v>
      </c>
      <c r="F80" s="24">
        <f>ROUNDDOWN(E80/(1-F79),-1)</f>
        <v>2934000</v>
      </c>
      <c r="G80" s="110">
        <f>ROUNDDOWN(IF(F80*G79&gt;H79,H79,F80*G79),-1)</f>
        <v>234720</v>
      </c>
      <c r="H80" s="111"/>
      <c r="I80" s="112">
        <f>ROUNDDOWN(IF(F80*I79&gt;J79,J79,F80*I79),-1)</f>
        <v>0</v>
      </c>
      <c r="J80" s="113"/>
      <c r="K80" s="112">
        <f>ROUNDDOWN(IF(F80*K79&gt;L79,L79,F80*K79),-1)</f>
        <v>300000</v>
      </c>
      <c r="L80" s="113"/>
      <c r="M80" s="110">
        <f>ROUNDDOWN(IF(Q80*M79&gt;N79,N79,Q80*M79),-1)</f>
        <v>150000</v>
      </c>
      <c r="N80" s="111"/>
      <c r="O80" s="110">
        <f>ROUNDDOWN(IF(F80*O79&gt;P79,P79,F80*O79),-1)</f>
        <v>0</v>
      </c>
      <c r="P80" s="111"/>
      <c r="Q80" s="23">
        <f>F80-G80-I80-K80</f>
        <v>2399280</v>
      </c>
      <c r="R80" s="22">
        <f>F80-G80-I80-K80-M80-O80</f>
        <v>2249280</v>
      </c>
      <c r="S80" s="21"/>
      <c r="T80" s="20">
        <f>F80*T79</f>
        <v>205380.00000000003</v>
      </c>
      <c r="U80" s="20">
        <f>F80*U79</f>
        <v>0</v>
      </c>
      <c r="V80" s="20">
        <f>(F80-I80)*V79</f>
        <v>58680</v>
      </c>
      <c r="W80" s="19">
        <f>(F80*F79)*W79</f>
        <v>0</v>
      </c>
      <c r="X80" s="19">
        <f>G80*X79</f>
        <v>0</v>
      </c>
      <c r="Y80" s="19">
        <f>I80*Y79</f>
        <v>0</v>
      </c>
      <c r="Z80" s="19">
        <f>K80*Z79</f>
        <v>300000</v>
      </c>
      <c r="AA80" s="19">
        <f>M80*AA79</f>
        <v>75000</v>
      </c>
      <c r="AB80" s="19">
        <v>0</v>
      </c>
      <c r="AC80" s="16">
        <v>8000</v>
      </c>
      <c r="AD80" s="18">
        <f>F80-T80-U80-V80-W80-AA80-X80-Y80-Z80-AB80</f>
        <v>2294940</v>
      </c>
      <c r="AE80" s="18">
        <f>F80-T80-U80-V80-W80-X80-Y80-Z80-AA80-AB80-AC80</f>
        <v>2286940</v>
      </c>
      <c r="AF80" s="17">
        <f>AE80-AG80</f>
        <v>-62060</v>
      </c>
      <c r="AG80" s="16">
        <v>2349000</v>
      </c>
      <c r="AH80" s="15">
        <f>AF80/AG80</f>
        <v>-2.6419753086419754E-2</v>
      </c>
      <c r="AI80" s="14">
        <f>1-R80/(AG80-AM80-AN80-AO80)</f>
        <v>-4.6663564448580663E-2</v>
      </c>
      <c r="AJ80" s="114">
        <f>(1-R80/F80)-(1-(AD80)/F80)</f>
        <v>1.5562372188139051E-2</v>
      </c>
      <c r="AK80" s="115"/>
      <c r="AM80" s="13">
        <v>200000</v>
      </c>
      <c r="AN80" s="12"/>
      <c r="AO80" s="12">
        <v>0</v>
      </c>
      <c r="AP80" s="12"/>
      <c r="AQ80" s="11">
        <f>AE80-(AG80-AM80-AN80-AO80-AP80)</f>
        <v>137940</v>
      </c>
      <c r="AR80" s="8">
        <f>AQ80/AG80</f>
        <v>5.8722860791826308E-2</v>
      </c>
      <c r="AT80" s="10">
        <v>0</v>
      </c>
      <c r="AU80" s="10">
        <v>0</v>
      </c>
      <c r="AV80" s="9">
        <f>AQ80-AT80-AU80</f>
        <v>137940</v>
      </c>
      <c r="AW80" s="8">
        <f>AV80/AG80</f>
        <v>5.8722860791826308E-2</v>
      </c>
      <c r="AY80" s="49"/>
      <c r="AZ80" s="50"/>
      <c r="BB80" s="6"/>
    </row>
    <row r="81" spans="1:54" x14ac:dyDescent="0.3">
      <c r="E81" s="5">
        <v>2499000</v>
      </c>
      <c r="F81" s="4">
        <f>ROUNDDOWN(E81/(1-F79),-1)</f>
        <v>2499000</v>
      </c>
      <c r="G81" s="138">
        <f>ROUNDDOWN(IF(F81*G79&gt;H79,H79,F81*G79),-1)</f>
        <v>199920</v>
      </c>
      <c r="H81" s="138"/>
      <c r="J81" s="54">
        <f>F80*4%</f>
        <v>117360</v>
      </c>
      <c r="R81" s="4">
        <v>1014950</v>
      </c>
      <c r="X81" s="3">
        <f>G81*X79</f>
        <v>0</v>
      </c>
      <c r="Y81" s="3"/>
      <c r="Z81" s="3"/>
    </row>
    <row r="82" spans="1:54" x14ac:dyDescent="0.3">
      <c r="E82" s="5">
        <v>2599000</v>
      </c>
      <c r="F82" s="4"/>
      <c r="G82" s="42"/>
      <c r="H82" s="42"/>
      <c r="J82" s="54"/>
      <c r="R82" s="4"/>
      <c r="X82" s="3"/>
      <c r="Y82" s="3"/>
      <c r="Z82" s="3"/>
    </row>
    <row r="83" spans="1:54" x14ac:dyDescent="0.3">
      <c r="E83" s="5"/>
      <c r="F83" s="4"/>
      <c r="G83" s="42"/>
      <c r="H83" s="42"/>
      <c r="J83" s="54"/>
      <c r="X83" s="3"/>
      <c r="Y83" s="3"/>
      <c r="Z83" s="3"/>
    </row>
    <row r="84" spans="1:54" x14ac:dyDescent="0.3">
      <c r="A84" s="43"/>
      <c r="B84" s="43"/>
      <c r="C84" s="43"/>
      <c r="D84" s="43"/>
      <c r="E84" s="5"/>
    </row>
    <row r="85" spans="1:54" s="77" customFormat="1" ht="19.5" x14ac:dyDescent="0.3">
      <c r="A85" s="76" t="s">
        <v>78</v>
      </c>
      <c r="D85" s="78"/>
      <c r="E85" s="79"/>
      <c r="F85" s="80"/>
      <c r="G85" s="80"/>
      <c r="U85" s="81"/>
      <c r="AD85" s="82"/>
      <c r="AE85" s="82"/>
      <c r="AF85" s="82"/>
      <c r="AG85" s="82"/>
      <c r="AV85" s="83"/>
      <c r="AW85" s="83"/>
      <c r="AX85" s="83"/>
      <c r="AY85" s="83"/>
      <c r="AZ85" s="83"/>
    </row>
    <row r="86" spans="1:54" x14ac:dyDescent="0.3">
      <c r="A86" s="43"/>
      <c r="B86" s="43"/>
      <c r="C86" s="43"/>
      <c r="D86" s="43"/>
      <c r="E86" s="5"/>
    </row>
    <row r="87" spans="1:54" ht="27" customHeight="1" x14ac:dyDescent="0.3">
      <c r="A87" s="124" t="s">
        <v>34</v>
      </c>
      <c r="B87" s="127" t="s">
        <v>117</v>
      </c>
      <c r="C87" s="128"/>
      <c r="D87" s="128"/>
      <c r="E87" s="128"/>
      <c r="F87" s="128"/>
      <c r="G87" s="128"/>
      <c r="H87" s="128"/>
      <c r="I87" s="128"/>
      <c r="J87" s="128"/>
      <c r="K87" s="128"/>
      <c r="L87" s="128"/>
      <c r="M87" s="128"/>
      <c r="N87" s="128"/>
      <c r="O87" s="128"/>
      <c r="P87" s="128"/>
      <c r="Q87" s="128"/>
      <c r="R87" s="129"/>
      <c r="T87" s="130" t="s">
        <v>33</v>
      </c>
      <c r="U87" s="131"/>
      <c r="V87" s="131"/>
      <c r="W87" s="131"/>
      <c r="X87" s="131"/>
      <c r="Y87" s="131"/>
      <c r="Z87" s="131"/>
      <c r="AA87" s="131"/>
      <c r="AB87" s="131"/>
      <c r="AC87" s="131"/>
      <c r="AD87" s="131"/>
      <c r="AE87" s="131"/>
      <c r="AF87" s="131"/>
      <c r="AG87" s="131"/>
      <c r="AH87" s="132"/>
      <c r="AI87" s="37"/>
      <c r="AM87" s="130" t="s">
        <v>32</v>
      </c>
      <c r="AN87" s="131"/>
      <c r="AO87" s="131"/>
      <c r="AP87" s="131"/>
      <c r="AQ87" s="131"/>
      <c r="AR87" s="132"/>
      <c r="AT87" s="130" t="s">
        <v>31</v>
      </c>
      <c r="AU87" s="131"/>
      <c r="AV87" s="131"/>
      <c r="AW87" s="132"/>
      <c r="AY87" s="47" t="s">
        <v>36</v>
      </c>
      <c r="AZ87" s="48"/>
      <c r="BB87" s="36"/>
    </row>
    <row r="88" spans="1:54" ht="32.25" customHeight="1" x14ac:dyDescent="0.3">
      <c r="A88" s="125"/>
      <c r="B88" s="133" t="s">
        <v>30</v>
      </c>
      <c r="C88" s="133" t="s">
        <v>29</v>
      </c>
      <c r="D88" s="116" t="s">
        <v>28</v>
      </c>
      <c r="E88" s="116" t="s">
        <v>27</v>
      </c>
      <c r="F88" s="34" t="s">
        <v>26</v>
      </c>
      <c r="G88" s="122" t="s">
        <v>63</v>
      </c>
      <c r="H88" s="123"/>
      <c r="I88" s="122" t="s">
        <v>50</v>
      </c>
      <c r="J88" s="123"/>
      <c r="K88" s="122" t="s">
        <v>62</v>
      </c>
      <c r="L88" s="123"/>
      <c r="M88" s="122" t="s">
        <v>25</v>
      </c>
      <c r="N88" s="123"/>
      <c r="O88" s="122" t="s">
        <v>24</v>
      </c>
      <c r="P88" s="123"/>
      <c r="Q88" s="106" t="s">
        <v>23</v>
      </c>
      <c r="R88" s="106" t="s">
        <v>22</v>
      </c>
      <c r="S88" s="21"/>
      <c r="T88" s="34" t="s">
        <v>21</v>
      </c>
      <c r="U88" s="34" t="s">
        <v>20</v>
      </c>
      <c r="V88" s="34" t="s">
        <v>95</v>
      </c>
      <c r="W88" s="34" t="s">
        <v>19</v>
      </c>
      <c r="X88" s="34" t="s">
        <v>18</v>
      </c>
      <c r="Y88" s="34" t="s">
        <v>48</v>
      </c>
      <c r="Z88" s="34" t="s">
        <v>49</v>
      </c>
      <c r="AA88" s="34" t="s">
        <v>17</v>
      </c>
      <c r="AB88" s="106" t="s">
        <v>16</v>
      </c>
      <c r="AC88" s="106" t="s">
        <v>15</v>
      </c>
      <c r="AD88" s="106" t="s">
        <v>14</v>
      </c>
      <c r="AE88" s="106" t="s">
        <v>13</v>
      </c>
      <c r="AF88" s="106" t="s">
        <v>12</v>
      </c>
      <c r="AG88" s="116" t="s">
        <v>11</v>
      </c>
      <c r="AH88" s="118" t="s">
        <v>10</v>
      </c>
      <c r="AI88" s="120" t="s">
        <v>9</v>
      </c>
      <c r="AJ88" s="35">
        <f>(1-R90/F90)</f>
        <v>0.32503311258278145</v>
      </c>
      <c r="AK88" s="35">
        <f>1-(AD90+AM90)/F90</f>
        <v>0.17940397350993376</v>
      </c>
      <c r="AM88" s="106" t="s">
        <v>8</v>
      </c>
      <c r="AN88" s="106" t="s">
        <v>7</v>
      </c>
      <c r="AO88" s="106" t="s">
        <v>37</v>
      </c>
      <c r="AP88" s="106" t="s">
        <v>38</v>
      </c>
      <c r="AQ88" s="106" t="s">
        <v>6</v>
      </c>
      <c r="AR88" s="106" t="s">
        <v>5</v>
      </c>
      <c r="AT88" s="106" t="s">
        <v>4</v>
      </c>
      <c r="AU88" s="106" t="s">
        <v>3</v>
      </c>
      <c r="AV88" s="106" t="s">
        <v>2</v>
      </c>
      <c r="AW88" s="106" t="s">
        <v>1</v>
      </c>
      <c r="AY88" s="108"/>
      <c r="AZ88" s="108"/>
      <c r="BB88" s="106"/>
    </row>
    <row r="89" spans="1:54" ht="27" customHeight="1" x14ac:dyDescent="0.3">
      <c r="A89" s="126"/>
      <c r="B89" s="134"/>
      <c r="C89" s="134"/>
      <c r="D89" s="117"/>
      <c r="E89" s="117"/>
      <c r="F89" s="31">
        <v>0</v>
      </c>
      <c r="G89" s="33">
        <v>0.08</v>
      </c>
      <c r="H89" s="32">
        <v>1000000</v>
      </c>
      <c r="I89" s="31">
        <v>1</v>
      </c>
      <c r="J89" s="32">
        <v>0</v>
      </c>
      <c r="K89" s="31">
        <v>1</v>
      </c>
      <c r="L89" s="32">
        <v>300000</v>
      </c>
      <c r="M89" s="31">
        <v>7.0000000000000007E-2</v>
      </c>
      <c r="N89" s="32">
        <v>70000</v>
      </c>
      <c r="O89" s="31">
        <v>0</v>
      </c>
      <c r="P89" s="32">
        <v>0</v>
      </c>
      <c r="Q89" s="107"/>
      <c r="R89" s="107"/>
      <c r="S89" s="21"/>
      <c r="T89" s="31">
        <f>IF(C90="노트북",7%,IF(C90="저장&amp;주변기기",9%,IF(C90="모니터",7%)))</f>
        <v>7.0000000000000007E-2</v>
      </c>
      <c r="U89" s="31">
        <v>0</v>
      </c>
      <c r="V89" s="31">
        <v>0.02</v>
      </c>
      <c r="W89" s="31">
        <v>0</v>
      </c>
      <c r="X89" s="30">
        <v>0</v>
      </c>
      <c r="Y89" s="30">
        <v>1</v>
      </c>
      <c r="Z89" s="53">
        <v>1</v>
      </c>
      <c r="AA89" s="29">
        <v>0.5</v>
      </c>
      <c r="AB89" s="107"/>
      <c r="AC89" s="107"/>
      <c r="AD89" s="107"/>
      <c r="AE89" s="107"/>
      <c r="AF89" s="107"/>
      <c r="AG89" s="117"/>
      <c r="AH89" s="119"/>
      <c r="AI89" s="121"/>
      <c r="AJ89" s="55" t="s">
        <v>52</v>
      </c>
      <c r="AK89" s="56">
        <f>AJ88-AK88</f>
        <v>0.14562913907284769</v>
      </c>
      <c r="AM89" s="107"/>
      <c r="AN89" s="107"/>
      <c r="AO89" s="107"/>
      <c r="AP89" s="107"/>
      <c r="AQ89" s="107"/>
      <c r="AR89" s="107"/>
      <c r="AS89" s="39"/>
      <c r="AT89" s="107"/>
      <c r="AU89" s="117"/>
      <c r="AV89" s="107"/>
      <c r="AW89" s="107"/>
      <c r="AY89" s="109"/>
      <c r="AZ89" s="109"/>
      <c r="BB89" s="107"/>
    </row>
    <row r="90" spans="1:54" ht="27" customHeight="1" x14ac:dyDescent="0.3">
      <c r="A90" s="28" t="s">
        <v>55</v>
      </c>
      <c r="B90" s="38" t="s">
        <v>35</v>
      </c>
      <c r="C90" s="27" t="s">
        <v>0</v>
      </c>
      <c r="D90" s="26">
        <v>4514791229</v>
      </c>
      <c r="E90" s="25">
        <v>1510000</v>
      </c>
      <c r="F90" s="24">
        <f>ROUNDDOWN(E90/(1-F89),-1)</f>
        <v>1510000</v>
      </c>
      <c r="G90" s="110">
        <f>ROUNDDOWN(IF(F90*G89&gt;H89,H89,F90*G89),-1)</f>
        <v>120800</v>
      </c>
      <c r="H90" s="111"/>
      <c r="I90" s="112">
        <f>ROUNDDOWN(IF(F90*I89&gt;J89,J89,F90*I89),-1)</f>
        <v>0</v>
      </c>
      <c r="J90" s="113"/>
      <c r="K90" s="112">
        <f>ROUNDDOWN(IF(F90*K89&gt;L89,L89,F90*K89),-1)</f>
        <v>300000</v>
      </c>
      <c r="L90" s="113"/>
      <c r="M90" s="110">
        <f>ROUNDDOWN(IF(Q90*M89&gt;N89,N89,Q90*M89),-1)</f>
        <v>70000</v>
      </c>
      <c r="N90" s="111"/>
      <c r="O90" s="110">
        <f>ROUNDDOWN(IF(F90*O89&gt;P89,P89,F90*O89),-1)</f>
        <v>0</v>
      </c>
      <c r="P90" s="111"/>
      <c r="Q90" s="23">
        <f>F90-G90-I90-K90</f>
        <v>1089200</v>
      </c>
      <c r="R90" s="22">
        <f>F90-G90-I90-K90-M90-O90</f>
        <v>1019200</v>
      </c>
      <c r="S90" s="21"/>
      <c r="T90" s="20">
        <f>F90*T89</f>
        <v>105700.00000000001</v>
      </c>
      <c r="U90" s="20">
        <f>F90*U89</f>
        <v>0</v>
      </c>
      <c r="V90" s="20">
        <f>(F90-I90)*V89</f>
        <v>30200</v>
      </c>
      <c r="W90" s="19">
        <f>(F90*F89)*W89</f>
        <v>0</v>
      </c>
      <c r="X90" s="19">
        <f>G90*X89</f>
        <v>0</v>
      </c>
      <c r="Y90" s="19">
        <f>I90*Y89</f>
        <v>0</v>
      </c>
      <c r="Z90" s="19">
        <f>K90*Z89</f>
        <v>300000</v>
      </c>
      <c r="AA90" s="19">
        <f>M90*AA89</f>
        <v>35000</v>
      </c>
      <c r="AB90" s="19">
        <v>0</v>
      </c>
      <c r="AC90" s="16">
        <v>8000</v>
      </c>
      <c r="AD90" s="18">
        <f>F90-T90-U90-V90-W90-AA90-X90-Y90-Z90-AB90</f>
        <v>1039100</v>
      </c>
      <c r="AE90" s="18">
        <f>F90-T90-U90-V90-W90-X90-Y90-Z90-AA90-AB90-AC90</f>
        <v>1031100</v>
      </c>
      <c r="AF90" s="17">
        <f>AE90-AG90</f>
        <v>-176900</v>
      </c>
      <c r="AG90" s="16">
        <v>1208000</v>
      </c>
      <c r="AH90" s="15">
        <f>AF90/AG90</f>
        <v>-0.14644039735099337</v>
      </c>
      <c r="AI90" s="14">
        <f>1-R90/(AG90-AM90-AN90-AO90)</f>
        <v>-1.1111111111111072E-2</v>
      </c>
      <c r="AJ90" s="114">
        <f>(1-R90/F90)-(1-(AD90)/F90)</f>
        <v>1.3178807947019866E-2</v>
      </c>
      <c r="AK90" s="115"/>
      <c r="AM90" s="13">
        <v>200000</v>
      </c>
      <c r="AN90" s="12"/>
      <c r="AO90" s="12">
        <v>0</v>
      </c>
      <c r="AP90" s="12"/>
      <c r="AQ90" s="11">
        <f>AE90-(AG90-AM90-AN90-AO90-AP90)</f>
        <v>23100</v>
      </c>
      <c r="AR90" s="8">
        <f>AQ90/AG90</f>
        <v>1.9122516556291391E-2</v>
      </c>
      <c r="AT90" s="10">
        <v>0</v>
      </c>
      <c r="AU90" s="10">
        <v>0</v>
      </c>
      <c r="AV90" s="9">
        <f>AQ90-AT90-AU90</f>
        <v>23100</v>
      </c>
      <c r="AW90" s="8">
        <f>AV90/AG90</f>
        <v>1.9122516556291391E-2</v>
      </c>
      <c r="AY90" s="49"/>
      <c r="AZ90" s="50"/>
      <c r="BB90" s="6"/>
    </row>
    <row r="91" spans="1:54" x14ac:dyDescent="0.3">
      <c r="E91" s="5">
        <v>1299000</v>
      </c>
      <c r="F91" s="4">
        <f>ROUNDDOWN(E91/(1-F89),-1)</f>
        <v>1299000</v>
      </c>
      <c r="G91" s="138">
        <f>ROUNDDOWN(IF(F91*G89&gt;H89,H89,F91*G89),-1)</f>
        <v>103920</v>
      </c>
      <c r="H91" s="138"/>
      <c r="J91" s="54">
        <f>F90*4%</f>
        <v>60400</v>
      </c>
      <c r="R91" s="4">
        <v>1014950</v>
      </c>
      <c r="X91" s="3">
        <f>G91*X89</f>
        <v>0</v>
      </c>
      <c r="Y91" s="3"/>
      <c r="Z91" s="3"/>
    </row>
    <row r="92" spans="1:54" x14ac:dyDescent="0.3">
      <c r="A92" s="43"/>
      <c r="B92" s="43"/>
      <c r="C92" s="43"/>
      <c r="D92" s="43"/>
      <c r="E92" s="5"/>
    </row>
    <row r="93" spans="1:54" x14ac:dyDescent="0.3">
      <c r="A93" s="43"/>
      <c r="B93" s="43"/>
      <c r="C93" s="43"/>
      <c r="D93" s="43"/>
      <c r="E93" s="5"/>
    </row>
    <row r="94" spans="1:54" ht="27" customHeight="1" x14ac:dyDescent="0.3">
      <c r="A94" s="124" t="s">
        <v>34</v>
      </c>
      <c r="B94" s="127" t="s">
        <v>117</v>
      </c>
      <c r="C94" s="128"/>
      <c r="D94" s="128"/>
      <c r="E94" s="128"/>
      <c r="F94" s="128"/>
      <c r="G94" s="128"/>
      <c r="H94" s="128"/>
      <c r="I94" s="128"/>
      <c r="J94" s="128"/>
      <c r="K94" s="128"/>
      <c r="L94" s="128"/>
      <c r="M94" s="128"/>
      <c r="N94" s="128"/>
      <c r="O94" s="128"/>
      <c r="P94" s="128"/>
      <c r="Q94" s="128"/>
      <c r="R94" s="129"/>
      <c r="T94" s="130" t="s">
        <v>33</v>
      </c>
      <c r="U94" s="131"/>
      <c r="V94" s="131"/>
      <c r="W94" s="131"/>
      <c r="X94" s="131"/>
      <c r="Y94" s="131"/>
      <c r="Z94" s="131"/>
      <c r="AA94" s="131"/>
      <c r="AB94" s="131"/>
      <c r="AC94" s="131"/>
      <c r="AD94" s="131"/>
      <c r="AE94" s="131"/>
      <c r="AF94" s="131"/>
      <c r="AG94" s="131"/>
      <c r="AH94" s="132"/>
      <c r="AI94" s="37"/>
      <c r="AM94" s="130" t="s">
        <v>32</v>
      </c>
      <c r="AN94" s="131"/>
      <c r="AO94" s="131"/>
      <c r="AP94" s="131"/>
      <c r="AQ94" s="131"/>
      <c r="AR94" s="132"/>
      <c r="AT94" s="130" t="s">
        <v>31</v>
      </c>
      <c r="AU94" s="131"/>
      <c r="AV94" s="131"/>
      <c r="AW94" s="132"/>
      <c r="AY94" s="47" t="s">
        <v>36</v>
      </c>
      <c r="AZ94" s="48"/>
      <c r="BB94" s="36"/>
    </row>
    <row r="95" spans="1:54" ht="32.25" customHeight="1" x14ac:dyDescent="0.3">
      <c r="A95" s="125"/>
      <c r="B95" s="133" t="s">
        <v>30</v>
      </c>
      <c r="C95" s="133" t="s">
        <v>29</v>
      </c>
      <c r="D95" s="116" t="s">
        <v>28</v>
      </c>
      <c r="E95" s="116" t="s">
        <v>27</v>
      </c>
      <c r="F95" s="34" t="s">
        <v>26</v>
      </c>
      <c r="G95" s="122" t="s">
        <v>63</v>
      </c>
      <c r="H95" s="123"/>
      <c r="I95" s="122" t="s">
        <v>50</v>
      </c>
      <c r="J95" s="123"/>
      <c r="K95" s="122" t="s">
        <v>62</v>
      </c>
      <c r="L95" s="123"/>
      <c r="M95" s="122" t="s">
        <v>25</v>
      </c>
      <c r="N95" s="123"/>
      <c r="O95" s="122" t="s">
        <v>24</v>
      </c>
      <c r="P95" s="123"/>
      <c r="Q95" s="106" t="s">
        <v>23</v>
      </c>
      <c r="R95" s="106" t="s">
        <v>22</v>
      </c>
      <c r="S95" s="21"/>
      <c r="T95" s="34" t="s">
        <v>21</v>
      </c>
      <c r="U95" s="34" t="s">
        <v>20</v>
      </c>
      <c r="V95" s="34" t="s">
        <v>95</v>
      </c>
      <c r="W95" s="34" t="s">
        <v>19</v>
      </c>
      <c r="X95" s="34" t="s">
        <v>18</v>
      </c>
      <c r="Y95" s="34" t="s">
        <v>48</v>
      </c>
      <c r="Z95" s="34" t="s">
        <v>49</v>
      </c>
      <c r="AA95" s="34" t="s">
        <v>17</v>
      </c>
      <c r="AB95" s="106" t="s">
        <v>16</v>
      </c>
      <c r="AC95" s="106" t="s">
        <v>15</v>
      </c>
      <c r="AD95" s="106" t="s">
        <v>14</v>
      </c>
      <c r="AE95" s="106" t="s">
        <v>13</v>
      </c>
      <c r="AF95" s="106" t="s">
        <v>12</v>
      </c>
      <c r="AG95" s="116" t="s">
        <v>11</v>
      </c>
      <c r="AH95" s="118" t="s">
        <v>10</v>
      </c>
      <c r="AI95" s="120" t="s">
        <v>9</v>
      </c>
      <c r="AJ95" s="35">
        <f>(1-R97/F97)</f>
        <v>0.29957174638487205</v>
      </c>
      <c r="AK95" s="35">
        <f>1-(AD97+AM97)/F97</f>
        <v>0.25540322580645158</v>
      </c>
      <c r="AM95" s="106" t="s">
        <v>8</v>
      </c>
      <c r="AN95" s="106" t="s">
        <v>7</v>
      </c>
      <c r="AO95" s="106" t="s">
        <v>37</v>
      </c>
      <c r="AP95" s="106" t="s">
        <v>38</v>
      </c>
      <c r="AQ95" s="106" t="s">
        <v>6</v>
      </c>
      <c r="AR95" s="106" t="s">
        <v>5</v>
      </c>
      <c r="AT95" s="106" t="s">
        <v>4</v>
      </c>
      <c r="AU95" s="106" t="s">
        <v>3</v>
      </c>
      <c r="AV95" s="106" t="s">
        <v>2</v>
      </c>
      <c r="AW95" s="106" t="s">
        <v>1</v>
      </c>
      <c r="AY95" s="108"/>
      <c r="AZ95" s="108"/>
      <c r="BB95" s="106"/>
    </row>
    <row r="96" spans="1:54" ht="27" customHeight="1" x14ac:dyDescent="0.3">
      <c r="A96" s="126"/>
      <c r="B96" s="134"/>
      <c r="C96" s="134"/>
      <c r="D96" s="117"/>
      <c r="E96" s="117"/>
      <c r="F96" s="31">
        <v>0</v>
      </c>
      <c r="G96" s="33">
        <v>0.08</v>
      </c>
      <c r="H96" s="32">
        <v>1000000</v>
      </c>
      <c r="I96" s="31">
        <v>1</v>
      </c>
      <c r="J96" s="32">
        <v>0</v>
      </c>
      <c r="K96" s="31">
        <v>1</v>
      </c>
      <c r="L96" s="32">
        <v>300000</v>
      </c>
      <c r="M96" s="31">
        <v>7.0000000000000007E-2</v>
      </c>
      <c r="N96" s="32">
        <v>150000</v>
      </c>
      <c r="O96" s="31">
        <v>0</v>
      </c>
      <c r="P96" s="32">
        <v>0</v>
      </c>
      <c r="Q96" s="107"/>
      <c r="R96" s="107"/>
      <c r="S96" s="21"/>
      <c r="T96" s="31">
        <f>IF(C97="노트북",7%,IF(C97="저장&amp;주변기기",9%,IF(C97="모니터",7%)))</f>
        <v>7.0000000000000007E-2</v>
      </c>
      <c r="U96" s="31">
        <v>0</v>
      </c>
      <c r="V96" s="31">
        <v>0.02</v>
      </c>
      <c r="W96" s="31">
        <v>0</v>
      </c>
      <c r="X96" s="30">
        <v>0</v>
      </c>
      <c r="Y96" s="30">
        <v>1</v>
      </c>
      <c r="Z96" s="53">
        <v>1</v>
      </c>
      <c r="AA96" s="29">
        <v>0.5</v>
      </c>
      <c r="AB96" s="107"/>
      <c r="AC96" s="107"/>
      <c r="AD96" s="107"/>
      <c r="AE96" s="107"/>
      <c r="AF96" s="107"/>
      <c r="AG96" s="117"/>
      <c r="AH96" s="119"/>
      <c r="AI96" s="121"/>
      <c r="AJ96" s="55" t="s">
        <v>52</v>
      </c>
      <c r="AK96" s="56">
        <f>AJ95-AK95</f>
        <v>4.4168520578420467E-2</v>
      </c>
      <c r="AM96" s="107"/>
      <c r="AN96" s="107"/>
      <c r="AO96" s="107"/>
      <c r="AP96" s="107"/>
      <c r="AQ96" s="107"/>
      <c r="AR96" s="107"/>
      <c r="AS96" s="39"/>
      <c r="AT96" s="107"/>
      <c r="AU96" s="117"/>
      <c r="AV96" s="107"/>
      <c r="AW96" s="107"/>
      <c r="AY96" s="109"/>
      <c r="AZ96" s="109"/>
      <c r="BB96" s="107"/>
    </row>
    <row r="97" spans="1:54" ht="27" customHeight="1" x14ac:dyDescent="0.3">
      <c r="A97" s="28" t="s">
        <v>56</v>
      </c>
      <c r="B97" s="38" t="s">
        <v>35</v>
      </c>
      <c r="C97" s="27" t="s">
        <v>0</v>
      </c>
      <c r="D97" s="26">
        <v>4514843899</v>
      </c>
      <c r="E97" s="25">
        <v>1798000</v>
      </c>
      <c r="F97" s="24">
        <f>ROUNDDOWN(E97/(1-F96),-1)</f>
        <v>1798000</v>
      </c>
      <c r="G97" s="110">
        <f>ROUNDDOWN(IF(F97*G96&gt;H96,H96,F97*G96),-1)</f>
        <v>143840</v>
      </c>
      <c r="H97" s="111"/>
      <c r="I97" s="112">
        <f>ROUNDDOWN(IF(F97*I96&gt;J96,J96,F97*I96),-1)</f>
        <v>0</v>
      </c>
      <c r="J97" s="113"/>
      <c r="K97" s="112">
        <f>ROUNDDOWN(IF(F97*K96&gt;L96,L96,F97*K96),-1)</f>
        <v>300000</v>
      </c>
      <c r="L97" s="113"/>
      <c r="M97" s="110">
        <f>ROUNDDOWN(IF(Q97*M96&gt;N96,N96,Q97*M96),-1)</f>
        <v>94790</v>
      </c>
      <c r="N97" s="111"/>
      <c r="O97" s="110">
        <f>ROUNDDOWN(IF(F97*O96&gt;P96,P96,F97*O96),-1)</f>
        <v>0</v>
      </c>
      <c r="P97" s="111"/>
      <c r="Q97" s="23">
        <f>F97-G97-I97-K97</f>
        <v>1354160</v>
      </c>
      <c r="R97" s="22">
        <f>F97-G97-I97-K97-M97-O97</f>
        <v>1259370</v>
      </c>
      <c r="S97" s="21"/>
      <c r="T97" s="20">
        <f>F97*T96</f>
        <v>125860.00000000001</v>
      </c>
      <c r="U97" s="20">
        <f>F97*U96</f>
        <v>0</v>
      </c>
      <c r="V97" s="20">
        <f>(F97-I97)*V96</f>
        <v>35960</v>
      </c>
      <c r="W97" s="19">
        <f>(F97*F96)*W96</f>
        <v>0</v>
      </c>
      <c r="X97" s="19">
        <f>G97*X96</f>
        <v>0</v>
      </c>
      <c r="Y97" s="19">
        <f>I97*Y96</f>
        <v>0</v>
      </c>
      <c r="Z97" s="19">
        <f>K97*Z96</f>
        <v>300000</v>
      </c>
      <c r="AA97" s="19">
        <f>M97*AA96</f>
        <v>47395</v>
      </c>
      <c r="AB97" s="19">
        <v>0</v>
      </c>
      <c r="AC97" s="16">
        <v>8000</v>
      </c>
      <c r="AD97" s="18">
        <f>F97-T97-U97-V97-W97-AA97-X97-Y97-Z97-AB97</f>
        <v>1288785</v>
      </c>
      <c r="AE97" s="18">
        <f>F97-T97-U97-V97-W97-X97-Y97-Z97-AA97-AB97-AC97</f>
        <v>1280785</v>
      </c>
      <c r="AF97" s="17">
        <f>AE97-AG97</f>
        <v>-27215</v>
      </c>
      <c r="AG97" s="16">
        <v>1308000</v>
      </c>
      <c r="AH97" s="15">
        <f>AF97/AG97</f>
        <v>-2.08065749235474E-2</v>
      </c>
      <c r="AI97" s="14">
        <f>1-R97/(AG97-AM97-AN97-AO97)</f>
        <v>-1.0890302066772772E-3</v>
      </c>
      <c r="AJ97" s="114">
        <f>(1-R97/F97)-(1-(AD97)/F97)</f>
        <v>1.6359844271412682E-2</v>
      </c>
      <c r="AK97" s="115"/>
      <c r="AM97" s="13">
        <v>50000</v>
      </c>
      <c r="AN97" s="12"/>
      <c r="AO97" s="12">
        <v>0</v>
      </c>
      <c r="AP97" s="12"/>
      <c r="AQ97" s="11">
        <f>AE97-(AG97-AM97-AN97-AO97-AP97)</f>
        <v>22785</v>
      </c>
      <c r="AR97" s="8">
        <f>AQ97/AG97</f>
        <v>1.74197247706422E-2</v>
      </c>
      <c r="AT97" s="10">
        <v>0</v>
      </c>
      <c r="AU97" s="10">
        <v>0</v>
      </c>
      <c r="AV97" s="9">
        <f>AQ97-AT97-AU97</f>
        <v>22785</v>
      </c>
      <c r="AW97" s="8">
        <f>AV97/AG97</f>
        <v>1.74197247706422E-2</v>
      </c>
      <c r="AY97" s="49"/>
      <c r="AZ97" s="50"/>
      <c r="BB97" s="6"/>
    </row>
    <row r="98" spans="1:54" x14ac:dyDescent="0.3">
      <c r="E98" s="5">
        <v>1399000</v>
      </c>
      <c r="F98" s="4">
        <f>ROUNDDOWN(E98/(1-F96),-1)</f>
        <v>1399000</v>
      </c>
      <c r="G98" s="138">
        <f>ROUNDDOWN(IF(F98*G96&gt;H96,H96,F98*G96),-1)</f>
        <v>111920</v>
      </c>
      <c r="H98" s="138"/>
      <c r="J98" s="54">
        <f>F97*4%</f>
        <v>71920</v>
      </c>
      <c r="R98" s="4">
        <v>1153020</v>
      </c>
      <c r="X98" s="3">
        <f>G98*X96</f>
        <v>0</v>
      </c>
      <c r="Y98" s="3"/>
      <c r="Z98" s="3"/>
    </row>
    <row r="100" spans="1:54" x14ac:dyDescent="0.3">
      <c r="A100" s="43"/>
      <c r="B100" s="43"/>
      <c r="C100" s="43"/>
      <c r="D100" s="43"/>
      <c r="E100" s="5"/>
    </row>
    <row r="101" spans="1:54" ht="27" customHeight="1" x14ac:dyDescent="0.3">
      <c r="A101" s="124" t="s">
        <v>34</v>
      </c>
      <c r="B101" s="127" t="s">
        <v>117</v>
      </c>
      <c r="C101" s="128"/>
      <c r="D101" s="128"/>
      <c r="E101" s="128"/>
      <c r="F101" s="128"/>
      <c r="G101" s="128"/>
      <c r="H101" s="128"/>
      <c r="I101" s="128"/>
      <c r="J101" s="128"/>
      <c r="K101" s="128"/>
      <c r="L101" s="128"/>
      <c r="M101" s="128"/>
      <c r="N101" s="128"/>
      <c r="O101" s="128"/>
      <c r="P101" s="128"/>
      <c r="Q101" s="128"/>
      <c r="R101" s="129"/>
      <c r="T101" s="130" t="s">
        <v>33</v>
      </c>
      <c r="U101" s="131"/>
      <c r="V101" s="131"/>
      <c r="W101" s="131"/>
      <c r="X101" s="131"/>
      <c r="Y101" s="131"/>
      <c r="Z101" s="131"/>
      <c r="AA101" s="131"/>
      <c r="AB101" s="131"/>
      <c r="AC101" s="131"/>
      <c r="AD101" s="131"/>
      <c r="AE101" s="131"/>
      <c r="AF101" s="131"/>
      <c r="AG101" s="131"/>
      <c r="AH101" s="132"/>
      <c r="AI101" s="37"/>
      <c r="AM101" s="130" t="s">
        <v>32</v>
      </c>
      <c r="AN101" s="131"/>
      <c r="AO101" s="131"/>
      <c r="AP101" s="131"/>
      <c r="AQ101" s="131"/>
      <c r="AR101" s="132"/>
      <c r="AT101" s="130" t="s">
        <v>31</v>
      </c>
      <c r="AU101" s="131"/>
      <c r="AV101" s="131"/>
      <c r="AW101" s="132"/>
      <c r="AY101" s="47" t="s">
        <v>36</v>
      </c>
      <c r="AZ101" s="48"/>
      <c r="BB101" s="36"/>
    </row>
    <row r="102" spans="1:54" ht="32.25" customHeight="1" x14ac:dyDescent="0.3">
      <c r="A102" s="125"/>
      <c r="B102" s="133" t="s">
        <v>30</v>
      </c>
      <c r="C102" s="133" t="s">
        <v>29</v>
      </c>
      <c r="D102" s="116" t="s">
        <v>28</v>
      </c>
      <c r="E102" s="116" t="s">
        <v>27</v>
      </c>
      <c r="F102" s="34" t="s">
        <v>26</v>
      </c>
      <c r="G102" s="122" t="s">
        <v>63</v>
      </c>
      <c r="H102" s="123"/>
      <c r="I102" s="122" t="s">
        <v>50</v>
      </c>
      <c r="J102" s="123"/>
      <c r="K102" s="122" t="s">
        <v>62</v>
      </c>
      <c r="L102" s="123"/>
      <c r="M102" s="122" t="s">
        <v>25</v>
      </c>
      <c r="N102" s="123"/>
      <c r="O102" s="122" t="s">
        <v>24</v>
      </c>
      <c r="P102" s="123"/>
      <c r="Q102" s="106" t="s">
        <v>23</v>
      </c>
      <c r="R102" s="106" t="s">
        <v>22</v>
      </c>
      <c r="S102" s="21"/>
      <c r="T102" s="34" t="s">
        <v>21</v>
      </c>
      <c r="U102" s="34" t="s">
        <v>20</v>
      </c>
      <c r="V102" s="34" t="s">
        <v>95</v>
      </c>
      <c r="W102" s="34" t="s">
        <v>19</v>
      </c>
      <c r="X102" s="34" t="s">
        <v>18</v>
      </c>
      <c r="Y102" s="34" t="s">
        <v>48</v>
      </c>
      <c r="Z102" s="34" t="s">
        <v>49</v>
      </c>
      <c r="AA102" s="34" t="s">
        <v>17</v>
      </c>
      <c r="AB102" s="106" t="s">
        <v>16</v>
      </c>
      <c r="AC102" s="106" t="s">
        <v>15</v>
      </c>
      <c r="AD102" s="106" t="s">
        <v>14</v>
      </c>
      <c r="AE102" s="106" t="s">
        <v>13</v>
      </c>
      <c r="AF102" s="106" t="s">
        <v>12</v>
      </c>
      <c r="AG102" s="116" t="s">
        <v>11</v>
      </c>
      <c r="AH102" s="118" t="s">
        <v>10</v>
      </c>
      <c r="AI102" s="120" t="s">
        <v>9</v>
      </c>
      <c r="AJ102" s="35">
        <f>(1-R104/F104)</f>
        <v>0.30373500856653346</v>
      </c>
      <c r="AK102" s="35">
        <f>1-(AD104+AM104)/F104</f>
        <v>0.17331239291833234</v>
      </c>
      <c r="AM102" s="106" t="s">
        <v>8</v>
      </c>
      <c r="AN102" s="106" t="s">
        <v>7</v>
      </c>
      <c r="AO102" s="106" t="s">
        <v>37</v>
      </c>
      <c r="AP102" s="106" t="s">
        <v>38</v>
      </c>
      <c r="AQ102" s="106" t="s">
        <v>6</v>
      </c>
      <c r="AR102" s="106" t="s">
        <v>5</v>
      </c>
      <c r="AT102" s="106" t="s">
        <v>4</v>
      </c>
      <c r="AU102" s="106" t="s">
        <v>3</v>
      </c>
      <c r="AV102" s="106" t="s">
        <v>2</v>
      </c>
      <c r="AW102" s="106" t="s">
        <v>1</v>
      </c>
      <c r="AY102" s="108"/>
      <c r="AZ102" s="108"/>
      <c r="BB102" s="106"/>
    </row>
    <row r="103" spans="1:54" ht="27" customHeight="1" x14ac:dyDescent="0.3">
      <c r="A103" s="126"/>
      <c r="B103" s="134"/>
      <c r="C103" s="134"/>
      <c r="D103" s="117"/>
      <c r="E103" s="117"/>
      <c r="F103" s="31">
        <v>0</v>
      </c>
      <c r="G103" s="33">
        <v>0.08</v>
      </c>
      <c r="H103" s="32">
        <v>1000000</v>
      </c>
      <c r="I103" s="31">
        <v>1</v>
      </c>
      <c r="J103" s="32">
        <v>0</v>
      </c>
      <c r="K103" s="31">
        <v>1</v>
      </c>
      <c r="L103" s="32">
        <v>300000</v>
      </c>
      <c r="M103" s="31">
        <v>7.0000000000000007E-2</v>
      </c>
      <c r="N103" s="32">
        <v>150000</v>
      </c>
      <c r="O103" s="31">
        <v>0</v>
      </c>
      <c r="P103" s="32">
        <v>0</v>
      </c>
      <c r="Q103" s="107"/>
      <c r="R103" s="107"/>
      <c r="S103" s="21"/>
      <c r="T103" s="31">
        <f>IF(C104="노트북",7%,IF(C104="저장&amp;주변기기",9%,IF(C104="모니터",7%)))</f>
        <v>7.0000000000000007E-2</v>
      </c>
      <c r="U103" s="31">
        <v>0</v>
      </c>
      <c r="V103" s="31">
        <v>0.02</v>
      </c>
      <c r="W103" s="31">
        <f>IF(G103=0%,20%,0%)</f>
        <v>0</v>
      </c>
      <c r="X103" s="30">
        <v>0</v>
      </c>
      <c r="Y103" s="30">
        <v>1</v>
      </c>
      <c r="Z103" s="53">
        <v>1</v>
      </c>
      <c r="AA103" s="29">
        <v>0.5</v>
      </c>
      <c r="AB103" s="107"/>
      <c r="AC103" s="107"/>
      <c r="AD103" s="107"/>
      <c r="AE103" s="107"/>
      <c r="AF103" s="107"/>
      <c r="AG103" s="117"/>
      <c r="AH103" s="119"/>
      <c r="AI103" s="121"/>
      <c r="AJ103" s="55" t="s">
        <v>52</v>
      </c>
      <c r="AK103" s="56">
        <f>AJ102-AK102</f>
        <v>0.13042261564820112</v>
      </c>
      <c r="AM103" s="107"/>
      <c r="AN103" s="107"/>
      <c r="AO103" s="107"/>
      <c r="AP103" s="107"/>
      <c r="AQ103" s="107"/>
      <c r="AR103" s="107"/>
      <c r="AS103" s="39"/>
      <c r="AT103" s="107"/>
      <c r="AU103" s="117"/>
      <c r="AV103" s="107"/>
      <c r="AW103" s="107"/>
      <c r="AY103" s="109"/>
      <c r="AZ103" s="109"/>
      <c r="BB103" s="107"/>
    </row>
    <row r="104" spans="1:54" ht="27" customHeight="1" x14ac:dyDescent="0.3">
      <c r="A104" s="28" t="s">
        <v>53</v>
      </c>
      <c r="B104" s="38" t="s">
        <v>35</v>
      </c>
      <c r="C104" s="27" t="s">
        <v>0</v>
      </c>
      <c r="D104" s="26">
        <v>4514865274</v>
      </c>
      <c r="E104" s="25">
        <v>1751000</v>
      </c>
      <c r="F104" s="24">
        <f>ROUNDDOWN(E104/(1-F103),-1)</f>
        <v>1751000</v>
      </c>
      <c r="G104" s="110">
        <f>ROUNDDOWN(IF(F104*G103&gt;H103,H103,F104*G103),-1)</f>
        <v>140080</v>
      </c>
      <c r="H104" s="111"/>
      <c r="I104" s="112">
        <f>ROUNDDOWN(IF(F104*I103&gt;J103,J103,F104*I103),-1)</f>
        <v>0</v>
      </c>
      <c r="J104" s="113"/>
      <c r="K104" s="112">
        <f>ROUNDDOWN(IF(F104*K103&gt;L103,L103,F104*K103),-1)</f>
        <v>300000</v>
      </c>
      <c r="L104" s="113"/>
      <c r="M104" s="110">
        <f>ROUNDDOWN(IF(Q104*M103&gt;N103,N103,Q104*M103),-1)</f>
        <v>91760</v>
      </c>
      <c r="N104" s="111"/>
      <c r="O104" s="110">
        <f>ROUNDDOWN(IF(F104*O103&gt;P103,P103,F104*O103),-1)</f>
        <v>0</v>
      </c>
      <c r="P104" s="111"/>
      <c r="Q104" s="23">
        <f>F104-G104-I104-K104</f>
        <v>1310920</v>
      </c>
      <c r="R104" s="22">
        <f>F104-G104-I104-K104-M104-O104</f>
        <v>1219160</v>
      </c>
      <c r="S104" s="21"/>
      <c r="T104" s="20">
        <f>F104*T103</f>
        <v>122570.00000000001</v>
      </c>
      <c r="U104" s="20">
        <f>F104*U103</f>
        <v>0</v>
      </c>
      <c r="V104" s="20">
        <f>(F104-I104)*V103</f>
        <v>35020</v>
      </c>
      <c r="W104" s="19">
        <f>(F104*F103)*W103</f>
        <v>0</v>
      </c>
      <c r="X104" s="19">
        <f>G104*X103</f>
        <v>0</v>
      </c>
      <c r="Y104" s="19">
        <f>I104*Y103</f>
        <v>0</v>
      </c>
      <c r="Z104" s="19">
        <f>K104*Z103</f>
        <v>300000</v>
      </c>
      <c r="AA104" s="19">
        <f>M104*AA103</f>
        <v>45880</v>
      </c>
      <c r="AB104" s="19">
        <v>0</v>
      </c>
      <c r="AC104" s="16">
        <v>8000</v>
      </c>
      <c r="AD104" s="18">
        <f>F104-T104-U104-V104-W104-AA104-X104-Y104-Z104-AB104</f>
        <v>1247530</v>
      </c>
      <c r="AE104" s="18">
        <f>F104-T104-U104-V104-W104-X104-Y104-Z104-AA104-AB104-AC104</f>
        <v>1239530</v>
      </c>
      <c r="AF104" s="17">
        <f>AE104-AG104</f>
        <v>-170470</v>
      </c>
      <c r="AG104" s="16">
        <v>1410000</v>
      </c>
      <c r="AH104" s="15">
        <f>AF104/AG104</f>
        <v>-0.12090070921985815</v>
      </c>
      <c r="AI104" s="14">
        <f>1-R104/(AG104-AM104-AN104-AO104)</f>
        <v>-7.5702479338843887E-3</v>
      </c>
      <c r="AJ104" s="114">
        <f>(1-R104/F104)-(1-(AD104)/F104)</f>
        <v>1.6202170188463816E-2</v>
      </c>
      <c r="AK104" s="115"/>
      <c r="AM104" s="13">
        <v>200000</v>
      </c>
      <c r="AN104" s="12"/>
      <c r="AO104" s="12">
        <v>0</v>
      </c>
      <c r="AP104" s="12"/>
      <c r="AQ104" s="11">
        <f>AE104-(AG104-AM104-AN104-AO104-AP104)</f>
        <v>29530</v>
      </c>
      <c r="AR104" s="8">
        <f>AQ104/AG104</f>
        <v>2.0943262411347519E-2</v>
      </c>
      <c r="AT104" s="10">
        <v>0</v>
      </c>
      <c r="AU104" s="10">
        <v>0</v>
      </c>
      <c r="AV104" s="9">
        <f>AQ104-AT104-AU104</f>
        <v>29530</v>
      </c>
      <c r="AW104" s="8">
        <f>AV104/AG104</f>
        <v>2.0943262411347519E-2</v>
      </c>
      <c r="AY104" s="49"/>
      <c r="AZ104" s="50"/>
      <c r="BB104" s="6"/>
    </row>
    <row r="105" spans="1:54" x14ac:dyDescent="0.3">
      <c r="E105" s="5">
        <v>1499000</v>
      </c>
      <c r="F105" s="4">
        <f>ROUNDDOWN(E105/(1-F103),-1)</f>
        <v>1499000</v>
      </c>
      <c r="G105" s="138">
        <f>ROUNDDOWN(IF(F105*G103&gt;H103,H103,F105*G103),-1)</f>
        <v>119920</v>
      </c>
      <c r="H105" s="138"/>
      <c r="J105" s="54">
        <f>F104*4%</f>
        <v>70040</v>
      </c>
      <c r="R105" s="4">
        <v>1199220</v>
      </c>
      <c r="X105" s="3">
        <f>G105*X103</f>
        <v>0</v>
      </c>
      <c r="Y105" s="3"/>
      <c r="Z105" s="3"/>
    </row>
    <row r="106" spans="1:54" x14ac:dyDescent="0.3">
      <c r="A106" s="43"/>
      <c r="B106" s="43"/>
      <c r="C106" s="43"/>
      <c r="D106" s="43"/>
      <c r="E106" s="5"/>
    </row>
    <row r="107" spans="1:54" x14ac:dyDescent="0.3">
      <c r="A107" s="43"/>
      <c r="B107" s="43"/>
      <c r="C107" s="43"/>
      <c r="D107" s="43"/>
      <c r="E107" s="5"/>
    </row>
    <row r="108" spans="1:54" ht="27" customHeight="1" x14ac:dyDescent="0.3">
      <c r="A108" s="124" t="s">
        <v>34</v>
      </c>
      <c r="B108" s="127" t="s">
        <v>117</v>
      </c>
      <c r="C108" s="128"/>
      <c r="D108" s="128"/>
      <c r="E108" s="128"/>
      <c r="F108" s="128"/>
      <c r="G108" s="128"/>
      <c r="H108" s="128"/>
      <c r="I108" s="128"/>
      <c r="J108" s="128"/>
      <c r="K108" s="128"/>
      <c r="L108" s="128"/>
      <c r="M108" s="128"/>
      <c r="N108" s="128"/>
      <c r="O108" s="128"/>
      <c r="P108" s="128"/>
      <c r="Q108" s="128"/>
      <c r="R108" s="129"/>
      <c r="T108" s="130" t="s">
        <v>33</v>
      </c>
      <c r="U108" s="131"/>
      <c r="V108" s="131"/>
      <c r="W108" s="131"/>
      <c r="X108" s="131"/>
      <c r="Y108" s="131"/>
      <c r="Z108" s="131"/>
      <c r="AA108" s="131"/>
      <c r="AB108" s="131"/>
      <c r="AC108" s="131"/>
      <c r="AD108" s="131"/>
      <c r="AE108" s="131"/>
      <c r="AF108" s="131"/>
      <c r="AG108" s="131"/>
      <c r="AH108" s="132"/>
      <c r="AI108" s="37"/>
      <c r="AM108" s="130" t="s">
        <v>32</v>
      </c>
      <c r="AN108" s="131"/>
      <c r="AO108" s="131"/>
      <c r="AP108" s="131"/>
      <c r="AQ108" s="131"/>
      <c r="AR108" s="132"/>
      <c r="AT108" s="130" t="s">
        <v>31</v>
      </c>
      <c r="AU108" s="131"/>
      <c r="AV108" s="131"/>
      <c r="AW108" s="132"/>
      <c r="AY108" s="47" t="s">
        <v>36</v>
      </c>
      <c r="AZ108" s="48"/>
      <c r="BB108" s="36"/>
    </row>
    <row r="109" spans="1:54" ht="32.25" customHeight="1" x14ac:dyDescent="0.3">
      <c r="A109" s="125"/>
      <c r="B109" s="133" t="s">
        <v>30</v>
      </c>
      <c r="C109" s="133" t="s">
        <v>29</v>
      </c>
      <c r="D109" s="116" t="s">
        <v>28</v>
      </c>
      <c r="E109" s="116" t="s">
        <v>27</v>
      </c>
      <c r="F109" s="34" t="s">
        <v>26</v>
      </c>
      <c r="G109" s="122" t="s">
        <v>63</v>
      </c>
      <c r="H109" s="123"/>
      <c r="I109" s="122" t="s">
        <v>50</v>
      </c>
      <c r="J109" s="123"/>
      <c r="K109" s="122" t="s">
        <v>62</v>
      </c>
      <c r="L109" s="123"/>
      <c r="M109" s="122" t="s">
        <v>25</v>
      </c>
      <c r="N109" s="123"/>
      <c r="O109" s="122" t="s">
        <v>24</v>
      </c>
      <c r="P109" s="123"/>
      <c r="Q109" s="106" t="s">
        <v>23</v>
      </c>
      <c r="R109" s="106" t="s">
        <v>22</v>
      </c>
      <c r="S109" s="21"/>
      <c r="T109" s="34" t="s">
        <v>21</v>
      </c>
      <c r="U109" s="34" t="s">
        <v>20</v>
      </c>
      <c r="V109" s="34" t="s">
        <v>95</v>
      </c>
      <c r="W109" s="34" t="s">
        <v>19</v>
      </c>
      <c r="X109" s="34" t="s">
        <v>18</v>
      </c>
      <c r="Y109" s="34" t="s">
        <v>48</v>
      </c>
      <c r="Z109" s="34" t="s">
        <v>49</v>
      </c>
      <c r="AA109" s="34" t="s">
        <v>17</v>
      </c>
      <c r="AB109" s="106" t="s">
        <v>16</v>
      </c>
      <c r="AC109" s="106" t="s">
        <v>15</v>
      </c>
      <c r="AD109" s="106" t="s">
        <v>14</v>
      </c>
      <c r="AE109" s="106" t="s">
        <v>13</v>
      </c>
      <c r="AF109" s="106" t="s">
        <v>12</v>
      </c>
      <c r="AG109" s="116" t="s">
        <v>11</v>
      </c>
      <c r="AH109" s="118" t="s">
        <v>10</v>
      </c>
      <c r="AI109" s="120" t="s">
        <v>9</v>
      </c>
      <c r="AJ109" s="35">
        <f>(1-R111/F111)</f>
        <v>0.27422522103303859</v>
      </c>
      <c r="AK109" s="35">
        <f>1-(AD111+AM111)/F111</f>
        <v>0.25691251744997678</v>
      </c>
      <c r="AM109" s="106" t="s">
        <v>8</v>
      </c>
      <c r="AN109" s="106" t="s">
        <v>7</v>
      </c>
      <c r="AO109" s="106" t="s">
        <v>37</v>
      </c>
      <c r="AP109" s="106" t="s">
        <v>38</v>
      </c>
      <c r="AQ109" s="106" t="s">
        <v>6</v>
      </c>
      <c r="AR109" s="106" t="s">
        <v>5</v>
      </c>
      <c r="AT109" s="106" t="s">
        <v>4</v>
      </c>
      <c r="AU109" s="106" t="s">
        <v>3</v>
      </c>
      <c r="AV109" s="106" t="s">
        <v>2</v>
      </c>
      <c r="AW109" s="106" t="s">
        <v>1</v>
      </c>
      <c r="AY109" s="108"/>
      <c r="AZ109" s="108"/>
      <c r="BB109" s="106"/>
    </row>
    <row r="110" spans="1:54" ht="27" customHeight="1" x14ac:dyDescent="0.3">
      <c r="A110" s="126"/>
      <c r="B110" s="134"/>
      <c r="C110" s="134"/>
      <c r="D110" s="117"/>
      <c r="E110" s="117"/>
      <c r="F110" s="31">
        <v>0</v>
      </c>
      <c r="G110" s="33">
        <v>0.08</v>
      </c>
      <c r="H110" s="32">
        <v>1000000</v>
      </c>
      <c r="I110" s="31">
        <v>1</v>
      </c>
      <c r="J110" s="32">
        <v>0</v>
      </c>
      <c r="K110" s="31">
        <v>1</v>
      </c>
      <c r="L110" s="32">
        <v>300000</v>
      </c>
      <c r="M110" s="31">
        <v>7.0000000000000007E-2</v>
      </c>
      <c r="N110" s="32">
        <v>150000</v>
      </c>
      <c r="O110" s="31">
        <v>0</v>
      </c>
      <c r="P110" s="32">
        <v>0</v>
      </c>
      <c r="Q110" s="107"/>
      <c r="R110" s="107"/>
      <c r="S110" s="21"/>
      <c r="T110" s="31">
        <f>IF(C111="노트북",7%,IF(C111="저장&amp;주변기기",9%,IF(C111="모니터",7%)))</f>
        <v>7.0000000000000007E-2</v>
      </c>
      <c r="U110" s="31">
        <v>0</v>
      </c>
      <c r="V110" s="31">
        <v>0.02</v>
      </c>
      <c r="W110" s="31">
        <f>IF(G110=0%,20%,0%)</f>
        <v>0</v>
      </c>
      <c r="X110" s="30">
        <v>0</v>
      </c>
      <c r="Y110" s="30">
        <v>1</v>
      </c>
      <c r="Z110" s="53">
        <v>1</v>
      </c>
      <c r="AA110" s="29">
        <v>0.5</v>
      </c>
      <c r="AB110" s="107"/>
      <c r="AC110" s="107"/>
      <c r="AD110" s="107"/>
      <c r="AE110" s="107"/>
      <c r="AF110" s="107"/>
      <c r="AG110" s="117"/>
      <c r="AH110" s="119"/>
      <c r="AI110" s="121"/>
      <c r="AJ110" s="55" t="s">
        <v>52</v>
      </c>
      <c r="AK110" s="56">
        <f>AJ109-AK109</f>
        <v>1.7312703583061806E-2</v>
      </c>
      <c r="AM110" s="107"/>
      <c r="AN110" s="107"/>
      <c r="AO110" s="107"/>
      <c r="AP110" s="107"/>
      <c r="AQ110" s="107"/>
      <c r="AR110" s="107"/>
      <c r="AS110" s="39"/>
      <c r="AT110" s="107"/>
      <c r="AU110" s="117"/>
      <c r="AV110" s="107"/>
      <c r="AW110" s="107"/>
      <c r="AY110" s="109"/>
      <c r="AZ110" s="109"/>
      <c r="BB110" s="107"/>
    </row>
    <row r="111" spans="1:54" ht="27" customHeight="1" x14ac:dyDescent="0.3">
      <c r="A111" s="28" t="s">
        <v>73</v>
      </c>
      <c r="B111" s="38" t="s">
        <v>35</v>
      </c>
      <c r="C111" s="27" t="s">
        <v>0</v>
      </c>
      <c r="D111" s="26">
        <v>4604254115</v>
      </c>
      <c r="E111" s="25">
        <v>2149000</v>
      </c>
      <c r="F111" s="24">
        <f>ROUNDDOWN(E111/(1-F110),-1)</f>
        <v>2149000</v>
      </c>
      <c r="G111" s="110">
        <f>ROUNDDOWN(IF(F111*G110&gt;H110,H110,F111*G110),-1)</f>
        <v>171920</v>
      </c>
      <c r="H111" s="111"/>
      <c r="I111" s="112">
        <f>ROUNDDOWN(IF(F111*I110&gt;J110,J110,F111*I110),-1)</f>
        <v>0</v>
      </c>
      <c r="J111" s="113"/>
      <c r="K111" s="112">
        <f>ROUNDDOWN(IF(F111*K110&gt;L110,L110,F111*K110),-1)</f>
        <v>300000</v>
      </c>
      <c r="L111" s="113"/>
      <c r="M111" s="110">
        <f>ROUNDDOWN(IF(Q111*M110&gt;N110,N110,Q111*M110),-1)</f>
        <v>117390</v>
      </c>
      <c r="N111" s="111"/>
      <c r="O111" s="110">
        <f>ROUNDDOWN(IF(F111*O110&gt;P110,P110,F111*O110),-1)</f>
        <v>0</v>
      </c>
      <c r="P111" s="111"/>
      <c r="Q111" s="23">
        <f>F111-G111-I111-K111</f>
        <v>1677080</v>
      </c>
      <c r="R111" s="22">
        <f>F111-G111-I111-K111-M111-O111</f>
        <v>1559690</v>
      </c>
      <c r="S111" s="21"/>
      <c r="T111" s="20">
        <f>F111*T110</f>
        <v>150430</v>
      </c>
      <c r="U111" s="20">
        <f>F111*U110</f>
        <v>0</v>
      </c>
      <c r="V111" s="20">
        <f>(F111-I111)*V110</f>
        <v>42980</v>
      </c>
      <c r="W111" s="19">
        <f>(F111*F110)*W110</f>
        <v>0</v>
      </c>
      <c r="X111" s="19">
        <f>G111*X110</f>
        <v>0</v>
      </c>
      <c r="Y111" s="19">
        <f>I111*Y110</f>
        <v>0</v>
      </c>
      <c r="Z111" s="19">
        <f>K111*Z110</f>
        <v>300000</v>
      </c>
      <c r="AA111" s="19">
        <f>M111*AA110</f>
        <v>58695</v>
      </c>
      <c r="AB111" s="19">
        <v>0</v>
      </c>
      <c r="AC111" s="16">
        <v>8000</v>
      </c>
      <c r="AD111" s="18">
        <f>F111-T111-U111-V111-W111-AA111-X111-Y111-Z111-AB111</f>
        <v>1596895</v>
      </c>
      <c r="AE111" s="18">
        <f>F111-T111-U111-V111-W111-X111-Y111-Z111-AA111-AB111-AC111</f>
        <v>1588895</v>
      </c>
      <c r="AF111" s="17">
        <f>AE111-AG111</f>
        <v>38895</v>
      </c>
      <c r="AG111" s="16">
        <v>1550000</v>
      </c>
      <c r="AH111" s="15">
        <f>AF111/AG111</f>
        <v>2.5093548387096775E-2</v>
      </c>
      <c r="AI111" s="14">
        <f>1-R111/(AG111-AM111-AN111-AO111)</f>
        <v>-6.2516129032257339E-3</v>
      </c>
      <c r="AJ111" s="114">
        <f>(1-R111/F111)-(1-(AD111)/F111)</f>
        <v>1.7312703583061806E-2</v>
      </c>
      <c r="AK111" s="115"/>
      <c r="AM111" s="13"/>
      <c r="AN111" s="12"/>
      <c r="AO111" s="12">
        <v>0</v>
      </c>
      <c r="AP111" s="12"/>
      <c r="AQ111" s="11">
        <f>AE111-(AG111-AM111-AN111-AO111-AP111)</f>
        <v>38895</v>
      </c>
      <c r="AR111" s="8">
        <f>AQ111/AG111</f>
        <v>2.5093548387096775E-2</v>
      </c>
      <c r="AT111" s="10">
        <v>0</v>
      </c>
      <c r="AU111" s="10">
        <v>0</v>
      </c>
      <c r="AV111" s="9">
        <f>AQ111-AT111-AU111</f>
        <v>38895</v>
      </c>
      <c r="AW111" s="8">
        <f>AV111/AG111</f>
        <v>2.5093548387096775E-2</v>
      </c>
      <c r="AY111" s="49"/>
      <c r="AZ111" s="50"/>
      <c r="BB111" s="6"/>
    </row>
    <row r="112" spans="1:54" x14ac:dyDescent="0.3">
      <c r="E112" s="5">
        <v>1649000</v>
      </c>
      <c r="F112" s="4">
        <f>ROUNDDOWN(E112/(1-F110),-1)</f>
        <v>1649000</v>
      </c>
      <c r="G112" s="138">
        <f>ROUNDDOWN(IF(F112*G110&gt;H110,H110,F112*G110),-1)</f>
        <v>131920</v>
      </c>
      <c r="H112" s="138"/>
      <c r="J112" s="54">
        <f>F111*4%</f>
        <v>85960</v>
      </c>
      <c r="R112" s="4">
        <v>1549160</v>
      </c>
      <c r="X112" s="3">
        <f>G112*X110</f>
        <v>0</v>
      </c>
      <c r="Y112" s="3"/>
      <c r="Z112" s="3"/>
      <c r="AG112" s="57"/>
    </row>
    <row r="113" spans="1:54" x14ac:dyDescent="0.3">
      <c r="E113" s="5"/>
      <c r="F113" s="4"/>
      <c r="G113" s="42"/>
      <c r="H113" s="42"/>
      <c r="J113" s="54"/>
      <c r="R113" s="4"/>
      <c r="X113" s="3"/>
      <c r="Y113" s="3"/>
      <c r="Z113" s="3"/>
      <c r="AG113" s="57"/>
    </row>
    <row r="114" spans="1:54" x14ac:dyDescent="0.3">
      <c r="E114" s="5"/>
      <c r="F114" s="4"/>
      <c r="G114" s="42"/>
      <c r="H114" s="42"/>
      <c r="J114" s="54"/>
      <c r="R114" s="4"/>
      <c r="X114" s="3"/>
      <c r="Y114" s="3"/>
      <c r="Z114" s="3"/>
      <c r="AG114" s="57"/>
    </row>
    <row r="115" spans="1:54" x14ac:dyDescent="0.3">
      <c r="E115" s="5"/>
      <c r="F115" s="4"/>
      <c r="G115" s="42"/>
      <c r="H115" s="42"/>
      <c r="J115" s="54"/>
      <c r="X115" s="3"/>
      <c r="Y115" s="3"/>
      <c r="Z115" s="3"/>
    </row>
    <row r="116" spans="1:54" s="87" customFormat="1" ht="19.5" x14ac:dyDescent="0.3">
      <c r="A116" s="84" t="s">
        <v>79</v>
      </c>
      <c r="B116" s="85"/>
      <c r="C116" s="85"/>
      <c r="D116" s="85"/>
      <c r="E116" s="86"/>
      <c r="AH116" s="88"/>
      <c r="AI116" s="88"/>
      <c r="AJ116" s="88"/>
      <c r="AK116" s="88"/>
    </row>
    <row r="117" spans="1:54" x14ac:dyDescent="0.3">
      <c r="A117" s="43"/>
      <c r="B117" s="43"/>
      <c r="C117" s="43"/>
      <c r="D117" s="43"/>
      <c r="E117" s="5"/>
    </row>
    <row r="118" spans="1:54" ht="27" customHeight="1" x14ac:dyDescent="0.3">
      <c r="A118" s="124" t="s">
        <v>34</v>
      </c>
      <c r="B118" s="127" t="s">
        <v>117</v>
      </c>
      <c r="C118" s="128"/>
      <c r="D118" s="128"/>
      <c r="E118" s="128"/>
      <c r="F118" s="128"/>
      <c r="G118" s="128"/>
      <c r="H118" s="128"/>
      <c r="I118" s="128"/>
      <c r="J118" s="128"/>
      <c r="K118" s="128"/>
      <c r="L118" s="128"/>
      <c r="M118" s="128"/>
      <c r="N118" s="128"/>
      <c r="O118" s="128"/>
      <c r="P118" s="128"/>
      <c r="Q118" s="128"/>
      <c r="R118" s="129"/>
      <c r="T118" s="130" t="s">
        <v>33</v>
      </c>
      <c r="U118" s="131"/>
      <c r="V118" s="131"/>
      <c r="W118" s="131"/>
      <c r="X118" s="131"/>
      <c r="Y118" s="131"/>
      <c r="Z118" s="131"/>
      <c r="AA118" s="131"/>
      <c r="AB118" s="131"/>
      <c r="AC118" s="131"/>
      <c r="AD118" s="131"/>
      <c r="AE118" s="131"/>
      <c r="AF118" s="131"/>
      <c r="AG118" s="131"/>
      <c r="AH118" s="132"/>
      <c r="AI118" s="37"/>
      <c r="AM118" s="130" t="s">
        <v>32</v>
      </c>
      <c r="AN118" s="131"/>
      <c r="AO118" s="131"/>
      <c r="AP118" s="131"/>
      <c r="AQ118" s="131"/>
      <c r="AR118" s="132"/>
      <c r="AT118" s="130" t="s">
        <v>31</v>
      </c>
      <c r="AU118" s="131"/>
      <c r="AV118" s="131"/>
      <c r="AW118" s="132"/>
      <c r="AY118" s="47" t="s">
        <v>36</v>
      </c>
      <c r="AZ118" s="48"/>
      <c r="BB118" s="36"/>
    </row>
    <row r="119" spans="1:54" ht="32.25" customHeight="1" x14ac:dyDescent="0.3">
      <c r="A119" s="125"/>
      <c r="B119" s="133" t="s">
        <v>30</v>
      </c>
      <c r="C119" s="133" t="s">
        <v>29</v>
      </c>
      <c r="D119" s="116" t="s">
        <v>28</v>
      </c>
      <c r="E119" s="116" t="s">
        <v>27</v>
      </c>
      <c r="F119" s="34" t="s">
        <v>26</v>
      </c>
      <c r="G119" s="122" t="s">
        <v>63</v>
      </c>
      <c r="H119" s="123"/>
      <c r="I119" s="122" t="s">
        <v>50</v>
      </c>
      <c r="J119" s="123"/>
      <c r="K119" s="122" t="s">
        <v>62</v>
      </c>
      <c r="L119" s="123"/>
      <c r="M119" s="122" t="s">
        <v>25</v>
      </c>
      <c r="N119" s="123"/>
      <c r="O119" s="122" t="s">
        <v>24</v>
      </c>
      <c r="P119" s="123"/>
      <c r="Q119" s="106" t="s">
        <v>23</v>
      </c>
      <c r="R119" s="106" t="s">
        <v>22</v>
      </c>
      <c r="S119" s="21"/>
      <c r="T119" s="34" t="s">
        <v>21</v>
      </c>
      <c r="U119" s="34" t="s">
        <v>20</v>
      </c>
      <c r="V119" s="34" t="s">
        <v>95</v>
      </c>
      <c r="W119" s="34" t="s">
        <v>19</v>
      </c>
      <c r="X119" s="34" t="s">
        <v>18</v>
      </c>
      <c r="Y119" s="34" t="s">
        <v>48</v>
      </c>
      <c r="Z119" s="34" t="s">
        <v>49</v>
      </c>
      <c r="AA119" s="34" t="s">
        <v>17</v>
      </c>
      <c r="AB119" s="106" t="s">
        <v>16</v>
      </c>
      <c r="AC119" s="106" t="s">
        <v>15</v>
      </c>
      <c r="AD119" s="106" t="s">
        <v>14</v>
      </c>
      <c r="AE119" s="106" t="s">
        <v>13</v>
      </c>
      <c r="AF119" s="106" t="s">
        <v>12</v>
      </c>
      <c r="AG119" s="116" t="s">
        <v>11</v>
      </c>
      <c r="AH119" s="118" t="s">
        <v>10</v>
      </c>
      <c r="AI119" s="120" t="s">
        <v>9</v>
      </c>
      <c r="AJ119" s="35">
        <f>(1-R121/F121)</f>
        <v>0.1347245530828165</v>
      </c>
      <c r="AK119" s="35">
        <f>1-(AD121+AM121)/F121</f>
        <v>0.11736227654140829</v>
      </c>
      <c r="AM119" s="106" t="s">
        <v>8</v>
      </c>
      <c r="AN119" s="106" t="s">
        <v>7</v>
      </c>
      <c r="AO119" s="106" t="s">
        <v>37</v>
      </c>
      <c r="AP119" s="106" t="s">
        <v>38</v>
      </c>
      <c r="AQ119" s="106" t="s">
        <v>6</v>
      </c>
      <c r="AR119" s="106" t="s">
        <v>5</v>
      </c>
      <c r="AT119" s="106" t="s">
        <v>4</v>
      </c>
      <c r="AU119" s="106" t="s">
        <v>3</v>
      </c>
      <c r="AV119" s="106" t="s">
        <v>2</v>
      </c>
      <c r="AW119" s="106" t="s">
        <v>1</v>
      </c>
      <c r="AY119" s="108"/>
      <c r="AZ119" s="108"/>
      <c r="BB119" s="106"/>
    </row>
    <row r="120" spans="1:54" ht="27" customHeight="1" x14ac:dyDescent="0.3">
      <c r="A120" s="126"/>
      <c r="B120" s="134"/>
      <c r="C120" s="134"/>
      <c r="D120" s="117"/>
      <c r="E120" s="117"/>
      <c r="F120" s="31">
        <v>0</v>
      </c>
      <c r="G120" s="33">
        <v>0.08</v>
      </c>
      <c r="H120" s="32">
        <v>1000000</v>
      </c>
      <c r="I120" s="31">
        <v>0</v>
      </c>
      <c r="J120" s="32">
        <v>0</v>
      </c>
      <c r="K120" s="31">
        <v>1</v>
      </c>
      <c r="L120" s="32">
        <v>0</v>
      </c>
      <c r="M120" s="31">
        <v>7.0000000000000007E-2</v>
      </c>
      <c r="N120" s="32">
        <v>150000</v>
      </c>
      <c r="O120" s="31">
        <v>0</v>
      </c>
      <c r="P120" s="32">
        <v>0</v>
      </c>
      <c r="Q120" s="107"/>
      <c r="R120" s="107"/>
      <c r="S120" s="21"/>
      <c r="T120" s="31">
        <f>IF(C121="노트북",7%,IF(C121="저장&amp;주변기기",9%,IF(C121="모니터",7%)))</f>
        <v>7.0000000000000007E-2</v>
      </c>
      <c r="U120" s="31">
        <v>0</v>
      </c>
      <c r="V120" s="31">
        <v>0.02</v>
      </c>
      <c r="W120" s="31">
        <f>IF(G120=0%,20%,0%)</f>
        <v>0</v>
      </c>
      <c r="X120" s="30">
        <v>0</v>
      </c>
      <c r="Y120" s="30">
        <v>1</v>
      </c>
      <c r="Z120" s="53">
        <v>1</v>
      </c>
      <c r="AA120" s="29">
        <v>0.5</v>
      </c>
      <c r="AB120" s="107"/>
      <c r="AC120" s="107"/>
      <c r="AD120" s="107"/>
      <c r="AE120" s="107"/>
      <c r="AF120" s="107"/>
      <c r="AG120" s="117"/>
      <c r="AH120" s="119"/>
      <c r="AI120" s="121"/>
      <c r="AJ120" s="55" t="s">
        <v>52</v>
      </c>
      <c r="AK120" s="56">
        <f>AJ119-AK119</f>
        <v>1.7362276541408206E-2</v>
      </c>
      <c r="AM120" s="107"/>
      <c r="AN120" s="107"/>
      <c r="AO120" s="107"/>
      <c r="AP120" s="107"/>
      <c r="AQ120" s="107"/>
      <c r="AR120" s="107"/>
      <c r="AS120" s="39"/>
      <c r="AT120" s="107"/>
      <c r="AU120" s="117"/>
      <c r="AV120" s="107"/>
      <c r="AW120" s="107"/>
      <c r="AY120" s="109"/>
      <c r="AZ120" s="109"/>
      <c r="BB120" s="107"/>
    </row>
    <row r="121" spans="1:54" ht="27" customHeight="1" x14ac:dyDescent="0.3">
      <c r="A121" s="51" t="s">
        <v>81</v>
      </c>
      <c r="B121" s="38" t="s">
        <v>35</v>
      </c>
      <c r="C121" s="27" t="s">
        <v>80</v>
      </c>
      <c r="D121" s="26">
        <v>4627000479</v>
      </c>
      <c r="E121" s="25">
        <v>2741000</v>
      </c>
      <c r="F121" s="24">
        <f>ROUNDDOWN(E121/(1-F120),-1)</f>
        <v>2741000</v>
      </c>
      <c r="G121" s="110">
        <f>ROUNDDOWN(IF(F121*G120&gt;H120,H120,F121*G120),-1)</f>
        <v>219280</v>
      </c>
      <c r="H121" s="111"/>
      <c r="I121" s="112">
        <f>ROUNDDOWN(IF(F121*I120&gt;J120,J120,F121*I120),-1)</f>
        <v>0</v>
      </c>
      <c r="J121" s="113"/>
      <c r="K121" s="112">
        <f>ROUNDDOWN(IF(F121*K120&gt;L120,L120,F121*K120),-1)</f>
        <v>0</v>
      </c>
      <c r="L121" s="113"/>
      <c r="M121" s="110">
        <f>ROUNDDOWN(IF(Q121*M120&gt;N120,N120,Q121*M120),-1)</f>
        <v>150000</v>
      </c>
      <c r="N121" s="111"/>
      <c r="O121" s="110">
        <f>ROUNDDOWN(IF(F121*O120&gt;P120,P120,F121*O120),-1)</f>
        <v>0</v>
      </c>
      <c r="P121" s="111"/>
      <c r="Q121" s="23">
        <f>F121-G121-I121-K121</f>
        <v>2521720</v>
      </c>
      <c r="R121" s="22">
        <f>F121-G121-I121-K121-M121-O121</f>
        <v>2371720</v>
      </c>
      <c r="S121" s="21"/>
      <c r="T121" s="20">
        <f>F121*T120</f>
        <v>191870.00000000003</v>
      </c>
      <c r="U121" s="20">
        <f>F121*U120</f>
        <v>0</v>
      </c>
      <c r="V121" s="20">
        <f>(F121-I121)*V120</f>
        <v>54820</v>
      </c>
      <c r="W121" s="19">
        <f>(F121*F120)*W120</f>
        <v>0</v>
      </c>
      <c r="X121" s="19">
        <f>G121*X120</f>
        <v>0</v>
      </c>
      <c r="Y121" s="19">
        <f>I121*Y120</f>
        <v>0</v>
      </c>
      <c r="Z121" s="19">
        <f>K121*Z120</f>
        <v>0</v>
      </c>
      <c r="AA121" s="19">
        <f>M121*AA120</f>
        <v>75000</v>
      </c>
      <c r="AB121" s="19">
        <v>0</v>
      </c>
      <c r="AC121" s="16">
        <v>8000</v>
      </c>
      <c r="AD121" s="18">
        <f>F121-T121-U121-V121-W121-AA121-X121-Y121-Z121-AB121</f>
        <v>2419310</v>
      </c>
      <c r="AE121" s="18">
        <f>F121-T121-U121-V121-W121-X121-Y121-Z121-AA121-AB121-AC121</f>
        <v>2411310</v>
      </c>
      <c r="AF121" s="17">
        <f>AE121-AG121</f>
        <v>532310</v>
      </c>
      <c r="AG121" s="16">
        <v>1879000</v>
      </c>
      <c r="AH121" s="15">
        <f>AF121/AG121</f>
        <v>0.2832943054816392</v>
      </c>
      <c r="AI121" s="14">
        <f>1-R121/(AG121-AM121-AN121-AO121)</f>
        <v>-0.26222458754656741</v>
      </c>
      <c r="AJ121" s="114">
        <f>(1-R121/F121)-(1-(AD121)/F121)</f>
        <v>1.7362276541408206E-2</v>
      </c>
      <c r="AK121" s="115"/>
      <c r="AM121" s="13">
        <v>0</v>
      </c>
      <c r="AN121" s="12">
        <f>X121*AN120</f>
        <v>0</v>
      </c>
      <c r="AO121" s="12">
        <v>0</v>
      </c>
      <c r="AP121" s="12"/>
      <c r="AQ121" s="11">
        <f>AE121-(AG121-AM121-AN121-AO121-AP121)</f>
        <v>532310</v>
      </c>
      <c r="AR121" s="8">
        <f>AQ121/AG121</f>
        <v>0.2832943054816392</v>
      </c>
      <c r="AT121" s="10">
        <v>0</v>
      </c>
      <c r="AU121" s="10">
        <v>0</v>
      </c>
      <c r="AV121" s="9">
        <f>AQ121-AT121-AU121</f>
        <v>532310</v>
      </c>
      <c r="AW121" s="8">
        <f>AV121/AG121</f>
        <v>0.2832943054816392</v>
      </c>
      <c r="AY121" s="49"/>
      <c r="AZ121" s="50"/>
      <c r="BB121" s="6"/>
    </row>
    <row r="122" spans="1:54" x14ac:dyDescent="0.3">
      <c r="E122" s="4">
        <v>2099000</v>
      </c>
      <c r="F122" s="4">
        <f>ROUNDDOWN(E122/(1-F120),-1)</f>
        <v>2099000</v>
      </c>
      <c r="G122" s="138">
        <f>ROUNDDOWN(IF(F122*G120&gt;H120,H120,F122*G120),-1)</f>
        <v>167920</v>
      </c>
      <c r="H122" s="138"/>
      <c r="J122" s="54">
        <f>F121*4%</f>
        <v>109640</v>
      </c>
      <c r="R122" s="4">
        <v>1949000</v>
      </c>
      <c r="X122" s="3">
        <f>G122*X120</f>
        <v>0</v>
      </c>
      <c r="Y122" s="3"/>
      <c r="Z122" s="3"/>
    </row>
    <row r="123" spans="1:54" x14ac:dyDescent="0.3">
      <c r="E123" s="4"/>
      <c r="F123" s="4"/>
      <c r="G123" s="42"/>
      <c r="H123" s="42"/>
      <c r="J123" s="54"/>
      <c r="R123" s="4"/>
      <c r="X123" s="3"/>
      <c r="Y123" s="3"/>
      <c r="Z123" s="3"/>
    </row>
    <row r="124" spans="1:54" x14ac:dyDescent="0.3">
      <c r="A124" s="43"/>
      <c r="B124" s="43"/>
      <c r="C124" s="43"/>
      <c r="D124" s="43"/>
      <c r="E124" s="5"/>
    </row>
    <row r="126" spans="1:54" s="59" customFormat="1" ht="19.5" x14ac:dyDescent="0.3">
      <c r="A126" s="58" t="s">
        <v>46</v>
      </c>
      <c r="AH126" s="60"/>
      <c r="AI126" s="60"/>
      <c r="AJ126" s="60"/>
      <c r="AK126" s="60"/>
    </row>
    <row r="128" spans="1:54" ht="27" customHeight="1" x14ac:dyDescent="0.3">
      <c r="A128" s="124" t="s">
        <v>34</v>
      </c>
      <c r="B128" s="127" t="s">
        <v>117</v>
      </c>
      <c r="C128" s="128"/>
      <c r="D128" s="128"/>
      <c r="E128" s="128"/>
      <c r="F128" s="128"/>
      <c r="G128" s="128"/>
      <c r="H128" s="128"/>
      <c r="I128" s="128"/>
      <c r="J128" s="128"/>
      <c r="K128" s="128"/>
      <c r="L128" s="128"/>
      <c r="M128" s="128"/>
      <c r="N128" s="128"/>
      <c r="O128" s="128"/>
      <c r="P128" s="128"/>
      <c r="Q128" s="128"/>
      <c r="R128" s="129"/>
      <c r="T128" s="130" t="s">
        <v>33</v>
      </c>
      <c r="U128" s="131"/>
      <c r="V128" s="131"/>
      <c r="W128" s="131"/>
      <c r="X128" s="131"/>
      <c r="Y128" s="131"/>
      <c r="Z128" s="131"/>
      <c r="AA128" s="131"/>
      <c r="AB128" s="131"/>
      <c r="AC128" s="131"/>
      <c r="AD128" s="131"/>
      <c r="AE128" s="131"/>
      <c r="AF128" s="131"/>
      <c r="AG128" s="131"/>
      <c r="AH128" s="132"/>
      <c r="AI128" s="37"/>
      <c r="AM128" s="130" t="s">
        <v>32</v>
      </c>
      <c r="AN128" s="131"/>
      <c r="AO128" s="131"/>
      <c r="AP128" s="131"/>
      <c r="AQ128" s="131"/>
      <c r="AR128" s="132"/>
      <c r="AT128" s="130" t="s">
        <v>31</v>
      </c>
      <c r="AU128" s="131"/>
      <c r="AV128" s="131"/>
      <c r="AW128" s="132"/>
      <c r="AY128" s="36" t="s">
        <v>36</v>
      </c>
      <c r="AZ128" s="48"/>
      <c r="BA128" s="52"/>
      <c r="BB128" s="36"/>
    </row>
    <row r="129" spans="1:54" ht="32.25" customHeight="1" x14ac:dyDescent="0.3">
      <c r="A129" s="125"/>
      <c r="B129" s="133" t="s">
        <v>30</v>
      </c>
      <c r="C129" s="133" t="s">
        <v>29</v>
      </c>
      <c r="D129" s="116" t="s">
        <v>28</v>
      </c>
      <c r="E129" s="116" t="s">
        <v>27</v>
      </c>
      <c r="F129" s="34" t="s">
        <v>26</v>
      </c>
      <c r="G129" s="122" t="s">
        <v>63</v>
      </c>
      <c r="H129" s="123"/>
      <c r="I129" s="122" t="s">
        <v>50</v>
      </c>
      <c r="J129" s="123"/>
      <c r="K129" s="122" t="s">
        <v>62</v>
      </c>
      <c r="L129" s="123"/>
      <c r="M129" s="122" t="s">
        <v>25</v>
      </c>
      <c r="N129" s="123"/>
      <c r="O129" s="122" t="s">
        <v>24</v>
      </c>
      <c r="P129" s="123"/>
      <c r="Q129" s="106" t="s">
        <v>23</v>
      </c>
      <c r="R129" s="106" t="s">
        <v>22</v>
      </c>
      <c r="S129" s="21"/>
      <c r="T129" s="34" t="s">
        <v>21</v>
      </c>
      <c r="U129" s="34" t="s">
        <v>20</v>
      </c>
      <c r="V129" s="34" t="s">
        <v>95</v>
      </c>
      <c r="W129" s="34" t="s">
        <v>19</v>
      </c>
      <c r="X129" s="34" t="s">
        <v>18</v>
      </c>
      <c r="Y129" s="34" t="s">
        <v>48</v>
      </c>
      <c r="Z129" s="34" t="s">
        <v>49</v>
      </c>
      <c r="AA129" s="34" t="s">
        <v>17</v>
      </c>
      <c r="AB129" s="106" t="s">
        <v>16</v>
      </c>
      <c r="AC129" s="106" t="s">
        <v>15</v>
      </c>
      <c r="AD129" s="106" t="s">
        <v>14</v>
      </c>
      <c r="AE129" s="106" t="s">
        <v>13</v>
      </c>
      <c r="AF129" s="106" t="s">
        <v>12</v>
      </c>
      <c r="AG129" s="116" t="s">
        <v>11</v>
      </c>
      <c r="AH129" s="118" t="s">
        <v>10</v>
      </c>
      <c r="AI129" s="120" t="s">
        <v>9</v>
      </c>
      <c r="AJ129" s="35">
        <f>(1-R131/F131)</f>
        <v>0.28808281534128055</v>
      </c>
      <c r="AK129" s="35">
        <f>1-(AD131+AM131)/F131</f>
        <v>0.1880994307039543</v>
      </c>
      <c r="AM129" s="106" t="s">
        <v>8</v>
      </c>
      <c r="AN129" s="106" t="s">
        <v>7</v>
      </c>
      <c r="AO129" s="106" t="s">
        <v>37</v>
      </c>
      <c r="AP129" s="106" t="s">
        <v>38</v>
      </c>
      <c r="AQ129" s="106" t="s">
        <v>6</v>
      </c>
      <c r="AR129" s="106" t="s">
        <v>5</v>
      </c>
      <c r="AT129" s="106" t="s">
        <v>4</v>
      </c>
      <c r="AU129" s="106" t="s">
        <v>3</v>
      </c>
      <c r="AV129" s="106" t="s">
        <v>2</v>
      </c>
      <c r="AW129" s="106" t="s">
        <v>1</v>
      </c>
      <c r="AY129" s="106"/>
      <c r="AZ129" s="108"/>
      <c r="BA129" s="52"/>
      <c r="BB129" s="106"/>
    </row>
    <row r="130" spans="1:54" ht="27" customHeight="1" x14ac:dyDescent="0.3">
      <c r="A130" s="126"/>
      <c r="B130" s="134"/>
      <c r="C130" s="134"/>
      <c r="D130" s="117"/>
      <c r="E130" s="117"/>
      <c r="F130" s="31">
        <v>0</v>
      </c>
      <c r="G130" s="33">
        <v>0.08</v>
      </c>
      <c r="H130" s="32">
        <v>1000000</v>
      </c>
      <c r="I130" s="31">
        <v>0</v>
      </c>
      <c r="J130" s="32">
        <v>0</v>
      </c>
      <c r="K130" s="31">
        <v>1</v>
      </c>
      <c r="L130" s="32">
        <v>130000</v>
      </c>
      <c r="M130" s="31">
        <v>7.0000000000000007E-2</v>
      </c>
      <c r="N130" s="32">
        <v>70000</v>
      </c>
      <c r="O130" s="31">
        <v>0</v>
      </c>
      <c r="P130" s="32">
        <v>0</v>
      </c>
      <c r="Q130" s="107"/>
      <c r="R130" s="107"/>
      <c r="S130" s="21"/>
      <c r="T130" s="31">
        <f>IF(C131="노트북",7%,IF(C131="저장&amp;주변기기",9%,IF(C131="모니터",7%)))</f>
        <v>7.0000000000000007E-2</v>
      </c>
      <c r="U130" s="31">
        <v>0</v>
      </c>
      <c r="V130" s="31">
        <v>0.02</v>
      </c>
      <c r="W130" s="31">
        <f>IF(G130=0%,20%,0%)</f>
        <v>0</v>
      </c>
      <c r="X130" s="30">
        <v>0</v>
      </c>
      <c r="Y130" s="30">
        <v>1</v>
      </c>
      <c r="Z130" s="53">
        <v>0.92307600000000001</v>
      </c>
      <c r="AA130" s="29">
        <v>0.5</v>
      </c>
      <c r="AB130" s="107"/>
      <c r="AC130" s="107"/>
      <c r="AD130" s="107"/>
      <c r="AE130" s="107"/>
      <c r="AF130" s="107"/>
      <c r="AG130" s="117"/>
      <c r="AH130" s="119"/>
      <c r="AI130" s="121"/>
      <c r="AJ130" s="55" t="s">
        <v>52</v>
      </c>
      <c r="AK130" s="56">
        <f>AJ129-AK129</f>
        <v>9.9983384637326256E-2</v>
      </c>
      <c r="AM130" s="107"/>
      <c r="AN130" s="107"/>
      <c r="AO130" s="107"/>
      <c r="AP130" s="107"/>
      <c r="AQ130" s="107"/>
      <c r="AR130" s="107"/>
      <c r="AS130" s="39"/>
      <c r="AT130" s="107"/>
      <c r="AU130" s="107"/>
      <c r="AV130" s="107"/>
      <c r="AW130" s="107"/>
      <c r="AY130" s="107"/>
      <c r="AZ130" s="109"/>
      <c r="BA130" s="52"/>
      <c r="BB130" s="107"/>
    </row>
    <row r="131" spans="1:54" ht="27" customHeight="1" x14ac:dyDescent="0.3">
      <c r="A131" s="51" t="s">
        <v>76</v>
      </c>
      <c r="B131" s="38" t="s">
        <v>35</v>
      </c>
      <c r="C131" s="27" t="s">
        <v>0</v>
      </c>
      <c r="D131" s="26">
        <v>4608884708</v>
      </c>
      <c r="E131" s="25">
        <v>841390</v>
      </c>
      <c r="F131" s="24">
        <f>ROUNDDOWN(E131/(1-F130),-1)</f>
        <v>841390</v>
      </c>
      <c r="G131" s="110">
        <f>ROUNDDOWN(IF(F131*G130&gt;H130,H130,F131*G130),-1)</f>
        <v>67310</v>
      </c>
      <c r="H131" s="111"/>
      <c r="I131" s="112">
        <f>ROUNDDOWN(IF(F131*I130&gt;J130,J130,F131*I130),-1)</f>
        <v>0</v>
      </c>
      <c r="J131" s="113"/>
      <c r="K131" s="112">
        <f>ROUNDDOWN(IF(F131*K130&gt;L130,L130,F131*K130),-1)</f>
        <v>130000</v>
      </c>
      <c r="L131" s="113"/>
      <c r="M131" s="110">
        <f>ROUNDDOWN(IF(Q131*M130&gt;N130,N130,Q131*M130),-1)</f>
        <v>45080</v>
      </c>
      <c r="N131" s="111"/>
      <c r="O131" s="110">
        <f>ROUNDDOWN(IF(F131*O130&gt;P130,P130,F131*O130),-1)</f>
        <v>0</v>
      </c>
      <c r="P131" s="111"/>
      <c r="Q131" s="23">
        <f>F131-G131-I131-K131</f>
        <v>644080</v>
      </c>
      <c r="R131" s="22">
        <f>F131-G131-I131-K131-M131-O131</f>
        <v>599000</v>
      </c>
      <c r="S131" s="21"/>
      <c r="T131" s="20">
        <f>F131*T130</f>
        <v>58897.3</v>
      </c>
      <c r="U131" s="20">
        <f>F131*U130</f>
        <v>0</v>
      </c>
      <c r="V131" s="20">
        <f>(F131-I131)*V130</f>
        <v>16827.8</v>
      </c>
      <c r="W131" s="19">
        <f>(F131*F130)*W130</f>
        <v>0</v>
      </c>
      <c r="X131" s="19">
        <f>G131*X130</f>
        <v>0</v>
      </c>
      <c r="Y131" s="19">
        <f>I131*Y130</f>
        <v>0</v>
      </c>
      <c r="Z131" s="19">
        <f>K131*Z130</f>
        <v>119999.88</v>
      </c>
      <c r="AA131" s="19">
        <f>M131*AA130</f>
        <v>22540</v>
      </c>
      <c r="AB131" s="19">
        <v>0</v>
      </c>
      <c r="AC131" s="16">
        <v>6000</v>
      </c>
      <c r="AD131" s="18">
        <f>F131-T131-U131-V131-W131-AA131-X131-Y131-Z131-AB131</f>
        <v>623125.0199999999</v>
      </c>
      <c r="AE131" s="18">
        <f>F131-T131-U131-V131-W131-X131-Y131-Z131-AA131-AB131-AC131</f>
        <v>617125.0199999999</v>
      </c>
      <c r="AF131" s="17">
        <f>AE131-AG131</f>
        <v>-29874.980000000098</v>
      </c>
      <c r="AG131" s="16">
        <v>647000</v>
      </c>
      <c r="AH131" s="15">
        <f>AF131/AG131</f>
        <v>-4.61746213292119E-2</v>
      </c>
      <c r="AI131" s="14">
        <f>1-R131/(AG131-AM131-AN131-AO131)</f>
        <v>-2.0442930153321992E-2</v>
      </c>
      <c r="AJ131" s="114">
        <f>(1-R131/F131)-(1-(AD131)/F131)</f>
        <v>2.8672815222429482E-2</v>
      </c>
      <c r="AK131" s="115"/>
      <c r="AM131" s="13">
        <v>60000</v>
      </c>
      <c r="AN131" s="12">
        <v>0</v>
      </c>
      <c r="AO131" s="12"/>
      <c r="AP131" s="12"/>
      <c r="AQ131" s="11">
        <f>AE131-(AG131-AM131-AN131-AO131-AP131)</f>
        <v>30125.019999999902</v>
      </c>
      <c r="AR131" s="8">
        <f>AQ131/AG131</f>
        <v>4.6561081916537718E-2</v>
      </c>
      <c r="AT131" s="10">
        <v>0</v>
      </c>
      <c r="AU131" s="10">
        <v>0</v>
      </c>
      <c r="AV131" s="9">
        <f>AQ131-AT131-AU131</f>
        <v>30125.019999999902</v>
      </c>
      <c r="AW131" s="8">
        <f>AV131/AG131</f>
        <v>4.6561081916537718E-2</v>
      </c>
      <c r="AY131" s="7"/>
      <c r="AZ131" s="50"/>
      <c r="BA131" s="52"/>
      <c r="BB131" s="7"/>
    </row>
    <row r="132" spans="1:54" ht="16.5" customHeight="1" x14ac:dyDescent="0.3">
      <c r="C132" s="57"/>
      <c r="D132" s="57"/>
      <c r="E132" s="5">
        <v>699000</v>
      </c>
      <c r="F132" s="4">
        <f>ROUNDDOWN(E132/(1-F130),-1)</f>
        <v>699000</v>
      </c>
      <c r="G132" s="105">
        <f>ROUNDDOWN(IF(F132*G130&gt;H130,H130,F132*G130),-1)</f>
        <v>55920</v>
      </c>
      <c r="H132" s="105"/>
      <c r="J132" s="54">
        <f>F131*4%</f>
        <v>33655.599999999999</v>
      </c>
      <c r="R132" s="4">
        <v>629000</v>
      </c>
      <c r="X132" s="3">
        <f>G132*X130</f>
        <v>0</v>
      </c>
      <c r="Y132" s="3"/>
      <c r="Z132" s="3"/>
      <c r="AG132" s="4"/>
    </row>
    <row r="133" spans="1:54" ht="16.5" customHeight="1" x14ac:dyDescent="0.3">
      <c r="C133" s="57"/>
      <c r="D133" s="57"/>
      <c r="E133" s="5">
        <v>849000</v>
      </c>
      <c r="F133" s="4"/>
      <c r="G133" s="74"/>
      <c r="H133" s="74"/>
      <c r="J133" s="54"/>
      <c r="R133" s="4"/>
      <c r="X133" s="3"/>
      <c r="Y133" s="3"/>
      <c r="Z133" s="3"/>
      <c r="AG133" s="4"/>
    </row>
    <row r="134" spans="1:54" x14ac:dyDescent="0.3">
      <c r="A134" s="43"/>
      <c r="B134" s="43"/>
      <c r="C134" s="43"/>
      <c r="D134" s="43"/>
      <c r="E134" s="5"/>
    </row>
    <row r="135" spans="1:54" ht="27" customHeight="1" x14ac:dyDescent="0.3">
      <c r="A135" s="124" t="s">
        <v>34</v>
      </c>
      <c r="B135" s="127" t="s">
        <v>117</v>
      </c>
      <c r="C135" s="128"/>
      <c r="D135" s="128"/>
      <c r="E135" s="128"/>
      <c r="F135" s="128"/>
      <c r="G135" s="128"/>
      <c r="H135" s="128"/>
      <c r="I135" s="128"/>
      <c r="J135" s="128"/>
      <c r="K135" s="128"/>
      <c r="L135" s="128"/>
      <c r="M135" s="128"/>
      <c r="N135" s="128"/>
      <c r="O135" s="128"/>
      <c r="P135" s="128"/>
      <c r="Q135" s="128"/>
      <c r="R135" s="129"/>
      <c r="T135" s="130" t="s">
        <v>33</v>
      </c>
      <c r="U135" s="131"/>
      <c r="V135" s="131"/>
      <c r="W135" s="131"/>
      <c r="X135" s="131"/>
      <c r="Y135" s="131"/>
      <c r="Z135" s="131"/>
      <c r="AA135" s="131"/>
      <c r="AB135" s="131"/>
      <c r="AC135" s="131"/>
      <c r="AD135" s="131"/>
      <c r="AE135" s="131"/>
      <c r="AF135" s="131"/>
      <c r="AG135" s="131"/>
      <c r="AH135" s="132"/>
      <c r="AI135" s="37"/>
      <c r="AM135" s="130" t="s">
        <v>32</v>
      </c>
      <c r="AN135" s="131"/>
      <c r="AO135" s="131"/>
      <c r="AP135" s="131"/>
      <c r="AQ135" s="131"/>
      <c r="AR135" s="132"/>
      <c r="AT135" s="130" t="s">
        <v>31</v>
      </c>
      <c r="AU135" s="131"/>
      <c r="AV135" s="131"/>
      <c r="AW135" s="132"/>
      <c r="AY135" s="36" t="s">
        <v>36</v>
      </c>
      <c r="AZ135" s="48"/>
      <c r="BA135" s="52"/>
      <c r="BB135" s="36"/>
    </row>
    <row r="136" spans="1:54" ht="32.25" customHeight="1" x14ac:dyDescent="0.3">
      <c r="A136" s="125"/>
      <c r="B136" s="133" t="s">
        <v>30</v>
      </c>
      <c r="C136" s="133" t="s">
        <v>29</v>
      </c>
      <c r="D136" s="116" t="s">
        <v>28</v>
      </c>
      <c r="E136" s="116" t="s">
        <v>27</v>
      </c>
      <c r="F136" s="34" t="s">
        <v>26</v>
      </c>
      <c r="G136" s="122" t="s">
        <v>63</v>
      </c>
      <c r="H136" s="123"/>
      <c r="I136" s="122" t="s">
        <v>50</v>
      </c>
      <c r="J136" s="123"/>
      <c r="K136" s="122" t="s">
        <v>62</v>
      </c>
      <c r="L136" s="123"/>
      <c r="M136" s="122" t="s">
        <v>25</v>
      </c>
      <c r="N136" s="123"/>
      <c r="O136" s="122" t="s">
        <v>24</v>
      </c>
      <c r="P136" s="123"/>
      <c r="Q136" s="106" t="s">
        <v>23</v>
      </c>
      <c r="R136" s="106" t="s">
        <v>22</v>
      </c>
      <c r="S136" s="21"/>
      <c r="T136" s="34" t="s">
        <v>21</v>
      </c>
      <c r="U136" s="34" t="s">
        <v>20</v>
      </c>
      <c r="V136" s="34" t="s">
        <v>95</v>
      </c>
      <c r="W136" s="34" t="s">
        <v>19</v>
      </c>
      <c r="X136" s="34" t="s">
        <v>18</v>
      </c>
      <c r="Y136" s="34" t="s">
        <v>48</v>
      </c>
      <c r="Z136" s="34" t="s">
        <v>49</v>
      </c>
      <c r="AA136" s="34" t="s">
        <v>17</v>
      </c>
      <c r="AB136" s="106" t="s">
        <v>16</v>
      </c>
      <c r="AC136" s="106" t="s">
        <v>15</v>
      </c>
      <c r="AD136" s="106" t="s">
        <v>14</v>
      </c>
      <c r="AE136" s="106" t="s">
        <v>13</v>
      </c>
      <c r="AF136" s="106" t="s">
        <v>12</v>
      </c>
      <c r="AG136" s="116" t="s">
        <v>11</v>
      </c>
      <c r="AH136" s="118" t="s">
        <v>10</v>
      </c>
      <c r="AI136" s="120" t="s">
        <v>9</v>
      </c>
      <c r="AJ136" s="35">
        <f>(1-R138/F138)</f>
        <v>0.28808281534128055</v>
      </c>
      <c r="AK136" s="35">
        <f>1-(AD138+AM138)/F138</f>
        <v>0.1880994307039543</v>
      </c>
      <c r="AM136" s="106" t="s">
        <v>8</v>
      </c>
      <c r="AN136" s="106" t="s">
        <v>7</v>
      </c>
      <c r="AO136" s="106" t="s">
        <v>37</v>
      </c>
      <c r="AP136" s="106" t="s">
        <v>38</v>
      </c>
      <c r="AQ136" s="106" t="s">
        <v>6</v>
      </c>
      <c r="AR136" s="106" t="s">
        <v>5</v>
      </c>
      <c r="AT136" s="106" t="s">
        <v>4</v>
      </c>
      <c r="AU136" s="106" t="s">
        <v>3</v>
      </c>
      <c r="AV136" s="106" t="s">
        <v>2</v>
      </c>
      <c r="AW136" s="106" t="s">
        <v>1</v>
      </c>
      <c r="AY136" s="106"/>
      <c r="AZ136" s="108"/>
      <c r="BA136" s="52"/>
      <c r="BB136" s="106"/>
    </row>
    <row r="137" spans="1:54" ht="27" customHeight="1" x14ac:dyDescent="0.3">
      <c r="A137" s="126"/>
      <c r="B137" s="134"/>
      <c r="C137" s="134"/>
      <c r="D137" s="117"/>
      <c r="E137" s="117"/>
      <c r="F137" s="31">
        <v>0</v>
      </c>
      <c r="G137" s="33">
        <v>0.08</v>
      </c>
      <c r="H137" s="32">
        <v>1000000</v>
      </c>
      <c r="I137" s="31">
        <v>0</v>
      </c>
      <c r="J137" s="32">
        <v>0</v>
      </c>
      <c r="K137" s="31">
        <v>1</v>
      </c>
      <c r="L137" s="32">
        <v>130000</v>
      </c>
      <c r="M137" s="31">
        <v>7.0000000000000007E-2</v>
      </c>
      <c r="N137" s="32">
        <v>70000</v>
      </c>
      <c r="O137" s="31">
        <v>0</v>
      </c>
      <c r="P137" s="32">
        <v>0</v>
      </c>
      <c r="Q137" s="107"/>
      <c r="R137" s="107"/>
      <c r="S137" s="21"/>
      <c r="T137" s="31">
        <f>IF(C138="노트북",7%,IF(C138="저장&amp;주변기기",9%,IF(C138="모니터",7%)))</f>
        <v>7.0000000000000007E-2</v>
      </c>
      <c r="U137" s="31">
        <v>0</v>
      </c>
      <c r="V137" s="31">
        <v>0.02</v>
      </c>
      <c r="W137" s="31">
        <f>IF(G137=0%,20%,0%)</f>
        <v>0</v>
      </c>
      <c r="X137" s="30">
        <v>0</v>
      </c>
      <c r="Y137" s="30">
        <v>1</v>
      </c>
      <c r="Z137" s="53">
        <v>0.92307600000000001</v>
      </c>
      <c r="AA137" s="29">
        <v>0.5</v>
      </c>
      <c r="AB137" s="107"/>
      <c r="AC137" s="107"/>
      <c r="AD137" s="107"/>
      <c r="AE137" s="107"/>
      <c r="AF137" s="107"/>
      <c r="AG137" s="117"/>
      <c r="AH137" s="119"/>
      <c r="AI137" s="121"/>
      <c r="AJ137" s="55" t="s">
        <v>52</v>
      </c>
      <c r="AK137" s="56">
        <f>AJ136-AK136</f>
        <v>9.9983384637326256E-2</v>
      </c>
      <c r="AM137" s="107"/>
      <c r="AN137" s="107"/>
      <c r="AO137" s="107"/>
      <c r="AP137" s="107"/>
      <c r="AQ137" s="107"/>
      <c r="AR137" s="107"/>
      <c r="AS137" s="39"/>
      <c r="AT137" s="107"/>
      <c r="AU137" s="107"/>
      <c r="AV137" s="107"/>
      <c r="AW137" s="107"/>
      <c r="AY137" s="107"/>
      <c r="AZ137" s="109"/>
      <c r="BA137" s="52"/>
      <c r="BB137" s="107"/>
    </row>
    <row r="138" spans="1:54" ht="27" customHeight="1" x14ac:dyDescent="0.3">
      <c r="A138" s="51" t="s">
        <v>47</v>
      </c>
      <c r="B138" s="38" t="s">
        <v>35</v>
      </c>
      <c r="C138" s="27" t="s">
        <v>0</v>
      </c>
      <c r="D138" s="26">
        <v>4363376144</v>
      </c>
      <c r="E138" s="25">
        <v>841390</v>
      </c>
      <c r="F138" s="24">
        <f>ROUNDDOWN(E138/(1-F137),-1)</f>
        <v>841390</v>
      </c>
      <c r="G138" s="110">
        <f>ROUNDDOWN(IF(F138*G137&gt;H137,H137,F138*G137),-1)</f>
        <v>67310</v>
      </c>
      <c r="H138" s="111"/>
      <c r="I138" s="112">
        <f>ROUNDDOWN(IF(F138*I137&gt;J137,J137,F138*I137),-1)</f>
        <v>0</v>
      </c>
      <c r="J138" s="113"/>
      <c r="K138" s="112">
        <f>ROUNDDOWN(IF(F138*K137&gt;L137,L137,F138*K137),-1)</f>
        <v>130000</v>
      </c>
      <c r="L138" s="113"/>
      <c r="M138" s="110">
        <f>ROUNDDOWN(IF(Q138*M137&gt;N137,N137,Q138*M137),-1)</f>
        <v>45080</v>
      </c>
      <c r="N138" s="111"/>
      <c r="O138" s="110">
        <f>ROUNDDOWN(IF(F138*O137&gt;P137,P137,F138*O137),-1)</f>
        <v>0</v>
      </c>
      <c r="P138" s="111"/>
      <c r="Q138" s="23">
        <f>F138-G138-I138-K138</f>
        <v>644080</v>
      </c>
      <c r="R138" s="22">
        <f>F138-G138-I138-K138-M138-O138</f>
        <v>599000</v>
      </c>
      <c r="S138" s="21"/>
      <c r="T138" s="20">
        <f>F138*T137</f>
        <v>58897.3</v>
      </c>
      <c r="U138" s="20">
        <f>F138*U137</f>
        <v>0</v>
      </c>
      <c r="V138" s="20">
        <f>(F138-I138)*V137</f>
        <v>16827.8</v>
      </c>
      <c r="W138" s="19">
        <f>(F138*F137)*W137</f>
        <v>0</v>
      </c>
      <c r="X138" s="19">
        <f>G138*X137</f>
        <v>0</v>
      </c>
      <c r="Y138" s="19">
        <f>I138*Y137</f>
        <v>0</v>
      </c>
      <c r="Z138" s="19">
        <f>K138*Z137</f>
        <v>119999.88</v>
      </c>
      <c r="AA138" s="19">
        <f>M138*AA137</f>
        <v>22540</v>
      </c>
      <c r="AB138" s="19">
        <v>0</v>
      </c>
      <c r="AC138" s="16">
        <v>6000</v>
      </c>
      <c r="AD138" s="18">
        <f>F138-T138-U138-V138-W138-AA138-X138-Y138-Z138-AB138</f>
        <v>623125.0199999999</v>
      </c>
      <c r="AE138" s="18">
        <f>F138-T138-U138-V138-W138-X138-Y138-Z138-AA138-AB138-AC138</f>
        <v>617125.0199999999</v>
      </c>
      <c r="AF138" s="17">
        <f>AE138-AG138</f>
        <v>-29874.980000000098</v>
      </c>
      <c r="AG138" s="16">
        <v>647000</v>
      </c>
      <c r="AH138" s="15">
        <f>AF138/AG138</f>
        <v>-4.61746213292119E-2</v>
      </c>
      <c r="AI138" s="14">
        <f>1-R138/(AG138-AM138-AN138-AO138)</f>
        <v>-2.0442930153321992E-2</v>
      </c>
      <c r="AJ138" s="114">
        <f>(1-R138/F138)-(1-(AD138)/F138)</f>
        <v>2.8672815222429482E-2</v>
      </c>
      <c r="AK138" s="115"/>
      <c r="AM138" s="13">
        <v>60000</v>
      </c>
      <c r="AN138" s="12">
        <v>0</v>
      </c>
      <c r="AO138" s="12"/>
      <c r="AP138" s="12"/>
      <c r="AQ138" s="11">
        <f>AE138-(AG138-AM138-AN138-AO138-AP138)</f>
        <v>30125.019999999902</v>
      </c>
      <c r="AR138" s="8">
        <f>AQ138/AG138</f>
        <v>4.6561081916537718E-2</v>
      </c>
      <c r="AT138" s="10">
        <v>0</v>
      </c>
      <c r="AU138" s="10">
        <v>0</v>
      </c>
      <c r="AV138" s="9">
        <f>AQ138-AT138-AU138</f>
        <v>30125.019999999902</v>
      </c>
      <c r="AW138" s="8">
        <f>AV138/AG138</f>
        <v>4.6561081916537718E-2</v>
      </c>
      <c r="AY138" s="7"/>
      <c r="AZ138" s="50"/>
      <c r="BA138" s="52"/>
      <c r="BB138" s="7"/>
    </row>
    <row r="139" spans="1:54" ht="16.5" customHeight="1" x14ac:dyDescent="0.3">
      <c r="C139" s="57" t="s">
        <v>68</v>
      </c>
      <c r="D139" s="57">
        <v>4583391989</v>
      </c>
      <c r="E139" s="5">
        <v>679000</v>
      </c>
      <c r="F139" s="4">
        <f>ROUNDDOWN(E139/(1-F137),-1)</f>
        <v>679000</v>
      </c>
      <c r="G139" s="105">
        <f>ROUNDDOWN(IF(F139*G137&gt;H137,H137,F139*G137),-1)</f>
        <v>54320</v>
      </c>
      <c r="H139" s="105"/>
      <c r="J139" s="54">
        <f>F138*4%</f>
        <v>33655.599999999999</v>
      </c>
      <c r="R139" s="4">
        <v>523000</v>
      </c>
      <c r="X139" s="3">
        <f>G139*X137</f>
        <v>0</v>
      </c>
      <c r="Y139" s="3"/>
      <c r="Z139" s="3"/>
      <c r="AG139" s="4">
        <v>625000</v>
      </c>
    </row>
    <row r="140" spans="1:54" ht="16.5" customHeight="1" x14ac:dyDescent="0.3">
      <c r="C140" s="57"/>
      <c r="D140" s="57"/>
      <c r="E140" s="5"/>
      <c r="F140" s="4"/>
      <c r="G140" s="74"/>
      <c r="H140" s="74"/>
      <c r="J140" s="54"/>
      <c r="R140" s="4"/>
      <c r="X140" s="3"/>
      <c r="Y140" s="3"/>
      <c r="Z140" s="3"/>
      <c r="AG140" s="4"/>
    </row>
    <row r="141" spans="1:54" ht="16.5" customHeight="1" x14ac:dyDescent="0.3">
      <c r="C141" s="57"/>
      <c r="D141" s="57"/>
      <c r="E141" s="5"/>
      <c r="F141" s="4"/>
      <c r="G141" s="74"/>
      <c r="H141" s="74"/>
      <c r="J141" s="54"/>
      <c r="R141" s="4"/>
      <c r="X141" s="3"/>
      <c r="Y141" s="3"/>
      <c r="Z141" s="3"/>
      <c r="AG141" s="4"/>
    </row>
    <row r="142" spans="1:54" ht="27" customHeight="1" x14ac:dyDescent="0.3">
      <c r="A142" s="124" t="s">
        <v>34</v>
      </c>
      <c r="B142" s="127" t="s">
        <v>117</v>
      </c>
      <c r="C142" s="128"/>
      <c r="D142" s="128"/>
      <c r="E142" s="128"/>
      <c r="F142" s="128"/>
      <c r="G142" s="128"/>
      <c r="H142" s="128"/>
      <c r="I142" s="128"/>
      <c r="J142" s="128"/>
      <c r="K142" s="128"/>
      <c r="L142" s="128"/>
      <c r="M142" s="128"/>
      <c r="N142" s="128"/>
      <c r="O142" s="128"/>
      <c r="P142" s="128"/>
      <c r="Q142" s="128"/>
      <c r="R142" s="129"/>
      <c r="T142" s="130" t="s">
        <v>33</v>
      </c>
      <c r="U142" s="131"/>
      <c r="V142" s="131"/>
      <c r="W142" s="131"/>
      <c r="X142" s="131"/>
      <c r="Y142" s="131"/>
      <c r="Z142" s="131"/>
      <c r="AA142" s="131"/>
      <c r="AB142" s="131"/>
      <c r="AC142" s="131"/>
      <c r="AD142" s="131"/>
      <c r="AE142" s="131"/>
      <c r="AF142" s="131"/>
      <c r="AG142" s="131"/>
      <c r="AH142" s="132"/>
      <c r="AI142" s="37"/>
      <c r="AM142" s="130" t="s">
        <v>32</v>
      </c>
      <c r="AN142" s="131"/>
      <c r="AO142" s="131"/>
      <c r="AP142" s="131"/>
      <c r="AQ142" s="131"/>
      <c r="AR142" s="132"/>
      <c r="AT142" s="130" t="s">
        <v>31</v>
      </c>
      <c r="AU142" s="131"/>
      <c r="AV142" s="131"/>
      <c r="AW142" s="132"/>
      <c r="AY142" s="36" t="s">
        <v>36</v>
      </c>
      <c r="AZ142" s="48"/>
      <c r="BA142" s="52"/>
      <c r="BB142" s="36"/>
    </row>
    <row r="143" spans="1:54" ht="32.25" customHeight="1" x14ac:dyDescent="0.3">
      <c r="A143" s="125"/>
      <c r="B143" s="133" t="s">
        <v>30</v>
      </c>
      <c r="C143" s="133" t="s">
        <v>29</v>
      </c>
      <c r="D143" s="116" t="s">
        <v>28</v>
      </c>
      <c r="E143" s="116" t="s">
        <v>27</v>
      </c>
      <c r="F143" s="34" t="s">
        <v>26</v>
      </c>
      <c r="G143" s="122" t="s">
        <v>63</v>
      </c>
      <c r="H143" s="123"/>
      <c r="I143" s="122" t="s">
        <v>50</v>
      </c>
      <c r="J143" s="123"/>
      <c r="K143" s="122" t="s">
        <v>62</v>
      </c>
      <c r="L143" s="123"/>
      <c r="M143" s="122" t="s">
        <v>25</v>
      </c>
      <c r="N143" s="123"/>
      <c r="O143" s="122" t="s">
        <v>24</v>
      </c>
      <c r="P143" s="123"/>
      <c r="Q143" s="106" t="s">
        <v>23</v>
      </c>
      <c r="R143" s="106" t="s">
        <v>22</v>
      </c>
      <c r="S143" s="21"/>
      <c r="T143" s="34" t="s">
        <v>21</v>
      </c>
      <c r="U143" s="34" t="s">
        <v>20</v>
      </c>
      <c r="V143" s="34" t="s">
        <v>95</v>
      </c>
      <c r="W143" s="34" t="s">
        <v>19</v>
      </c>
      <c r="X143" s="34" t="s">
        <v>18</v>
      </c>
      <c r="Y143" s="34" t="s">
        <v>48</v>
      </c>
      <c r="Z143" s="34" t="s">
        <v>49</v>
      </c>
      <c r="AA143" s="34" t="s">
        <v>17</v>
      </c>
      <c r="AB143" s="106" t="s">
        <v>16</v>
      </c>
      <c r="AC143" s="106" t="s">
        <v>15</v>
      </c>
      <c r="AD143" s="106" t="s">
        <v>14</v>
      </c>
      <c r="AE143" s="106" t="s">
        <v>13</v>
      </c>
      <c r="AF143" s="106" t="s">
        <v>12</v>
      </c>
      <c r="AG143" s="116" t="s">
        <v>11</v>
      </c>
      <c r="AH143" s="118" t="s">
        <v>10</v>
      </c>
      <c r="AI143" s="120" t="s">
        <v>9</v>
      </c>
      <c r="AJ143" s="35">
        <f>(1-R145/F145)</f>
        <v>0.26327433628318586</v>
      </c>
      <c r="AK143" s="35">
        <f>1-(AD145+AM145)/F145</f>
        <v>0.23571767944936084</v>
      </c>
      <c r="AM143" s="106" t="s">
        <v>8</v>
      </c>
      <c r="AN143" s="106" t="s">
        <v>7</v>
      </c>
      <c r="AO143" s="106" t="s">
        <v>37</v>
      </c>
      <c r="AP143" s="106" t="s">
        <v>38</v>
      </c>
      <c r="AQ143" s="106" t="s">
        <v>6</v>
      </c>
      <c r="AR143" s="106" t="s">
        <v>5</v>
      </c>
      <c r="AT143" s="106" t="s">
        <v>4</v>
      </c>
      <c r="AU143" s="106" t="s">
        <v>3</v>
      </c>
      <c r="AV143" s="106" t="s">
        <v>2</v>
      </c>
      <c r="AW143" s="106" t="s">
        <v>1</v>
      </c>
      <c r="AY143" s="106"/>
      <c r="AZ143" s="108"/>
      <c r="BA143" s="52"/>
      <c r="BB143" s="106"/>
    </row>
    <row r="144" spans="1:54" ht="27" customHeight="1" x14ac:dyDescent="0.3">
      <c r="A144" s="126"/>
      <c r="B144" s="134"/>
      <c r="C144" s="134"/>
      <c r="D144" s="117"/>
      <c r="E144" s="117"/>
      <c r="F144" s="31">
        <v>0</v>
      </c>
      <c r="G144" s="33">
        <v>0.08</v>
      </c>
      <c r="H144" s="32">
        <v>1000000</v>
      </c>
      <c r="I144" s="31">
        <v>0</v>
      </c>
      <c r="J144" s="32">
        <v>0</v>
      </c>
      <c r="K144" s="31">
        <v>1</v>
      </c>
      <c r="L144" s="32">
        <v>130000</v>
      </c>
      <c r="M144" s="31">
        <v>7.0000000000000007E-2</v>
      </c>
      <c r="N144" s="32">
        <v>70000</v>
      </c>
      <c r="O144" s="31">
        <v>0</v>
      </c>
      <c r="P144" s="32">
        <v>0</v>
      </c>
      <c r="Q144" s="107"/>
      <c r="R144" s="107"/>
      <c r="S144" s="21"/>
      <c r="T144" s="31">
        <f>IF(C145="노트북",7%,IF(C145="저장&amp;주변기기",9%,IF(C145="모니터",7%)))</f>
        <v>7.0000000000000007E-2</v>
      </c>
      <c r="U144" s="31">
        <v>0</v>
      </c>
      <c r="V144" s="31">
        <v>0.02</v>
      </c>
      <c r="W144" s="31">
        <f>IF(G144=0%,20%,0%)</f>
        <v>0</v>
      </c>
      <c r="X144" s="30">
        <v>0</v>
      </c>
      <c r="Y144" s="30">
        <v>1</v>
      </c>
      <c r="Z144" s="53">
        <v>0.92307600000000001</v>
      </c>
      <c r="AA144" s="29">
        <v>0.5</v>
      </c>
      <c r="AB144" s="107"/>
      <c r="AC144" s="107"/>
      <c r="AD144" s="107"/>
      <c r="AE144" s="107"/>
      <c r="AF144" s="107"/>
      <c r="AG144" s="117"/>
      <c r="AH144" s="119"/>
      <c r="AI144" s="121"/>
      <c r="AJ144" s="55" t="s">
        <v>52</v>
      </c>
      <c r="AK144" s="56">
        <f>AJ143-AK143</f>
        <v>2.7556656833825022E-2</v>
      </c>
      <c r="AM144" s="107"/>
      <c r="AN144" s="107"/>
      <c r="AO144" s="107"/>
      <c r="AP144" s="107"/>
      <c r="AQ144" s="107"/>
      <c r="AR144" s="107"/>
      <c r="AS144" s="39"/>
      <c r="AT144" s="107"/>
      <c r="AU144" s="107"/>
      <c r="AV144" s="107"/>
      <c r="AW144" s="107"/>
      <c r="AY144" s="107"/>
      <c r="AZ144" s="109"/>
      <c r="BA144" s="52"/>
      <c r="BB144" s="107"/>
    </row>
    <row r="145" spans="1:54" ht="27" customHeight="1" x14ac:dyDescent="0.3">
      <c r="A145" s="51" t="s">
        <v>97</v>
      </c>
      <c r="B145" s="38" t="s">
        <v>35</v>
      </c>
      <c r="C145" s="27" t="s">
        <v>0</v>
      </c>
      <c r="D145" s="26">
        <v>4602770526</v>
      </c>
      <c r="E145" s="25">
        <v>1017000</v>
      </c>
      <c r="F145" s="24">
        <f>ROUNDDOWN(E145/(1-F144),-1)</f>
        <v>1017000</v>
      </c>
      <c r="G145" s="110">
        <f>ROUNDDOWN(IF(F145*G144&gt;H144,H144,F145*G144),-1)</f>
        <v>81360</v>
      </c>
      <c r="H145" s="111"/>
      <c r="I145" s="112">
        <f>ROUNDDOWN(IF(F145*I144&gt;J144,J144,F145*I144),-1)</f>
        <v>0</v>
      </c>
      <c r="J145" s="113"/>
      <c r="K145" s="112">
        <f>ROUNDDOWN(IF(F145*K144&gt;L144,L144,F145*K144),-1)</f>
        <v>130000</v>
      </c>
      <c r="L145" s="113"/>
      <c r="M145" s="110">
        <f>ROUNDDOWN(IF(Q145*M144&gt;N144,N144,Q145*M144),-1)</f>
        <v>56390</v>
      </c>
      <c r="N145" s="111"/>
      <c r="O145" s="110">
        <f>ROUNDDOWN(IF(F145*O144&gt;P144,P144,F145*O144),-1)</f>
        <v>0</v>
      </c>
      <c r="P145" s="111"/>
      <c r="Q145" s="23">
        <f>F145-G145-I145-K145</f>
        <v>805640</v>
      </c>
      <c r="R145" s="22">
        <f>F145-G145-I145-K145-M145-O145</f>
        <v>749250</v>
      </c>
      <c r="S145" s="21"/>
      <c r="T145" s="20">
        <f>F145*T144</f>
        <v>71190</v>
      </c>
      <c r="U145" s="20">
        <f>F145*U144</f>
        <v>0</v>
      </c>
      <c r="V145" s="20">
        <f>(F145-I145)*V144</f>
        <v>20340</v>
      </c>
      <c r="W145" s="19">
        <f>(F145*F144)*W144</f>
        <v>0</v>
      </c>
      <c r="X145" s="19">
        <f>G145*X144</f>
        <v>0</v>
      </c>
      <c r="Y145" s="19">
        <f>I145*Y144</f>
        <v>0</v>
      </c>
      <c r="Z145" s="19">
        <f>K145*Z144</f>
        <v>119999.88</v>
      </c>
      <c r="AA145" s="19">
        <f>M145*AA144</f>
        <v>28195</v>
      </c>
      <c r="AB145" s="19">
        <v>0</v>
      </c>
      <c r="AC145" s="16">
        <v>6000</v>
      </c>
      <c r="AD145" s="18">
        <f>F145-T145-U145-V145-W145-AA145-X145-Y145-Z145-AB145</f>
        <v>777275.12</v>
      </c>
      <c r="AE145" s="18">
        <f>F145-T145-U145-V145-W145-X145-Y145-Z145-AA145-AB145-AC145</f>
        <v>771275.12</v>
      </c>
      <c r="AF145" s="17">
        <f>AE145-AG145</f>
        <v>155275.12</v>
      </c>
      <c r="AG145" s="16">
        <v>616000</v>
      </c>
      <c r="AH145" s="15">
        <f>AF145/AG145</f>
        <v>0.25207000000000002</v>
      </c>
      <c r="AI145" s="14">
        <f>1-R145/(AG145-AM145-AN145-AO145)</f>
        <v>-0.21631493506493515</v>
      </c>
      <c r="AJ145" s="114">
        <f>(1-R145/F145)-(1-(AD145)/F145)</f>
        <v>2.7556656833825022E-2</v>
      </c>
      <c r="AK145" s="115"/>
      <c r="AM145" s="13">
        <v>0</v>
      </c>
      <c r="AN145" s="12">
        <v>0</v>
      </c>
      <c r="AO145" s="12"/>
      <c r="AP145" s="12"/>
      <c r="AQ145" s="11">
        <f>AE145-(AG145-AM145-AN145-AO145-AP145)</f>
        <v>155275.12</v>
      </c>
      <c r="AR145" s="8">
        <f>AQ145/AG145</f>
        <v>0.25207000000000002</v>
      </c>
      <c r="AT145" s="10">
        <v>0</v>
      </c>
      <c r="AU145" s="10">
        <v>0</v>
      </c>
      <c r="AV145" s="9">
        <f>AQ145-AT145-AU145</f>
        <v>155275.12</v>
      </c>
      <c r="AW145" s="8">
        <f>AV145/AG145</f>
        <v>0.25207000000000002</v>
      </c>
      <c r="AY145" s="7"/>
      <c r="AZ145" s="50"/>
      <c r="BA145" s="52"/>
      <c r="BB145" s="7"/>
    </row>
    <row r="146" spans="1:54" ht="16.5" customHeight="1" x14ac:dyDescent="0.3">
      <c r="C146" s="57" t="s">
        <v>68</v>
      </c>
      <c r="D146" s="57">
        <v>4583391989</v>
      </c>
      <c r="E146" s="5">
        <v>799000</v>
      </c>
      <c r="F146" s="4">
        <f>ROUNDDOWN(E146/(1-F144),-1)</f>
        <v>799000</v>
      </c>
      <c r="G146" s="105">
        <f>ROUNDDOWN(IF(F146*G144&gt;H144,H144,F146*G144),-1)</f>
        <v>63920</v>
      </c>
      <c r="H146" s="105"/>
      <c r="J146" s="54">
        <f>F145*4%</f>
        <v>40680</v>
      </c>
      <c r="R146" s="4">
        <v>523000</v>
      </c>
      <c r="X146" s="3">
        <f>G146*X144</f>
        <v>0</v>
      </c>
      <c r="Y146" s="3"/>
      <c r="Z146" s="3"/>
      <c r="AG146" s="4">
        <v>625000</v>
      </c>
    </row>
    <row r="147" spans="1:54" ht="16.5" customHeight="1" x14ac:dyDescent="0.3">
      <c r="C147" s="57"/>
      <c r="D147" s="57"/>
      <c r="E147" s="5"/>
      <c r="F147" s="4"/>
      <c r="G147" s="42"/>
      <c r="H147" s="42"/>
      <c r="J147" s="54"/>
      <c r="R147" s="4"/>
      <c r="X147" s="3"/>
      <c r="Y147" s="3"/>
      <c r="Z147" s="3"/>
      <c r="AG147" s="4"/>
    </row>
    <row r="149" spans="1:54" ht="27" customHeight="1" x14ac:dyDescent="0.3">
      <c r="A149" s="124" t="s">
        <v>34</v>
      </c>
      <c r="B149" s="127" t="s">
        <v>117</v>
      </c>
      <c r="C149" s="128"/>
      <c r="D149" s="128"/>
      <c r="E149" s="128"/>
      <c r="F149" s="128"/>
      <c r="G149" s="128"/>
      <c r="H149" s="128"/>
      <c r="I149" s="128"/>
      <c r="J149" s="128"/>
      <c r="K149" s="128"/>
      <c r="L149" s="128"/>
      <c r="M149" s="128"/>
      <c r="N149" s="128"/>
      <c r="O149" s="128"/>
      <c r="P149" s="128"/>
      <c r="Q149" s="128"/>
      <c r="R149" s="129"/>
      <c r="T149" s="130" t="s">
        <v>33</v>
      </c>
      <c r="U149" s="131"/>
      <c r="V149" s="131"/>
      <c r="W149" s="131"/>
      <c r="X149" s="131"/>
      <c r="Y149" s="131"/>
      <c r="Z149" s="131"/>
      <c r="AA149" s="131"/>
      <c r="AB149" s="131"/>
      <c r="AC149" s="131"/>
      <c r="AD149" s="131"/>
      <c r="AE149" s="131"/>
      <c r="AF149" s="131"/>
      <c r="AG149" s="131"/>
      <c r="AH149" s="132"/>
      <c r="AI149" s="37"/>
      <c r="AM149" s="130" t="s">
        <v>32</v>
      </c>
      <c r="AN149" s="131"/>
      <c r="AO149" s="131"/>
      <c r="AP149" s="131"/>
      <c r="AQ149" s="131"/>
      <c r="AR149" s="132"/>
      <c r="AT149" s="130" t="s">
        <v>31</v>
      </c>
      <c r="AU149" s="131"/>
      <c r="AV149" s="131"/>
      <c r="AW149" s="132"/>
      <c r="AY149" s="36" t="s">
        <v>36</v>
      </c>
      <c r="AZ149" s="48"/>
      <c r="BA149" s="52"/>
      <c r="BB149" s="36"/>
    </row>
    <row r="150" spans="1:54" ht="32.25" customHeight="1" x14ac:dyDescent="0.3">
      <c r="A150" s="125"/>
      <c r="B150" s="133" t="s">
        <v>30</v>
      </c>
      <c r="C150" s="133" t="s">
        <v>29</v>
      </c>
      <c r="D150" s="116" t="s">
        <v>28</v>
      </c>
      <c r="E150" s="116" t="s">
        <v>27</v>
      </c>
      <c r="F150" s="34" t="s">
        <v>26</v>
      </c>
      <c r="G150" s="122" t="s">
        <v>63</v>
      </c>
      <c r="H150" s="123"/>
      <c r="I150" s="122" t="s">
        <v>50</v>
      </c>
      <c r="J150" s="123"/>
      <c r="K150" s="122" t="s">
        <v>62</v>
      </c>
      <c r="L150" s="123"/>
      <c r="M150" s="122" t="s">
        <v>25</v>
      </c>
      <c r="N150" s="123"/>
      <c r="O150" s="122" t="s">
        <v>24</v>
      </c>
      <c r="P150" s="123"/>
      <c r="Q150" s="106" t="s">
        <v>23</v>
      </c>
      <c r="R150" s="106" t="s">
        <v>22</v>
      </c>
      <c r="S150" s="21"/>
      <c r="T150" s="34" t="s">
        <v>21</v>
      </c>
      <c r="U150" s="34" t="s">
        <v>20</v>
      </c>
      <c r="V150" s="34" t="s">
        <v>95</v>
      </c>
      <c r="W150" s="34" t="s">
        <v>19</v>
      </c>
      <c r="X150" s="34" t="s">
        <v>18</v>
      </c>
      <c r="Y150" s="34" t="s">
        <v>48</v>
      </c>
      <c r="Z150" s="34" t="s">
        <v>49</v>
      </c>
      <c r="AA150" s="34" t="s">
        <v>17</v>
      </c>
      <c r="AB150" s="106" t="s">
        <v>16</v>
      </c>
      <c r="AC150" s="106" t="s">
        <v>15</v>
      </c>
      <c r="AD150" s="106" t="s">
        <v>14</v>
      </c>
      <c r="AE150" s="106" t="s">
        <v>13</v>
      </c>
      <c r="AF150" s="106" t="s">
        <v>12</v>
      </c>
      <c r="AG150" s="116" t="s">
        <v>11</v>
      </c>
      <c r="AH150" s="118" t="s">
        <v>10</v>
      </c>
      <c r="AI150" s="120" t="s">
        <v>9</v>
      </c>
      <c r="AJ150" s="35">
        <f>(1-R152/F152)</f>
        <v>0.29646540880503147</v>
      </c>
      <c r="AK150" s="35">
        <f>1-(AD152+AM152)/F152</f>
        <v>0.2674149433962264</v>
      </c>
      <c r="AM150" s="106" t="s">
        <v>8</v>
      </c>
      <c r="AN150" s="106" t="s">
        <v>7</v>
      </c>
      <c r="AO150" s="106" t="s">
        <v>37</v>
      </c>
      <c r="AP150" s="106" t="s">
        <v>38</v>
      </c>
      <c r="AQ150" s="106" t="s">
        <v>6</v>
      </c>
      <c r="AR150" s="106" t="s">
        <v>5</v>
      </c>
      <c r="AT150" s="106" t="s">
        <v>4</v>
      </c>
      <c r="AU150" s="106" t="s">
        <v>3</v>
      </c>
      <c r="AV150" s="106" t="s">
        <v>2</v>
      </c>
      <c r="AW150" s="106" t="s">
        <v>1</v>
      </c>
      <c r="AY150" s="106"/>
      <c r="AZ150" s="108"/>
      <c r="BA150" s="52"/>
      <c r="BB150" s="106"/>
    </row>
    <row r="151" spans="1:54" ht="27" customHeight="1" x14ac:dyDescent="0.3">
      <c r="A151" s="126"/>
      <c r="B151" s="134"/>
      <c r="C151" s="134"/>
      <c r="D151" s="117"/>
      <c r="E151" s="117"/>
      <c r="F151" s="31">
        <v>0</v>
      </c>
      <c r="G151" s="33">
        <v>0.08</v>
      </c>
      <c r="H151" s="32">
        <v>1000000</v>
      </c>
      <c r="I151" s="31">
        <v>1</v>
      </c>
      <c r="J151" s="32">
        <v>0</v>
      </c>
      <c r="K151" s="31">
        <v>1</v>
      </c>
      <c r="L151" s="32">
        <v>130000</v>
      </c>
      <c r="M151" s="31">
        <v>7.0000000000000007E-2</v>
      </c>
      <c r="N151" s="32">
        <v>70000</v>
      </c>
      <c r="O151" s="31">
        <v>0</v>
      </c>
      <c r="P151" s="32">
        <v>0</v>
      </c>
      <c r="Q151" s="107"/>
      <c r="R151" s="107"/>
      <c r="S151" s="21"/>
      <c r="T151" s="31">
        <f>IF(C152="노트북",7%,IF(C152="저장&amp;주변기기",9%,IF(C152="모니터",7%)))</f>
        <v>7.0000000000000007E-2</v>
      </c>
      <c r="U151" s="31">
        <v>0</v>
      </c>
      <c r="V151" s="31">
        <v>0.02</v>
      </c>
      <c r="W151" s="31">
        <f>IF(G151=0%,20%,0%)</f>
        <v>0</v>
      </c>
      <c r="X151" s="30">
        <v>0</v>
      </c>
      <c r="Y151" s="30">
        <v>1</v>
      </c>
      <c r="Z151" s="53">
        <v>0.92307600000000001</v>
      </c>
      <c r="AA151" s="29">
        <v>0.5</v>
      </c>
      <c r="AB151" s="107"/>
      <c r="AC151" s="107"/>
      <c r="AD151" s="107"/>
      <c r="AE151" s="107"/>
      <c r="AF151" s="107"/>
      <c r="AG151" s="117"/>
      <c r="AH151" s="119"/>
      <c r="AI151" s="121"/>
      <c r="AJ151" s="55" t="s">
        <v>52</v>
      </c>
      <c r="AK151" s="56">
        <f>AJ150-AK150</f>
        <v>2.9050465408805071E-2</v>
      </c>
      <c r="AM151" s="107"/>
      <c r="AN151" s="107"/>
      <c r="AO151" s="107"/>
      <c r="AP151" s="107"/>
      <c r="AQ151" s="107"/>
      <c r="AR151" s="107"/>
      <c r="AS151" s="39"/>
      <c r="AT151" s="107"/>
      <c r="AU151" s="107"/>
      <c r="AV151" s="107"/>
      <c r="AW151" s="107"/>
      <c r="AY151" s="107"/>
      <c r="AZ151" s="109"/>
      <c r="BA151" s="52"/>
      <c r="BB151" s="107"/>
    </row>
    <row r="152" spans="1:54" ht="27" customHeight="1" x14ac:dyDescent="0.3">
      <c r="A152" s="51" t="s">
        <v>57</v>
      </c>
      <c r="B152" s="38" t="s">
        <v>35</v>
      </c>
      <c r="C152" s="27" t="s">
        <v>0</v>
      </c>
      <c r="D152" s="26">
        <v>4538541227</v>
      </c>
      <c r="E152" s="25">
        <v>795000</v>
      </c>
      <c r="F152" s="24">
        <f>ROUNDDOWN(E152/(1-F151),-1)</f>
        <v>795000</v>
      </c>
      <c r="G152" s="110">
        <f>ROUNDDOWN(IF(F152*G151&gt;H151,H151,F152*G151),-1)</f>
        <v>63600</v>
      </c>
      <c r="H152" s="111"/>
      <c r="I152" s="112">
        <f>ROUNDDOWN(IF(F152*I151&gt;J151,J151,F152*I151),-1)</f>
        <v>0</v>
      </c>
      <c r="J152" s="113"/>
      <c r="K152" s="112">
        <f>ROUNDDOWN(IF(F152*K151&gt;L151,L151,F152*K151),-1)</f>
        <v>130000</v>
      </c>
      <c r="L152" s="113"/>
      <c r="M152" s="110">
        <f>ROUNDDOWN(IF(Q152*M151&gt;N151,N151,Q152*M151),-1)</f>
        <v>42090</v>
      </c>
      <c r="N152" s="111"/>
      <c r="O152" s="110">
        <f>ROUNDDOWN(IF(F152*O151&gt;P151,P151,F152*O151),-1)</f>
        <v>0</v>
      </c>
      <c r="P152" s="111"/>
      <c r="Q152" s="23">
        <f>F152-G152-I152-K152</f>
        <v>601400</v>
      </c>
      <c r="R152" s="22">
        <f>F152-G152-I152-K152-M152-O152</f>
        <v>559310</v>
      </c>
      <c r="S152" s="21"/>
      <c r="T152" s="20">
        <f>F152*T151</f>
        <v>55650.000000000007</v>
      </c>
      <c r="U152" s="20">
        <f>F152*U151</f>
        <v>0</v>
      </c>
      <c r="V152" s="20">
        <f>(F152-I152)*V151</f>
        <v>15900</v>
      </c>
      <c r="W152" s="19">
        <f>(F152*F151)*W151</f>
        <v>0</v>
      </c>
      <c r="X152" s="19">
        <f>G152*X151</f>
        <v>0</v>
      </c>
      <c r="Y152" s="19">
        <f>I152*Y151</f>
        <v>0</v>
      </c>
      <c r="Z152" s="19">
        <f>K152*Z151</f>
        <v>119999.88</v>
      </c>
      <c r="AA152" s="19">
        <f>M152*AA151</f>
        <v>21045</v>
      </c>
      <c r="AB152" s="19">
        <v>0</v>
      </c>
      <c r="AC152" s="16">
        <v>6000</v>
      </c>
      <c r="AD152" s="18">
        <f>F152-T152-U152-V152-W152-AA152-X152-Y152-Z152-AB152</f>
        <v>582405.12</v>
      </c>
      <c r="AE152" s="18">
        <f>F152-T152-U152-V152-W152-X152-Y152-Z152-AA152-AB152-AC152</f>
        <v>576405.12</v>
      </c>
      <c r="AF152" s="17">
        <f>AE152-AG152</f>
        <v>51405.119999999995</v>
      </c>
      <c r="AG152" s="16">
        <v>525000</v>
      </c>
      <c r="AH152" s="15">
        <f>AF152/AG152</f>
        <v>9.791451428571428E-2</v>
      </c>
      <c r="AI152" s="14">
        <f>1-R152/(AG152-AM152-AN152-AO152)</f>
        <v>-6.5352380952381051E-2</v>
      </c>
      <c r="AJ152" s="114">
        <f>(1-R152/F152)-(1-(AD152)/F152)</f>
        <v>2.9050465408805071E-2</v>
      </c>
      <c r="AK152" s="115"/>
      <c r="AM152" s="13">
        <v>0</v>
      </c>
      <c r="AN152" s="12"/>
      <c r="AO152" s="12"/>
      <c r="AP152" s="12"/>
      <c r="AQ152" s="11">
        <f>AE152-(AG152-AM152-AN152-AO152-AP152)</f>
        <v>51405.119999999995</v>
      </c>
      <c r="AR152" s="8">
        <f>AQ152/AG152</f>
        <v>9.791451428571428E-2</v>
      </c>
      <c r="AT152" s="10">
        <v>0</v>
      </c>
      <c r="AU152" s="10">
        <v>0</v>
      </c>
      <c r="AV152" s="9">
        <f>AQ152-AT152-AU152</f>
        <v>51405.119999999995</v>
      </c>
      <c r="AW152" s="8">
        <f>AV152/AG152</f>
        <v>9.791451428571428E-2</v>
      </c>
      <c r="AY152" s="7"/>
      <c r="AZ152" s="50"/>
      <c r="BA152" s="52"/>
      <c r="BB152" s="7"/>
    </row>
    <row r="153" spans="1:54" ht="16.5" customHeight="1" x14ac:dyDescent="0.3">
      <c r="C153" s="57" t="s">
        <v>68</v>
      </c>
      <c r="D153" s="57">
        <v>4583400092</v>
      </c>
      <c r="E153" s="5">
        <v>649000</v>
      </c>
      <c r="F153" s="4">
        <f>ROUNDDOWN(E153/(1-F151),-1)</f>
        <v>649000</v>
      </c>
      <c r="G153" s="105">
        <f>ROUNDDOWN(IF(F153*G151&gt;H151,H151,F153*G151),-1)</f>
        <v>51920</v>
      </c>
      <c r="H153" s="105"/>
      <c r="J153" s="54">
        <f>F152*4%</f>
        <v>31800</v>
      </c>
      <c r="R153" s="4">
        <v>539550</v>
      </c>
      <c r="X153" s="3">
        <f>G153*X151</f>
        <v>0</v>
      </c>
      <c r="Y153" s="3"/>
      <c r="Z153" s="3"/>
    </row>
    <row r="156" spans="1:54" ht="27" customHeight="1" x14ac:dyDescent="0.3">
      <c r="A156" s="124" t="s">
        <v>34</v>
      </c>
      <c r="B156" s="127" t="s">
        <v>117</v>
      </c>
      <c r="C156" s="128"/>
      <c r="D156" s="128"/>
      <c r="E156" s="128"/>
      <c r="F156" s="128"/>
      <c r="G156" s="128"/>
      <c r="H156" s="128"/>
      <c r="I156" s="128"/>
      <c r="J156" s="128"/>
      <c r="K156" s="128"/>
      <c r="L156" s="128"/>
      <c r="M156" s="128"/>
      <c r="N156" s="128"/>
      <c r="O156" s="128"/>
      <c r="P156" s="128"/>
      <c r="Q156" s="128"/>
      <c r="R156" s="129"/>
      <c r="T156" s="130" t="s">
        <v>33</v>
      </c>
      <c r="U156" s="131"/>
      <c r="V156" s="131"/>
      <c r="W156" s="131"/>
      <c r="X156" s="131"/>
      <c r="Y156" s="131"/>
      <c r="Z156" s="131"/>
      <c r="AA156" s="131"/>
      <c r="AB156" s="131"/>
      <c r="AC156" s="131"/>
      <c r="AD156" s="131"/>
      <c r="AE156" s="131"/>
      <c r="AF156" s="131"/>
      <c r="AG156" s="131"/>
      <c r="AH156" s="132"/>
      <c r="AI156" s="37"/>
      <c r="AM156" s="130" t="s">
        <v>32</v>
      </c>
      <c r="AN156" s="131"/>
      <c r="AO156" s="131"/>
      <c r="AP156" s="131"/>
      <c r="AQ156" s="131"/>
      <c r="AR156" s="132"/>
      <c r="AT156" s="130" t="s">
        <v>31</v>
      </c>
      <c r="AU156" s="131"/>
      <c r="AV156" s="131"/>
      <c r="AW156" s="132"/>
      <c r="AY156" s="36" t="s">
        <v>36</v>
      </c>
      <c r="AZ156" s="48"/>
      <c r="BA156" s="52"/>
      <c r="BB156" s="36"/>
    </row>
    <row r="157" spans="1:54" ht="32.25" customHeight="1" x14ac:dyDescent="0.3">
      <c r="A157" s="125"/>
      <c r="B157" s="133" t="s">
        <v>30</v>
      </c>
      <c r="C157" s="133" t="s">
        <v>29</v>
      </c>
      <c r="D157" s="116" t="s">
        <v>28</v>
      </c>
      <c r="E157" s="116" t="s">
        <v>27</v>
      </c>
      <c r="F157" s="34" t="s">
        <v>26</v>
      </c>
      <c r="G157" s="122" t="s">
        <v>63</v>
      </c>
      <c r="H157" s="123"/>
      <c r="I157" s="122" t="s">
        <v>50</v>
      </c>
      <c r="J157" s="123"/>
      <c r="K157" s="122" t="s">
        <v>62</v>
      </c>
      <c r="L157" s="123"/>
      <c r="M157" s="122" t="s">
        <v>25</v>
      </c>
      <c r="N157" s="123"/>
      <c r="O157" s="122" t="s">
        <v>24</v>
      </c>
      <c r="P157" s="123"/>
      <c r="Q157" s="106" t="s">
        <v>23</v>
      </c>
      <c r="R157" s="106" t="s">
        <v>22</v>
      </c>
      <c r="S157" s="21"/>
      <c r="T157" s="34" t="s">
        <v>21</v>
      </c>
      <c r="U157" s="34" t="s">
        <v>20</v>
      </c>
      <c r="V157" s="34" t="s">
        <v>95</v>
      </c>
      <c r="W157" s="34" t="s">
        <v>19</v>
      </c>
      <c r="X157" s="34" t="s">
        <v>18</v>
      </c>
      <c r="Y157" s="34" t="s">
        <v>48</v>
      </c>
      <c r="Z157" s="34" t="s">
        <v>49</v>
      </c>
      <c r="AA157" s="34" t="s">
        <v>17</v>
      </c>
      <c r="AB157" s="106" t="s">
        <v>16</v>
      </c>
      <c r="AC157" s="106" t="s">
        <v>15</v>
      </c>
      <c r="AD157" s="106" t="s">
        <v>14</v>
      </c>
      <c r="AE157" s="106" t="s">
        <v>13</v>
      </c>
      <c r="AF157" s="106" t="s">
        <v>12</v>
      </c>
      <c r="AG157" s="116" t="s">
        <v>11</v>
      </c>
      <c r="AH157" s="118" t="s">
        <v>10</v>
      </c>
      <c r="AI157" s="120" t="s">
        <v>9</v>
      </c>
      <c r="AJ157" s="35">
        <f>(1-R159/F159)</f>
        <v>0.22265335235378036</v>
      </c>
      <c r="AK157" s="35">
        <f>1-(AD159+AM159)/F159</f>
        <v>0.20055626248216829</v>
      </c>
      <c r="AM157" s="106" t="s">
        <v>71</v>
      </c>
      <c r="AN157" s="106" t="s">
        <v>7</v>
      </c>
      <c r="AO157" s="106" t="s">
        <v>37</v>
      </c>
      <c r="AP157" s="106" t="s">
        <v>38</v>
      </c>
      <c r="AQ157" s="106" t="s">
        <v>6</v>
      </c>
      <c r="AR157" s="106" t="s">
        <v>5</v>
      </c>
      <c r="AT157" s="106" t="s">
        <v>4</v>
      </c>
      <c r="AU157" s="106" t="s">
        <v>3</v>
      </c>
      <c r="AV157" s="106" t="s">
        <v>2</v>
      </c>
      <c r="AW157" s="106" t="s">
        <v>1</v>
      </c>
      <c r="AY157" s="106"/>
      <c r="AZ157" s="108"/>
      <c r="BA157" s="52"/>
      <c r="BB157" s="106"/>
    </row>
    <row r="158" spans="1:54" ht="27" customHeight="1" x14ac:dyDescent="0.3">
      <c r="A158" s="126"/>
      <c r="B158" s="134"/>
      <c r="C158" s="134"/>
      <c r="D158" s="117"/>
      <c r="E158" s="117"/>
      <c r="F158" s="31">
        <v>0</v>
      </c>
      <c r="G158" s="33">
        <v>0.08</v>
      </c>
      <c r="H158" s="32">
        <v>1000000</v>
      </c>
      <c r="I158" s="31">
        <v>0</v>
      </c>
      <c r="J158" s="32">
        <v>0</v>
      </c>
      <c r="K158" s="31">
        <v>1</v>
      </c>
      <c r="L158" s="32">
        <v>130000</v>
      </c>
      <c r="M158" s="31">
        <v>7.0000000000000007E-2</v>
      </c>
      <c r="N158" s="32">
        <v>70000</v>
      </c>
      <c r="O158" s="31">
        <v>0</v>
      </c>
      <c r="P158" s="32">
        <v>0</v>
      </c>
      <c r="Q158" s="107"/>
      <c r="R158" s="107"/>
      <c r="S158" s="21"/>
      <c r="T158" s="31">
        <f>IF(C159="노트북",7%,IF(C159="저장&amp;주변기기",9%,IF(C159="모니터",7%)))</f>
        <v>7.0000000000000007E-2</v>
      </c>
      <c r="U158" s="31">
        <v>0</v>
      </c>
      <c r="V158" s="31">
        <v>0.02</v>
      </c>
      <c r="W158" s="31">
        <f>IF(G158=0%,20%,0%)</f>
        <v>0</v>
      </c>
      <c r="X158" s="30">
        <v>0</v>
      </c>
      <c r="Y158" s="30">
        <v>1</v>
      </c>
      <c r="Z158" s="53">
        <v>0.92307600000000001</v>
      </c>
      <c r="AA158" s="29">
        <v>0.5</v>
      </c>
      <c r="AB158" s="107"/>
      <c r="AC158" s="107"/>
      <c r="AD158" s="107"/>
      <c r="AE158" s="107"/>
      <c r="AF158" s="107"/>
      <c r="AG158" s="117"/>
      <c r="AH158" s="119"/>
      <c r="AI158" s="121"/>
      <c r="AJ158" s="55" t="s">
        <v>52</v>
      </c>
      <c r="AK158" s="56">
        <f>AJ157-AK157</f>
        <v>2.2097089871612074E-2</v>
      </c>
      <c r="AM158" s="107"/>
      <c r="AN158" s="107"/>
      <c r="AO158" s="107"/>
      <c r="AP158" s="107"/>
      <c r="AQ158" s="107"/>
      <c r="AR158" s="107"/>
      <c r="AS158" s="39"/>
      <c r="AT158" s="107"/>
      <c r="AU158" s="107"/>
      <c r="AV158" s="107"/>
      <c r="AW158" s="107"/>
      <c r="AY158" s="107"/>
      <c r="AZ158" s="109"/>
      <c r="BA158" s="52"/>
      <c r="BB158" s="107"/>
    </row>
    <row r="159" spans="1:54" ht="27" customHeight="1" x14ac:dyDescent="0.3">
      <c r="A159" s="51" t="s">
        <v>60</v>
      </c>
      <c r="B159" s="38" t="s">
        <v>35</v>
      </c>
      <c r="C159" s="27" t="s">
        <v>0</v>
      </c>
      <c r="D159" s="26">
        <v>4504312202</v>
      </c>
      <c r="E159" s="25">
        <v>1402000</v>
      </c>
      <c r="F159" s="24">
        <f>ROUNDDOWN(E159/(1-F158),-1)</f>
        <v>1402000</v>
      </c>
      <c r="G159" s="110">
        <f>ROUNDDOWN(IF(F159*G158&gt;H158,H158,F159*G158),-1)</f>
        <v>112160</v>
      </c>
      <c r="H159" s="111"/>
      <c r="I159" s="112">
        <f>ROUNDDOWN(IF(F159*I158&gt;J158,J158,F159*I158),-1)</f>
        <v>0</v>
      </c>
      <c r="J159" s="113"/>
      <c r="K159" s="112">
        <f>ROUNDDOWN(IF(F159*K158&gt;L158,L158,F159*K158),-1)</f>
        <v>130000</v>
      </c>
      <c r="L159" s="113"/>
      <c r="M159" s="110">
        <f>ROUNDDOWN(IF(Q159*M158&gt;N158,N158,Q159*M158),-1)</f>
        <v>70000</v>
      </c>
      <c r="N159" s="111"/>
      <c r="O159" s="110">
        <f>ROUNDDOWN(IF(F159*O158&gt;P158,P158,F159*O158),-1)</f>
        <v>0</v>
      </c>
      <c r="P159" s="111"/>
      <c r="Q159" s="23">
        <f>F159-G159-I159-K159</f>
        <v>1159840</v>
      </c>
      <c r="R159" s="22">
        <f>F159-G159-I159-K159-M159-O159</f>
        <v>1089840</v>
      </c>
      <c r="S159" s="21"/>
      <c r="T159" s="20">
        <f>F159*T158</f>
        <v>98140.000000000015</v>
      </c>
      <c r="U159" s="20">
        <f>F159*U158</f>
        <v>0</v>
      </c>
      <c r="V159" s="20">
        <f>(F159-I159)*V158</f>
        <v>28040</v>
      </c>
      <c r="W159" s="19">
        <f>(F159*F158)*W158</f>
        <v>0</v>
      </c>
      <c r="X159" s="19">
        <f>G159*X158</f>
        <v>0</v>
      </c>
      <c r="Y159" s="19">
        <f>I159*Y158</f>
        <v>0</v>
      </c>
      <c r="Z159" s="19">
        <f>K159*Z158</f>
        <v>119999.88</v>
      </c>
      <c r="AA159" s="19">
        <f>M159*AA158</f>
        <v>35000</v>
      </c>
      <c r="AB159" s="19">
        <v>0</v>
      </c>
      <c r="AC159" s="16">
        <v>6000</v>
      </c>
      <c r="AD159" s="18">
        <f>F159-T159-U159-V159-W159-AA159-X159-Y159-Z159-AB159</f>
        <v>1120820.1200000001</v>
      </c>
      <c r="AE159" s="18">
        <f>F159-T159-U159-V159-W159-X159-Y159-Z159-AA159-AB159-AC159</f>
        <v>1114820.1200000001</v>
      </c>
      <c r="AF159" s="17">
        <f>AE159-AG159</f>
        <v>171820.12000000011</v>
      </c>
      <c r="AG159" s="16">
        <v>943000</v>
      </c>
      <c r="AH159" s="15">
        <f>AF159/AG159</f>
        <v>0.1822058536585367</v>
      </c>
      <c r="AI159" s="14">
        <f>1-R159/(AG159-AM159-AN159-AO159)</f>
        <v>-0.15571580063626733</v>
      </c>
      <c r="AJ159" s="114">
        <f>(1-R159/F159)-(1-(AD159)/F159)</f>
        <v>2.2097089871612074E-2</v>
      </c>
      <c r="AK159" s="115"/>
      <c r="AM159" s="13"/>
      <c r="AN159" s="12"/>
      <c r="AO159" s="12"/>
      <c r="AP159" s="12"/>
      <c r="AQ159" s="11">
        <f>AE159-(AG159-AM159-AN159-AO159-AP159)</f>
        <v>171820.12000000011</v>
      </c>
      <c r="AR159" s="8">
        <f>AQ159/AG159</f>
        <v>0.1822058536585367</v>
      </c>
      <c r="AT159" s="10">
        <v>0</v>
      </c>
      <c r="AU159" s="10">
        <v>0</v>
      </c>
      <c r="AV159" s="9">
        <f>AQ159-AT159-AU159</f>
        <v>171820.12000000011</v>
      </c>
      <c r="AW159" s="8">
        <f>AV159/AG159</f>
        <v>0.1822058536585367</v>
      </c>
      <c r="AY159" s="7"/>
      <c r="AZ159" s="50"/>
      <c r="BA159" s="52"/>
      <c r="BB159" s="7"/>
    </row>
    <row r="160" spans="1:54" ht="16.5" customHeight="1" x14ac:dyDescent="0.3">
      <c r="A160" s="21" t="s">
        <v>118</v>
      </c>
      <c r="E160" s="5">
        <v>849000</v>
      </c>
      <c r="F160" s="4">
        <f>ROUNDDOWN(E160/(1-F158),-1)</f>
        <v>849000</v>
      </c>
      <c r="G160" s="105">
        <f>ROUNDDOWN(IF(F160*G158&gt;H158,H158,F160*G158),-1)</f>
        <v>67920</v>
      </c>
      <c r="H160" s="105"/>
      <c r="J160" s="54">
        <f>F159*4%</f>
        <v>56080</v>
      </c>
      <c r="R160" s="4">
        <v>739470</v>
      </c>
      <c r="X160" s="3">
        <f>G160*X158</f>
        <v>0</v>
      </c>
      <c r="Y160" s="3"/>
      <c r="Z160" s="3"/>
      <c r="AG160" s="5"/>
    </row>
    <row r="161" spans="1:54" ht="16.5" customHeight="1" x14ac:dyDescent="0.3">
      <c r="E161" s="5"/>
      <c r="F161" s="4"/>
      <c r="G161" s="42"/>
      <c r="H161" s="42"/>
      <c r="J161" s="54"/>
      <c r="X161" s="3"/>
      <c r="Y161" s="3"/>
      <c r="Z161" s="3"/>
      <c r="AG161" s="5"/>
    </row>
    <row r="162" spans="1:54" ht="16.5" customHeight="1" x14ac:dyDescent="0.3">
      <c r="E162" s="5"/>
      <c r="F162" s="4"/>
      <c r="G162" s="42"/>
      <c r="H162" s="42"/>
      <c r="J162" s="54"/>
      <c r="X162" s="3"/>
      <c r="Y162" s="3"/>
      <c r="Z162" s="3"/>
      <c r="AG162" s="5"/>
    </row>
    <row r="163" spans="1:54" ht="27" customHeight="1" x14ac:dyDescent="0.3">
      <c r="A163" s="124" t="s">
        <v>34</v>
      </c>
      <c r="B163" s="127" t="s">
        <v>117</v>
      </c>
      <c r="C163" s="128"/>
      <c r="D163" s="128"/>
      <c r="E163" s="128"/>
      <c r="F163" s="128"/>
      <c r="G163" s="128"/>
      <c r="H163" s="128"/>
      <c r="I163" s="128"/>
      <c r="J163" s="128"/>
      <c r="K163" s="128"/>
      <c r="L163" s="128"/>
      <c r="M163" s="128"/>
      <c r="N163" s="128"/>
      <c r="O163" s="128"/>
      <c r="P163" s="128"/>
      <c r="Q163" s="128"/>
      <c r="R163" s="129"/>
      <c r="T163" s="130" t="s">
        <v>33</v>
      </c>
      <c r="U163" s="131"/>
      <c r="V163" s="131"/>
      <c r="W163" s="131"/>
      <c r="X163" s="131"/>
      <c r="Y163" s="131"/>
      <c r="Z163" s="131"/>
      <c r="AA163" s="131"/>
      <c r="AB163" s="131"/>
      <c r="AC163" s="131"/>
      <c r="AD163" s="131"/>
      <c r="AE163" s="131"/>
      <c r="AF163" s="131"/>
      <c r="AG163" s="131"/>
      <c r="AH163" s="132"/>
      <c r="AI163" s="37"/>
      <c r="AM163" s="130" t="s">
        <v>32</v>
      </c>
      <c r="AN163" s="131"/>
      <c r="AO163" s="131"/>
      <c r="AP163" s="131"/>
      <c r="AQ163" s="131"/>
      <c r="AR163" s="132"/>
      <c r="AT163" s="130" t="s">
        <v>31</v>
      </c>
      <c r="AU163" s="131"/>
      <c r="AV163" s="131"/>
      <c r="AW163" s="132"/>
      <c r="AY163" s="36" t="s">
        <v>36</v>
      </c>
      <c r="AZ163" s="48"/>
      <c r="BA163" s="52"/>
      <c r="BB163" s="36"/>
    </row>
    <row r="164" spans="1:54" ht="32.25" customHeight="1" x14ac:dyDescent="0.3">
      <c r="A164" s="125"/>
      <c r="B164" s="133" t="s">
        <v>30</v>
      </c>
      <c r="C164" s="133" t="s">
        <v>29</v>
      </c>
      <c r="D164" s="116" t="s">
        <v>28</v>
      </c>
      <c r="E164" s="116" t="s">
        <v>27</v>
      </c>
      <c r="F164" s="34" t="s">
        <v>26</v>
      </c>
      <c r="G164" s="122" t="s">
        <v>63</v>
      </c>
      <c r="H164" s="123"/>
      <c r="I164" s="122" t="s">
        <v>50</v>
      </c>
      <c r="J164" s="123"/>
      <c r="K164" s="122" t="s">
        <v>62</v>
      </c>
      <c r="L164" s="123"/>
      <c r="M164" s="122" t="s">
        <v>25</v>
      </c>
      <c r="N164" s="123"/>
      <c r="O164" s="122" t="s">
        <v>24</v>
      </c>
      <c r="P164" s="123"/>
      <c r="Q164" s="106" t="s">
        <v>23</v>
      </c>
      <c r="R164" s="106" t="s">
        <v>22</v>
      </c>
      <c r="S164" s="21"/>
      <c r="T164" s="34" t="s">
        <v>21</v>
      </c>
      <c r="U164" s="34" t="s">
        <v>20</v>
      </c>
      <c r="V164" s="34" t="s">
        <v>95</v>
      </c>
      <c r="W164" s="34" t="s">
        <v>19</v>
      </c>
      <c r="X164" s="34" t="s">
        <v>18</v>
      </c>
      <c r="Y164" s="34" t="s">
        <v>48</v>
      </c>
      <c r="Z164" s="34" t="s">
        <v>49</v>
      </c>
      <c r="AA164" s="34" t="s">
        <v>17</v>
      </c>
      <c r="AB164" s="106" t="s">
        <v>16</v>
      </c>
      <c r="AC164" s="106" t="s">
        <v>15</v>
      </c>
      <c r="AD164" s="106" t="s">
        <v>14</v>
      </c>
      <c r="AE164" s="106" t="s">
        <v>13</v>
      </c>
      <c r="AF164" s="106" t="s">
        <v>12</v>
      </c>
      <c r="AG164" s="116" t="s">
        <v>11</v>
      </c>
      <c r="AH164" s="118" t="s">
        <v>10</v>
      </c>
      <c r="AI164" s="120" t="s">
        <v>9</v>
      </c>
      <c r="AJ164" s="35">
        <f>(1-R166/F166)</f>
        <v>0.22043396226415091</v>
      </c>
      <c r="AK164" s="35">
        <f>1-(AD166+AM166)/F166</f>
        <v>0.19480810062893072</v>
      </c>
      <c r="AM164" s="106" t="s">
        <v>8</v>
      </c>
      <c r="AN164" s="106" t="s">
        <v>7</v>
      </c>
      <c r="AO164" s="106" t="s">
        <v>37</v>
      </c>
      <c r="AP164" s="106" t="s">
        <v>38</v>
      </c>
      <c r="AQ164" s="106" t="s">
        <v>6</v>
      </c>
      <c r="AR164" s="106" t="s">
        <v>5</v>
      </c>
      <c r="AT164" s="106" t="s">
        <v>4</v>
      </c>
      <c r="AU164" s="106" t="s">
        <v>3</v>
      </c>
      <c r="AV164" s="106" t="s">
        <v>2</v>
      </c>
      <c r="AW164" s="106" t="s">
        <v>1</v>
      </c>
      <c r="AY164" s="106"/>
      <c r="AZ164" s="108"/>
      <c r="BA164" s="52"/>
      <c r="BB164" s="106"/>
    </row>
    <row r="165" spans="1:54" ht="27" customHeight="1" x14ac:dyDescent="0.3">
      <c r="A165" s="126"/>
      <c r="B165" s="134"/>
      <c r="C165" s="134"/>
      <c r="D165" s="117"/>
      <c r="E165" s="117"/>
      <c r="F165" s="31">
        <v>0</v>
      </c>
      <c r="G165" s="33">
        <v>0.08</v>
      </c>
      <c r="H165" s="32">
        <v>1000000</v>
      </c>
      <c r="I165" s="31">
        <v>0</v>
      </c>
      <c r="J165" s="32">
        <v>0</v>
      </c>
      <c r="K165" s="31">
        <v>1</v>
      </c>
      <c r="L165" s="32">
        <v>130000</v>
      </c>
      <c r="M165" s="31">
        <v>7.0000000000000007E-2</v>
      </c>
      <c r="N165" s="32">
        <v>150000</v>
      </c>
      <c r="O165" s="31">
        <v>0</v>
      </c>
      <c r="P165" s="32">
        <v>0</v>
      </c>
      <c r="Q165" s="107"/>
      <c r="R165" s="107"/>
      <c r="S165" s="21"/>
      <c r="T165" s="31">
        <f>IF(C166="노트북",7%,IF(C166="저장&amp;주변기기",9%,IF(C166="모니터",7%)))</f>
        <v>7.0000000000000007E-2</v>
      </c>
      <c r="U165" s="31">
        <v>0</v>
      </c>
      <c r="V165" s="31">
        <v>0.02</v>
      </c>
      <c r="W165" s="31">
        <f>IF(G165=0%,20%,0%)</f>
        <v>0</v>
      </c>
      <c r="X165" s="30">
        <v>0</v>
      </c>
      <c r="Y165" s="30">
        <v>1</v>
      </c>
      <c r="Z165" s="53">
        <v>0.92307600000000001</v>
      </c>
      <c r="AA165" s="29">
        <v>0.5</v>
      </c>
      <c r="AB165" s="107"/>
      <c r="AC165" s="107"/>
      <c r="AD165" s="107"/>
      <c r="AE165" s="107"/>
      <c r="AF165" s="107"/>
      <c r="AG165" s="117"/>
      <c r="AH165" s="119"/>
      <c r="AI165" s="121"/>
      <c r="AJ165" s="55" t="s">
        <v>52</v>
      </c>
      <c r="AK165" s="56">
        <f>AJ164-AK164</f>
        <v>2.5625861635220182E-2</v>
      </c>
      <c r="AM165" s="107"/>
      <c r="AN165" s="107"/>
      <c r="AO165" s="107"/>
      <c r="AP165" s="107"/>
      <c r="AQ165" s="107"/>
      <c r="AR165" s="107"/>
      <c r="AS165" s="39"/>
      <c r="AT165" s="107"/>
      <c r="AU165" s="107"/>
      <c r="AV165" s="107"/>
      <c r="AW165" s="107"/>
      <c r="AY165" s="107"/>
      <c r="AZ165" s="109"/>
      <c r="BA165" s="52"/>
      <c r="BB165" s="107"/>
    </row>
    <row r="166" spans="1:54" ht="27" customHeight="1" x14ac:dyDescent="0.3">
      <c r="A166" s="51" t="s">
        <v>64</v>
      </c>
      <c r="B166" s="38" t="s">
        <v>35</v>
      </c>
      <c r="C166" s="27" t="s">
        <v>0</v>
      </c>
      <c r="D166" s="26">
        <v>4624621015</v>
      </c>
      <c r="E166" s="25">
        <v>1590000</v>
      </c>
      <c r="F166" s="24">
        <f>ROUNDDOWN(E166/(1-F165),-1)</f>
        <v>1590000</v>
      </c>
      <c r="G166" s="110">
        <f>ROUNDDOWN(IF(F166*G165&gt;H165,H165,F166*G165),-1)</f>
        <v>127200</v>
      </c>
      <c r="H166" s="111"/>
      <c r="I166" s="112">
        <f>ROUNDDOWN(IF(F166*I165&gt;J165,J165,F166*I165),-1)</f>
        <v>0</v>
      </c>
      <c r="J166" s="113"/>
      <c r="K166" s="112">
        <f>ROUNDDOWN(IF(F166*K165&gt;L165,L165,F166*K165),-1)</f>
        <v>130000</v>
      </c>
      <c r="L166" s="113"/>
      <c r="M166" s="110">
        <f>ROUNDDOWN(IF(Q166*M165&gt;N165,N165,Q166*M165),-1)</f>
        <v>93290</v>
      </c>
      <c r="N166" s="111"/>
      <c r="O166" s="110">
        <f>ROUNDDOWN(IF(F166*O165&gt;P165,P165,F166*O165),-1)</f>
        <v>0</v>
      </c>
      <c r="P166" s="111"/>
      <c r="Q166" s="23">
        <f>F166-G166-I166-K166</f>
        <v>1332800</v>
      </c>
      <c r="R166" s="22">
        <f>F166-G166-I166-K166-M166-O166</f>
        <v>1239510</v>
      </c>
      <c r="S166" s="21"/>
      <c r="T166" s="20">
        <f>F166*T165</f>
        <v>111300.00000000001</v>
      </c>
      <c r="U166" s="20">
        <f>F166*U165</f>
        <v>0</v>
      </c>
      <c r="V166" s="20">
        <f>(F166-I166)*V165</f>
        <v>31800</v>
      </c>
      <c r="W166" s="19">
        <f>(F166*F165)*W165</f>
        <v>0</v>
      </c>
      <c r="X166" s="19">
        <f>G166*X165</f>
        <v>0</v>
      </c>
      <c r="Y166" s="19">
        <f>I166*Y165</f>
        <v>0</v>
      </c>
      <c r="Z166" s="19">
        <f>K166*Z165</f>
        <v>119999.88</v>
      </c>
      <c r="AA166" s="19">
        <f>M166*AA165</f>
        <v>46645</v>
      </c>
      <c r="AB166" s="19">
        <v>0</v>
      </c>
      <c r="AC166" s="16">
        <v>6000</v>
      </c>
      <c r="AD166" s="18">
        <f>F166-T166-U166-V166-W166-AA166-X166-Y166-Z166-AB166</f>
        <v>1280255.1200000001</v>
      </c>
      <c r="AE166" s="18">
        <f>F166-T166-U166-V166-W166-X166-Y166-Z166-AA166-AB166-AC166</f>
        <v>1274255.1200000001</v>
      </c>
      <c r="AF166" s="17">
        <f>AE166-AG166</f>
        <v>214255.12000000011</v>
      </c>
      <c r="AG166" s="16">
        <v>1060000</v>
      </c>
      <c r="AH166" s="15">
        <f>AF166/AG166</f>
        <v>0.20212747169811332</v>
      </c>
      <c r="AI166" s="14">
        <f>1-R166/(AG166-AM166-AN166-AO166)</f>
        <v>-0.16934905660377364</v>
      </c>
      <c r="AJ166" s="114">
        <f>(1-R166/F166)-(1-(AD166)/F166)</f>
        <v>2.5625861635220182E-2</v>
      </c>
      <c r="AK166" s="115"/>
      <c r="AM166" s="13"/>
      <c r="AN166" s="12"/>
      <c r="AO166" s="12"/>
      <c r="AP166" s="12"/>
      <c r="AQ166" s="11">
        <f>AE166-(AG166-AM166-AN166-AO166-AP166)</f>
        <v>214255.12000000011</v>
      </c>
      <c r="AR166" s="8">
        <f>AQ166/AG166</f>
        <v>0.20212747169811332</v>
      </c>
      <c r="AT166" s="10">
        <v>0</v>
      </c>
      <c r="AU166" s="10">
        <v>0</v>
      </c>
      <c r="AV166" s="9">
        <f>AQ166-AT166-AU166</f>
        <v>214255.12000000011</v>
      </c>
      <c r="AW166" s="8">
        <f>AV166/AG166</f>
        <v>0.20212747169811332</v>
      </c>
      <c r="AY166" s="7"/>
      <c r="AZ166" s="50"/>
      <c r="BA166" s="52"/>
      <c r="BB166" s="7"/>
    </row>
    <row r="167" spans="1:54" ht="16.5" customHeight="1" x14ac:dyDescent="0.3">
      <c r="D167" s="21">
        <v>4578276650</v>
      </c>
      <c r="E167" s="5">
        <v>1299000</v>
      </c>
      <c r="F167" s="4">
        <f>ROUNDDOWN(E167/(1-F165),-1)</f>
        <v>1299000</v>
      </c>
      <c r="G167" s="105">
        <f>ROUNDDOWN(IF(F167*G165&gt;H165,H165,F167*G165),-1)</f>
        <v>103920</v>
      </c>
      <c r="H167" s="105"/>
      <c r="J167" s="54">
        <f>F166*4%</f>
        <v>63600</v>
      </c>
      <c r="L167" s="21" t="s">
        <v>89</v>
      </c>
      <c r="R167" s="4">
        <v>868000</v>
      </c>
      <c r="X167" s="3">
        <f>G167*X165</f>
        <v>0</v>
      </c>
      <c r="Y167" s="3"/>
      <c r="Z167" s="3"/>
      <c r="AG167" s="57"/>
    </row>
    <row r="168" spans="1:54" ht="16.5" customHeight="1" x14ac:dyDescent="0.3">
      <c r="E168" s="5"/>
      <c r="F168" s="4"/>
      <c r="G168" s="42"/>
      <c r="H168" s="42"/>
      <c r="J168" s="54"/>
      <c r="X168" s="3"/>
      <c r="Y168" s="3"/>
      <c r="Z168" s="3"/>
      <c r="AG168" s="5"/>
    </row>
    <row r="169" spans="1:54" ht="16.5" customHeight="1" x14ac:dyDescent="0.3">
      <c r="E169" s="5"/>
      <c r="F169" s="4"/>
      <c r="G169" s="42"/>
      <c r="H169" s="42"/>
      <c r="J169" s="54"/>
      <c r="X169" s="3"/>
      <c r="Y169" s="3"/>
      <c r="Z169" s="3"/>
      <c r="AG169" s="5"/>
    </row>
    <row r="170" spans="1:54" ht="27" customHeight="1" x14ac:dyDescent="0.3">
      <c r="A170" s="124" t="s">
        <v>34</v>
      </c>
      <c r="B170" s="127" t="s">
        <v>117</v>
      </c>
      <c r="C170" s="128"/>
      <c r="D170" s="128"/>
      <c r="E170" s="128"/>
      <c r="F170" s="128"/>
      <c r="G170" s="128"/>
      <c r="H170" s="128"/>
      <c r="I170" s="128"/>
      <c r="J170" s="128"/>
      <c r="K170" s="128"/>
      <c r="L170" s="128"/>
      <c r="M170" s="128"/>
      <c r="N170" s="128"/>
      <c r="O170" s="128"/>
      <c r="P170" s="128"/>
      <c r="Q170" s="128"/>
      <c r="R170" s="129"/>
      <c r="T170" s="130" t="s">
        <v>33</v>
      </c>
      <c r="U170" s="131"/>
      <c r="V170" s="131"/>
      <c r="W170" s="131"/>
      <c r="X170" s="131"/>
      <c r="Y170" s="131"/>
      <c r="Z170" s="131"/>
      <c r="AA170" s="131"/>
      <c r="AB170" s="131"/>
      <c r="AC170" s="131"/>
      <c r="AD170" s="131"/>
      <c r="AE170" s="131"/>
      <c r="AF170" s="131"/>
      <c r="AG170" s="131"/>
      <c r="AH170" s="132"/>
      <c r="AI170" s="37"/>
      <c r="AM170" s="130" t="s">
        <v>32</v>
      </c>
      <c r="AN170" s="131"/>
      <c r="AO170" s="131"/>
      <c r="AP170" s="131"/>
      <c r="AQ170" s="131"/>
      <c r="AR170" s="132"/>
      <c r="AT170" s="130" t="s">
        <v>31</v>
      </c>
      <c r="AU170" s="131"/>
      <c r="AV170" s="131"/>
      <c r="AW170" s="132"/>
      <c r="AY170" s="36" t="s">
        <v>36</v>
      </c>
      <c r="AZ170" s="48"/>
      <c r="BA170" s="52"/>
      <c r="BB170" s="36"/>
    </row>
    <row r="171" spans="1:54" ht="32.25" customHeight="1" x14ac:dyDescent="0.3">
      <c r="A171" s="125"/>
      <c r="B171" s="133" t="s">
        <v>30</v>
      </c>
      <c r="C171" s="133" t="s">
        <v>29</v>
      </c>
      <c r="D171" s="116" t="s">
        <v>28</v>
      </c>
      <c r="E171" s="116" t="s">
        <v>27</v>
      </c>
      <c r="F171" s="34" t="s">
        <v>26</v>
      </c>
      <c r="G171" s="122" t="s">
        <v>63</v>
      </c>
      <c r="H171" s="123"/>
      <c r="I171" s="122" t="s">
        <v>50</v>
      </c>
      <c r="J171" s="123"/>
      <c r="K171" s="122" t="s">
        <v>62</v>
      </c>
      <c r="L171" s="123"/>
      <c r="M171" s="122" t="s">
        <v>25</v>
      </c>
      <c r="N171" s="123"/>
      <c r="O171" s="122" t="s">
        <v>24</v>
      </c>
      <c r="P171" s="123"/>
      <c r="Q171" s="106" t="s">
        <v>23</v>
      </c>
      <c r="R171" s="106" t="s">
        <v>22</v>
      </c>
      <c r="S171" s="21"/>
      <c r="T171" s="34" t="s">
        <v>21</v>
      </c>
      <c r="U171" s="34" t="s">
        <v>20</v>
      </c>
      <c r="V171" s="34" t="s">
        <v>95</v>
      </c>
      <c r="W171" s="34" t="s">
        <v>19</v>
      </c>
      <c r="X171" s="34" t="s">
        <v>18</v>
      </c>
      <c r="Y171" s="34" t="s">
        <v>48</v>
      </c>
      <c r="Z171" s="34" t="s">
        <v>49</v>
      </c>
      <c r="AA171" s="34" t="s">
        <v>17</v>
      </c>
      <c r="AB171" s="106" t="s">
        <v>16</v>
      </c>
      <c r="AC171" s="106" t="s">
        <v>15</v>
      </c>
      <c r="AD171" s="106" t="s">
        <v>14</v>
      </c>
      <c r="AE171" s="106" t="s">
        <v>13</v>
      </c>
      <c r="AF171" s="106" t="s">
        <v>12</v>
      </c>
      <c r="AG171" s="116" t="s">
        <v>11</v>
      </c>
      <c r="AH171" s="118" t="s">
        <v>10</v>
      </c>
      <c r="AI171" s="120" t="s">
        <v>9</v>
      </c>
      <c r="AJ171" s="35">
        <f>(1-R173/F173)</f>
        <v>0.2258114478114478</v>
      </c>
      <c r="AK171" s="35">
        <f>1-(AD173+AM173)/F173</f>
        <v>0.19994268013468008</v>
      </c>
      <c r="AM171" s="106" t="s">
        <v>8</v>
      </c>
      <c r="AN171" s="106" t="s">
        <v>7</v>
      </c>
      <c r="AO171" s="106" t="s">
        <v>37</v>
      </c>
      <c r="AP171" s="106" t="s">
        <v>38</v>
      </c>
      <c r="AQ171" s="106" t="s">
        <v>6</v>
      </c>
      <c r="AR171" s="106" t="s">
        <v>5</v>
      </c>
      <c r="AT171" s="106" t="s">
        <v>4</v>
      </c>
      <c r="AU171" s="106" t="s">
        <v>3</v>
      </c>
      <c r="AV171" s="106" t="s">
        <v>2</v>
      </c>
      <c r="AW171" s="106" t="s">
        <v>1</v>
      </c>
      <c r="AY171" s="106"/>
      <c r="AZ171" s="108"/>
      <c r="BA171" s="52"/>
      <c r="BB171" s="106"/>
    </row>
    <row r="172" spans="1:54" ht="27" customHeight="1" x14ac:dyDescent="0.3">
      <c r="A172" s="126"/>
      <c r="B172" s="134"/>
      <c r="C172" s="134"/>
      <c r="D172" s="117"/>
      <c r="E172" s="117"/>
      <c r="F172" s="31">
        <v>0</v>
      </c>
      <c r="G172" s="33">
        <v>0.08</v>
      </c>
      <c r="H172" s="32">
        <v>1000000</v>
      </c>
      <c r="I172" s="31">
        <v>0</v>
      </c>
      <c r="J172" s="32">
        <v>0</v>
      </c>
      <c r="K172" s="31">
        <v>1</v>
      </c>
      <c r="L172" s="32">
        <v>130000</v>
      </c>
      <c r="M172" s="31">
        <v>7.0000000000000007E-2</v>
      </c>
      <c r="N172" s="32">
        <v>150000</v>
      </c>
      <c r="O172" s="31">
        <v>0</v>
      </c>
      <c r="P172" s="32">
        <v>0</v>
      </c>
      <c r="Q172" s="107"/>
      <c r="R172" s="107"/>
      <c r="S172" s="21"/>
      <c r="T172" s="31">
        <f>IF(C173="노트북",7%,IF(C173="저장&amp;주변기기",9%,IF(C173="모니터",7%)))</f>
        <v>7.0000000000000007E-2</v>
      </c>
      <c r="U172" s="31">
        <v>0</v>
      </c>
      <c r="V172" s="31">
        <v>0.02</v>
      </c>
      <c r="W172" s="31">
        <f>IF(G172=0%,20%,0%)</f>
        <v>0</v>
      </c>
      <c r="X172" s="30">
        <v>0</v>
      </c>
      <c r="Y172" s="30">
        <v>1</v>
      </c>
      <c r="Z172" s="53">
        <v>0.92307600000000001</v>
      </c>
      <c r="AA172" s="29">
        <v>0.5</v>
      </c>
      <c r="AB172" s="107"/>
      <c r="AC172" s="107"/>
      <c r="AD172" s="107"/>
      <c r="AE172" s="107"/>
      <c r="AF172" s="107"/>
      <c r="AG172" s="117"/>
      <c r="AH172" s="119"/>
      <c r="AI172" s="121"/>
      <c r="AJ172" s="55" t="s">
        <v>52</v>
      </c>
      <c r="AK172" s="56">
        <f>AJ171-AK171</f>
        <v>2.5868767676767712E-2</v>
      </c>
      <c r="AM172" s="107"/>
      <c r="AN172" s="107"/>
      <c r="AO172" s="107"/>
      <c r="AP172" s="107"/>
      <c r="AQ172" s="107"/>
      <c r="AR172" s="107"/>
      <c r="AS172" s="39"/>
      <c r="AT172" s="107"/>
      <c r="AU172" s="107"/>
      <c r="AV172" s="107"/>
      <c r="AW172" s="107"/>
      <c r="AY172" s="107"/>
      <c r="AZ172" s="109"/>
      <c r="BA172" s="52"/>
      <c r="BB172" s="107"/>
    </row>
    <row r="173" spans="1:54" ht="27" customHeight="1" x14ac:dyDescent="0.3">
      <c r="A173" s="51" t="s">
        <v>65</v>
      </c>
      <c r="B173" s="38" t="s">
        <v>35</v>
      </c>
      <c r="C173" s="27" t="s">
        <v>0</v>
      </c>
      <c r="D173" s="26">
        <v>4668034795</v>
      </c>
      <c r="E173" s="25">
        <v>1485000</v>
      </c>
      <c r="F173" s="24">
        <f>ROUNDDOWN(E173/(1-F172),-1)</f>
        <v>1485000</v>
      </c>
      <c r="G173" s="110">
        <f>ROUNDDOWN(IF(F173*G172&gt;H172,H172,F173*G172),-1)</f>
        <v>118800</v>
      </c>
      <c r="H173" s="111"/>
      <c r="I173" s="112">
        <f>ROUNDDOWN(IF(F173*I172&gt;J172,J172,F173*I172),-1)</f>
        <v>0</v>
      </c>
      <c r="J173" s="113"/>
      <c r="K173" s="112">
        <f>ROUNDDOWN(IF(F173*K172&gt;L172,L172,F173*K172),-1)</f>
        <v>130000</v>
      </c>
      <c r="L173" s="113"/>
      <c r="M173" s="110">
        <f>ROUNDDOWN(IF(Q173*M172&gt;N172,N172,Q173*M172),-1)</f>
        <v>86530</v>
      </c>
      <c r="N173" s="111"/>
      <c r="O173" s="110">
        <f>ROUNDDOWN(IF(F173*O172&gt;P172,P172,F173*O172),-1)</f>
        <v>0</v>
      </c>
      <c r="P173" s="111"/>
      <c r="Q173" s="23">
        <f>F173-G173-I173-K173</f>
        <v>1236200</v>
      </c>
      <c r="R173" s="22">
        <f>F173-G173-I173-K173-M173-O173</f>
        <v>1149670</v>
      </c>
      <c r="S173" s="21"/>
      <c r="T173" s="20">
        <f>F173*T172</f>
        <v>103950.00000000001</v>
      </c>
      <c r="U173" s="20">
        <f>F173*U172</f>
        <v>0</v>
      </c>
      <c r="V173" s="20">
        <f>(F173-I173)*V172</f>
        <v>29700</v>
      </c>
      <c r="W173" s="19">
        <f>(F173*F172)*W172</f>
        <v>0</v>
      </c>
      <c r="X173" s="19">
        <f>G173*X172</f>
        <v>0</v>
      </c>
      <c r="Y173" s="19">
        <f>I173*Y172</f>
        <v>0</v>
      </c>
      <c r="Z173" s="19">
        <f>K173*Z172</f>
        <v>119999.88</v>
      </c>
      <c r="AA173" s="19">
        <f>M173*AA172</f>
        <v>43265</v>
      </c>
      <c r="AB173" s="19">
        <v>0</v>
      </c>
      <c r="AC173" s="16">
        <v>6000</v>
      </c>
      <c r="AD173" s="18">
        <f>F173-T173-U173-V173-W173-AA173-X173-Y173-Z173-AB173</f>
        <v>1188085.1200000001</v>
      </c>
      <c r="AE173" s="18">
        <f>F173-T173-U173-V173-W173-X173-Y173-Z173-AA173-AB173-AC173</f>
        <v>1182085.1200000001</v>
      </c>
      <c r="AF173" s="17">
        <f>AE173-AG173</f>
        <v>114085.12000000011</v>
      </c>
      <c r="AG173" s="16">
        <v>1068000</v>
      </c>
      <c r="AH173" s="15">
        <f>AF173/AG173</f>
        <v>0.10682127340823981</v>
      </c>
      <c r="AI173" s="14">
        <f>1-R173/(AG173-AM173-AN173-AO173)</f>
        <v>-7.6470037453183481E-2</v>
      </c>
      <c r="AJ173" s="114">
        <f>(1-R173/F173)-(1-(AD173)/F173)</f>
        <v>2.5868767676767712E-2</v>
      </c>
      <c r="AK173" s="115"/>
      <c r="AM173" s="13"/>
      <c r="AN173" s="12"/>
      <c r="AO173" s="12"/>
      <c r="AP173" s="12"/>
      <c r="AQ173" s="11">
        <f>AE173-(AG173-AM173-AN173-AO173-AP173)</f>
        <v>114085.12000000011</v>
      </c>
      <c r="AR173" s="8">
        <f>AQ173/AG173</f>
        <v>0.10682127340823981</v>
      </c>
      <c r="AT173" s="10">
        <v>0</v>
      </c>
      <c r="AU173" s="10">
        <v>0</v>
      </c>
      <c r="AV173" s="9">
        <f>AQ173-AT173-AU173</f>
        <v>114085.12000000011</v>
      </c>
      <c r="AW173" s="8">
        <f>AV173/AG173</f>
        <v>0.10682127340823981</v>
      </c>
      <c r="AY173" s="7"/>
      <c r="AZ173" s="50"/>
      <c r="BA173" s="52"/>
      <c r="BB173" s="7"/>
    </row>
    <row r="174" spans="1:54" ht="16.5" customHeight="1" x14ac:dyDescent="0.3">
      <c r="D174" s="21">
        <v>4578283620</v>
      </c>
      <c r="E174" s="5">
        <v>1149000</v>
      </c>
      <c r="F174" s="4">
        <f>ROUNDDOWN(E174/(1-F172),-1)</f>
        <v>1149000</v>
      </c>
      <c r="G174" s="105">
        <f>ROUNDDOWN(IF(F174*G172&gt;H172,H172,F174*G172),-1)</f>
        <v>91920</v>
      </c>
      <c r="H174" s="105"/>
      <c r="J174" s="54">
        <f>F173*4%</f>
        <v>59400</v>
      </c>
      <c r="L174" s="21"/>
      <c r="R174" s="4"/>
      <c r="X174" s="3">
        <f>G174*X172</f>
        <v>0</v>
      </c>
      <c r="Y174" s="3"/>
      <c r="Z174" s="3"/>
      <c r="AG174" s="57"/>
    </row>
    <row r="175" spans="1:54" ht="16.5" customHeight="1" x14ac:dyDescent="0.3">
      <c r="E175" s="5"/>
      <c r="F175" s="4"/>
      <c r="G175" s="42"/>
      <c r="H175" s="42"/>
      <c r="J175" s="54"/>
      <c r="X175" s="3"/>
      <c r="Y175" s="3"/>
      <c r="Z175" s="3"/>
      <c r="AG175" s="5"/>
    </row>
    <row r="176" spans="1:54" ht="16.5" customHeight="1" x14ac:dyDescent="0.3">
      <c r="E176" s="5"/>
      <c r="F176" s="4"/>
      <c r="G176" s="42"/>
      <c r="H176" s="42"/>
      <c r="J176" s="54"/>
      <c r="X176" s="3"/>
      <c r="Y176" s="3"/>
      <c r="Z176" s="3"/>
      <c r="AG176" s="5"/>
    </row>
    <row r="177" spans="1:54" ht="27" customHeight="1" x14ac:dyDescent="0.3">
      <c r="A177" s="124" t="s">
        <v>34</v>
      </c>
      <c r="B177" s="127" t="s">
        <v>117</v>
      </c>
      <c r="C177" s="128"/>
      <c r="D177" s="128"/>
      <c r="E177" s="128"/>
      <c r="F177" s="128"/>
      <c r="G177" s="128"/>
      <c r="H177" s="128"/>
      <c r="I177" s="128"/>
      <c r="J177" s="128"/>
      <c r="K177" s="128"/>
      <c r="L177" s="128"/>
      <c r="M177" s="128"/>
      <c r="N177" s="128"/>
      <c r="O177" s="128"/>
      <c r="P177" s="128"/>
      <c r="Q177" s="128"/>
      <c r="R177" s="129"/>
      <c r="T177" s="130" t="s">
        <v>33</v>
      </c>
      <c r="U177" s="131"/>
      <c r="V177" s="131"/>
      <c r="W177" s="131"/>
      <c r="X177" s="131"/>
      <c r="Y177" s="131"/>
      <c r="Z177" s="131"/>
      <c r="AA177" s="131"/>
      <c r="AB177" s="131"/>
      <c r="AC177" s="131"/>
      <c r="AD177" s="131"/>
      <c r="AE177" s="131"/>
      <c r="AF177" s="131"/>
      <c r="AG177" s="131"/>
      <c r="AH177" s="132"/>
      <c r="AI177" s="37"/>
      <c r="AM177" s="130" t="s">
        <v>32</v>
      </c>
      <c r="AN177" s="131"/>
      <c r="AO177" s="131"/>
      <c r="AP177" s="131"/>
      <c r="AQ177" s="131"/>
      <c r="AR177" s="132"/>
      <c r="AT177" s="130" t="s">
        <v>31</v>
      </c>
      <c r="AU177" s="131"/>
      <c r="AV177" s="131"/>
      <c r="AW177" s="132"/>
      <c r="AY177" s="36" t="s">
        <v>36</v>
      </c>
      <c r="AZ177" s="48"/>
      <c r="BA177" s="52"/>
      <c r="BB177" s="36"/>
    </row>
    <row r="178" spans="1:54" ht="32.25" customHeight="1" x14ac:dyDescent="0.3">
      <c r="A178" s="125"/>
      <c r="B178" s="133" t="s">
        <v>30</v>
      </c>
      <c r="C178" s="133" t="s">
        <v>29</v>
      </c>
      <c r="D178" s="116" t="s">
        <v>28</v>
      </c>
      <c r="E178" s="116" t="s">
        <v>27</v>
      </c>
      <c r="F178" s="34" t="s">
        <v>26</v>
      </c>
      <c r="G178" s="122" t="s">
        <v>63</v>
      </c>
      <c r="H178" s="123"/>
      <c r="I178" s="122" t="s">
        <v>50</v>
      </c>
      <c r="J178" s="123"/>
      <c r="K178" s="122" t="s">
        <v>62</v>
      </c>
      <c r="L178" s="123"/>
      <c r="M178" s="122" t="s">
        <v>25</v>
      </c>
      <c r="N178" s="123"/>
      <c r="O178" s="122" t="s">
        <v>24</v>
      </c>
      <c r="P178" s="123"/>
      <c r="Q178" s="106" t="s">
        <v>23</v>
      </c>
      <c r="R178" s="106" t="s">
        <v>22</v>
      </c>
      <c r="S178" s="21"/>
      <c r="T178" s="34" t="s">
        <v>21</v>
      </c>
      <c r="U178" s="34" t="s">
        <v>20</v>
      </c>
      <c r="V178" s="34" t="s">
        <v>95</v>
      </c>
      <c r="W178" s="34" t="s">
        <v>19</v>
      </c>
      <c r="X178" s="34" t="s">
        <v>18</v>
      </c>
      <c r="Y178" s="34" t="s">
        <v>48</v>
      </c>
      <c r="Z178" s="34" t="s">
        <v>49</v>
      </c>
      <c r="AA178" s="34" t="s">
        <v>17</v>
      </c>
      <c r="AB178" s="106" t="s">
        <v>16</v>
      </c>
      <c r="AC178" s="106" t="s">
        <v>15</v>
      </c>
      <c r="AD178" s="106" t="s">
        <v>14</v>
      </c>
      <c r="AE178" s="106" t="s">
        <v>13</v>
      </c>
      <c r="AF178" s="106" t="s">
        <v>12</v>
      </c>
      <c r="AG178" s="116" t="s">
        <v>11</v>
      </c>
      <c r="AH178" s="118" t="s">
        <v>10</v>
      </c>
      <c r="AI178" s="120" t="s">
        <v>9</v>
      </c>
      <c r="AJ178" s="35">
        <f>(1-R180/F180)</f>
        <v>0.22043396226415091</v>
      </c>
      <c r="AK178" s="35">
        <f>1-(AD180+AM180)/F180</f>
        <v>0.19480810062893072</v>
      </c>
      <c r="AM178" s="106" t="s">
        <v>8</v>
      </c>
      <c r="AN178" s="106" t="s">
        <v>7</v>
      </c>
      <c r="AO178" s="106" t="s">
        <v>37</v>
      </c>
      <c r="AP178" s="106" t="s">
        <v>38</v>
      </c>
      <c r="AQ178" s="106" t="s">
        <v>6</v>
      </c>
      <c r="AR178" s="106" t="s">
        <v>5</v>
      </c>
      <c r="AT178" s="106" t="s">
        <v>4</v>
      </c>
      <c r="AU178" s="106" t="s">
        <v>3</v>
      </c>
      <c r="AV178" s="106" t="s">
        <v>2</v>
      </c>
      <c r="AW178" s="106" t="s">
        <v>1</v>
      </c>
      <c r="AY178" s="106"/>
      <c r="AZ178" s="108"/>
      <c r="BA178" s="52"/>
      <c r="BB178" s="106"/>
    </row>
    <row r="179" spans="1:54" ht="27" customHeight="1" x14ac:dyDescent="0.3">
      <c r="A179" s="126"/>
      <c r="B179" s="134"/>
      <c r="C179" s="134"/>
      <c r="D179" s="117"/>
      <c r="E179" s="117"/>
      <c r="F179" s="31">
        <v>0</v>
      </c>
      <c r="G179" s="33">
        <v>0.08</v>
      </c>
      <c r="H179" s="32">
        <v>1000000</v>
      </c>
      <c r="I179" s="31">
        <v>0</v>
      </c>
      <c r="J179" s="32">
        <v>0</v>
      </c>
      <c r="K179" s="31">
        <v>1</v>
      </c>
      <c r="L179" s="32">
        <v>130000</v>
      </c>
      <c r="M179" s="31">
        <v>7.0000000000000007E-2</v>
      </c>
      <c r="N179" s="32">
        <v>150000</v>
      </c>
      <c r="O179" s="31">
        <v>0</v>
      </c>
      <c r="P179" s="32">
        <v>0</v>
      </c>
      <c r="Q179" s="107"/>
      <c r="R179" s="107"/>
      <c r="S179" s="21"/>
      <c r="T179" s="31">
        <f>IF(C180="노트북",7%,IF(C180="저장&amp;주변기기",9%,IF(C180="모니터",7%)))</f>
        <v>7.0000000000000007E-2</v>
      </c>
      <c r="U179" s="31">
        <v>0</v>
      </c>
      <c r="V179" s="31">
        <v>0.02</v>
      </c>
      <c r="W179" s="31">
        <f>IF(G179=0%,20%,0%)</f>
        <v>0</v>
      </c>
      <c r="X179" s="30">
        <v>0</v>
      </c>
      <c r="Y179" s="30">
        <v>1</v>
      </c>
      <c r="Z179" s="53">
        <v>0.92307600000000001</v>
      </c>
      <c r="AA179" s="29">
        <v>0.5</v>
      </c>
      <c r="AB179" s="107"/>
      <c r="AC179" s="107"/>
      <c r="AD179" s="107"/>
      <c r="AE179" s="107"/>
      <c r="AF179" s="107"/>
      <c r="AG179" s="117"/>
      <c r="AH179" s="119"/>
      <c r="AI179" s="121"/>
      <c r="AJ179" s="55" t="s">
        <v>52</v>
      </c>
      <c r="AK179" s="56">
        <f>AJ178-AK178</f>
        <v>2.5625861635220182E-2</v>
      </c>
      <c r="AM179" s="107"/>
      <c r="AN179" s="107"/>
      <c r="AO179" s="107"/>
      <c r="AP179" s="107"/>
      <c r="AQ179" s="107"/>
      <c r="AR179" s="107"/>
      <c r="AS179" s="39"/>
      <c r="AT179" s="107"/>
      <c r="AU179" s="107"/>
      <c r="AV179" s="107"/>
      <c r="AW179" s="107"/>
      <c r="AY179" s="107"/>
      <c r="AZ179" s="109"/>
      <c r="BA179" s="52"/>
      <c r="BB179" s="107"/>
    </row>
    <row r="180" spans="1:54" ht="27" customHeight="1" x14ac:dyDescent="0.3">
      <c r="A180" s="51" t="s">
        <v>66</v>
      </c>
      <c r="B180" s="38" t="s">
        <v>35</v>
      </c>
      <c r="C180" s="27" t="s">
        <v>0</v>
      </c>
      <c r="D180" s="26">
        <v>4668027223</v>
      </c>
      <c r="E180" s="25">
        <v>1590000</v>
      </c>
      <c r="F180" s="24">
        <f>ROUNDDOWN(E180/(1-F179),-1)</f>
        <v>1590000</v>
      </c>
      <c r="G180" s="110">
        <f>ROUNDDOWN(IF(F180*G179&gt;H179,H179,F180*G179),-1)</f>
        <v>127200</v>
      </c>
      <c r="H180" s="111"/>
      <c r="I180" s="112">
        <f>ROUNDDOWN(IF(F180*I179&gt;J179,J179,F180*I179),-1)</f>
        <v>0</v>
      </c>
      <c r="J180" s="113"/>
      <c r="K180" s="112">
        <f>ROUNDDOWN(IF(F180*K179&gt;L179,L179,F180*K179),-1)</f>
        <v>130000</v>
      </c>
      <c r="L180" s="113"/>
      <c r="M180" s="110">
        <f>ROUNDDOWN(IF(Q180*M179&gt;N179,N179,Q180*M179),-1)</f>
        <v>93290</v>
      </c>
      <c r="N180" s="111"/>
      <c r="O180" s="110">
        <f>ROUNDDOWN(IF(F180*O179&gt;P179,P179,F180*O179),-1)</f>
        <v>0</v>
      </c>
      <c r="P180" s="111"/>
      <c r="Q180" s="23">
        <f>F180-G180-I180-K180</f>
        <v>1332800</v>
      </c>
      <c r="R180" s="22">
        <f>F180-G180-I180-K180-M180-O180</f>
        <v>1239510</v>
      </c>
      <c r="S180" s="21"/>
      <c r="T180" s="20">
        <f>F180*T179</f>
        <v>111300.00000000001</v>
      </c>
      <c r="U180" s="20">
        <f>F180*U179</f>
        <v>0</v>
      </c>
      <c r="V180" s="20">
        <f>(F180-I180)*V179</f>
        <v>31800</v>
      </c>
      <c r="W180" s="19">
        <f>(F180*F179)*W179</f>
        <v>0</v>
      </c>
      <c r="X180" s="19">
        <f>G180*X179</f>
        <v>0</v>
      </c>
      <c r="Y180" s="19">
        <f>I180*Y179</f>
        <v>0</v>
      </c>
      <c r="Z180" s="19">
        <f>K180*Z179</f>
        <v>119999.88</v>
      </c>
      <c r="AA180" s="19">
        <f>M180*AA179</f>
        <v>46645</v>
      </c>
      <c r="AB180" s="19">
        <v>0</v>
      </c>
      <c r="AC180" s="16">
        <v>6000</v>
      </c>
      <c r="AD180" s="18">
        <f>F180-T180-U180-V180-W180-AA180-X180-Y180-Z180-AB180</f>
        <v>1280255.1200000001</v>
      </c>
      <c r="AE180" s="18">
        <f>F180-T180-U180-V180-W180-X180-Y180-Z180-AA180-AB180-AC180</f>
        <v>1274255.1200000001</v>
      </c>
      <c r="AF180" s="17">
        <f>AE180-AG180</f>
        <v>66255.120000000112</v>
      </c>
      <c r="AG180" s="16">
        <v>1208000</v>
      </c>
      <c r="AH180" s="15">
        <f>AF180/AG180</f>
        <v>5.4846953642384198E-2</v>
      </c>
      <c r="AI180" s="14">
        <f>1-R180/(AG180-AM180-AN180-AO180)</f>
        <v>-2.6084437086092649E-2</v>
      </c>
      <c r="AJ180" s="114">
        <f>(1-R180/F180)-(1-(AD180)/F180)</f>
        <v>2.5625861635220182E-2</v>
      </c>
      <c r="AK180" s="115"/>
      <c r="AM180" s="13"/>
      <c r="AN180" s="12"/>
      <c r="AO180" s="12"/>
      <c r="AP180" s="12"/>
      <c r="AQ180" s="11">
        <f>AE180-(AG180-AM180-AN180-AO180-AP180)</f>
        <v>66255.120000000112</v>
      </c>
      <c r="AR180" s="8">
        <f>AQ180/AG180</f>
        <v>5.4846953642384198E-2</v>
      </c>
      <c r="AT180" s="10">
        <v>0</v>
      </c>
      <c r="AU180" s="10">
        <v>0</v>
      </c>
      <c r="AV180" s="9">
        <f>AQ180-AT180-AU180</f>
        <v>66255.120000000112</v>
      </c>
      <c r="AW180" s="8">
        <f>AV180/AG180</f>
        <v>5.4846953642384198E-2</v>
      </c>
      <c r="AY180" s="7"/>
      <c r="AZ180" s="50"/>
      <c r="BA180" s="52"/>
      <c r="BB180" s="7"/>
    </row>
    <row r="181" spans="1:54" ht="16.5" customHeight="1" x14ac:dyDescent="0.3">
      <c r="D181" s="21">
        <v>4578292820</v>
      </c>
      <c r="E181" s="5">
        <v>1299000</v>
      </c>
      <c r="F181" s="4">
        <f>ROUNDDOWN(E181/(1-F179),-1)</f>
        <v>1299000</v>
      </c>
      <c r="G181" s="105">
        <f>ROUNDDOWN(IF(F181*G179&gt;H179,H179,F181*G179),-1)</f>
        <v>103920</v>
      </c>
      <c r="H181" s="105"/>
      <c r="J181" s="54">
        <f>F180*4%</f>
        <v>63600</v>
      </c>
      <c r="L181" s="21" t="s">
        <v>89</v>
      </c>
      <c r="R181" s="4">
        <v>878000</v>
      </c>
      <c r="X181" s="3">
        <f>G181*X179</f>
        <v>0</v>
      </c>
      <c r="Y181" s="3"/>
      <c r="Z181" s="3"/>
      <c r="AG181" s="57"/>
    </row>
    <row r="182" spans="1:54" ht="16.5" customHeight="1" x14ac:dyDescent="0.3">
      <c r="E182" s="5"/>
      <c r="F182" s="4"/>
      <c r="G182" s="42"/>
      <c r="H182" s="42"/>
      <c r="J182" s="54"/>
      <c r="X182" s="3"/>
      <c r="Y182" s="3"/>
      <c r="Z182" s="3"/>
      <c r="AG182" s="5"/>
    </row>
    <row r="184" spans="1:54" ht="27" customHeight="1" x14ac:dyDescent="0.3">
      <c r="A184" s="124" t="s">
        <v>34</v>
      </c>
      <c r="B184" s="127" t="s">
        <v>117</v>
      </c>
      <c r="C184" s="128"/>
      <c r="D184" s="128"/>
      <c r="E184" s="128"/>
      <c r="F184" s="128"/>
      <c r="G184" s="128"/>
      <c r="H184" s="128"/>
      <c r="I184" s="128"/>
      <c r="J184" s="128"/>
      <c r="K184" s="128"/>
      <c r="L184" s="128"/>
      <c r="M184" s="128"/>
      <c r="N184" s="128"/>
      <c r="O184" s="128"/>
      <c r="P184" s="128"/>
      <c r="Q184" s="128"/>
      <c r="R184" s="129"/>
      <c r="T184" s="130" t="s">
        <v>33</v>
      </c>
      <c r="U184" s="131"/>
      <c r="V184" s="131"/>
      <c r="W184" s="131"/>
      <c r="X184" s="131"/>
      <c r="Y184" s="131"/>
      <c r="Z184" s="131"/>
      <c r="AA184" s="131"/>
      <c r="AB184" s="131"/>
      <c r="AC184" s="131"/>
      <c r="AD184" s="131"/>
      <c r="AE184" s="131"/>
      <c r="AF184" s="131"/>
      <c r="AG184" s="131"/>
      <c r="AH184" s="132"/>
      <c r="AI184" s="37"/>
      <c r="AM184" s="130" t="s">
        <v>32</v>
      </c>
      <c r="AN184" s="131"/>
      <c r="AO184" s="131"/>
      <c r="AP184" s="131"/>
      <c r="AQ184" s="131"/>
      <c r="AR184" s="132"/>
      <c r="AT184" s="130" t="s">
        <v>31</v>
      </c>
      <c r="AU184" s="131"/>
      <c r="AV184" s="131"/>
      <c r="AW184" s="132"/>
      <c r="AY184" s="36" t="s">
        <v>36</v>
      </c>
      <c r="AZ184" s="48"/>
      <c r="BA184" s="52"/>
      <c r="BB184" s="36"/>
    </row>
    <row r="185" spans="1:54" ht="32.25" customHeight="1" x14ac:dyDescent="0.3">
      <c r="A185" s="125"/>
      <c r="B185" s="133" t="s">
        <v>30</v>
      </c>
      <c r="C185" s="133" t="s">
        <v>29</v>
      </c>
      <c r="D185" s="116" t="s">
        <v>28</v>
      </c>
      <c r="E185" s="116" t="s">
        <v>27</v>
      </c>
      <c r="F185" s="34" t="s">
        <v>26</v>
      </c>
      <c r="G185" s="122" t="s">
        <v>63</v>
      </c>
      <c r="H185" s="123"/>
      <c r="I185" s="122" t="s">
        <v>50</v>
      </c>
      <c r="J185" s="123"/>
      <c r="K185" s="122" t="s">
        <v>62</v>
      </c>
      <c r="L185" s="123"/>
      <c r="M185" s="122" t="s">
        <v>25</v>
      </c>
      <c r="N185" s="123"/>
      <c r="O185" s="122" t="s">
        <v>24</v>
      </c>
      <c r="P185" s="123"/>
      <c r="Q185" s="106" t="s">
        <v>23</v>
      </c>
      <c r="R185" s="106" t="s">
        <v>22</v>
      </c>
      <c r="S185" s="21"/>
      <c r="T185" s="34" t="s">
        <v>21</v>
      </c>
      <c r="U185" s="34" t="s">
        <v>20</v>
      </c>
      <c r="V185" s="34" t="s">
        <v>95</v>
      </c>
      <c r="W185" s="34" t="s">
        <v>19</v>
      </c>
      <c r="X185" s="34" t="s">
        <v>18</v>
      </c>
      <c r="Y185" s="34" t="s">
        <v>48</v>
      </c>
      <c r="Z185" s="34" t="s">
        <v>49</v>
      </c>
      <c r="AA185" s="34" t="s">
        <v>17</v>
      </c>
      <c r="AB185" s="106" t="s">
        <v>16</v>
      </c>
      <c r="AC185" s="106" t="s">
        <v>15</v>
      </c>
      <c r="AD185" s="106" t="s">
        <v>14</v>
      </c>
      <c r="AE185" s="106" t="s">
        <v>13</v>
      </c>
      <c r="AF185" s="106" t="s">
        <v>12</v>
      </c>
      <c r="AG185" s="116" t="s">
        <v>11</v>
      </c>
      <c r="AH185" s="118" t="s">
        <v>10</v>
      </c>
      <c r="AI185" s="120" t="s">
        <v>9</v>
      </c>
      <c r="AJ185" s="35">
        <f>(1-R187/F187)</f>
        <v>0.2138002296211251</v>
      </c>
      <c r="AK185" s="35">
        <f>1-(AD187+AM187)/F187</f>
        <v>0.18847295063145808</v>
      </c>
      <c r="AM185" s="106" t="s">
        <v>8</v>
      </c>
      <c r="AN185" s="106" t="s">
        <v>7</v>
      </c>
      <c r="AO185" s="106" t="s">
        <v>37</v>
      </c>
      <c r="AP185" s="106" t="s">
        <v>38</v>
      </c>
      <c r="AQ185" s="106" t="s">
        <v>6</v>
      </c>
      <c r="AR185" s="106" t="s">
        <v>5</v>
      </c>
      <c r="AT185" s="106" t="s">
        <v>4</v>
      </c>
      <c r="AU185" s="106" t="s">
        <v>3</v>
      </c>
      <c r="AV185" s="106" t="s">
        <v>2</v>
      </c>
      <c r="AW185" s="106" t="s">
        <v>1</v>
      </c>
      <c r="AY185" s="106"/>
      <c r="AZ185" s="108"/>
      <c r="BA185" s="52"/>
      <c r="BB185" s="106"/>
    </row>
    <row r="186" spans="1:54" ht="27" customHeight="1" x14ac:dyDescent="0.3">
      <c r="A186" s="126"/>
      <c r="B186" s="134"/>
      <c r="C186" s="134"/>
      <c r="D186" s="117"/>
      <c r="E186" s="117"/>
      <c r="F186" s="31">
        <v>0</v>
      </c>
      <c r="G186" s="33">
        <v>0.08</v>
      </c>
      <c r="H186" s="32">
        <v>1000000</v>
      </c>
      <c r="I186" s="31">
        <v>0</v>
      </c>
      <c r="J186" s="32">
        <v>0</v>
      </c>
      <c r="K186" s="31">
        <v>1</v>
      </c>
      <c r="L186" s="32">
        <v>130000</v>
      </c>
      <c r="M186" s="31">
        <v>7.0000000000000007E-2</v>
      </c>
      <c r="N186" s="32">
        <v>150000</v>
      </c>
      <c r="O186" s="31">
        <v>0</v>
      </c>
      <c r="P186" s="32">
        <v>0</v>
      </c>
      <c r="Q186" s="107"/>
      <c r="R186" s="107"/>
      <c r="S186" s="21"/>
      <c r="T186" s="31">
        <f>IF(C187="노트북",7%,IF(C187="저장&amp;주변기기",9%,IF(C187="모니터",7%)))</f>
        <v>7.0000000000000007E-2</v>
      </c>
      <c r="U186" s="31">
        <v>0</v>
      </c>
      <c r="V186" s="31">
        <v>0.02</v>
      </c>
      <c r="W186" s="31">
        <f>IF(G186=0%,20%,0%)</f>
        <v>0</v>
      </c>
      <c r="X186" s="30">
        <v>0</v>
      </c>
      <c r="Y186" s="30">
        <v>1</v>
      </c>
      <c r="Z186" s="53">
        <v>0.92307600000000001</v>
      </c>
      <c r="AA186" s="29">
        <v>0.5</v>
      </c>
      <c r="AB186" s="107"/>
      <c r="AC186" s="107"/>
      <c r="AD186" s="107"/>
      <c r="AE186" s="107"/>
      <c r="AF186" s="107"/>
      <c r="AG186" s="117"/>
      <c r="AH186" s="119"/>
      <c r="AI186" s="121"/>
      <c r="AJ186" s="55" t="s">
        <v>52</v>
      </c>
      <c r="AK186" s="56">
        <f>AJ185-AK185</f>
        <v>2.5327278989667024E-2</v>
      </c>
      <c r="AM186" s="107"/>
      <c r="AN186" s="107"/>
      <c r="AO186" s="107"/>
      <c r="AP186" s="107"/>
      <c r="AQ186" s="107"/>
      <c r="AR186" s="107"/>
      <c r="AS186" s="39"/>
      <c r="AT186" s="107"/>
      <c r="AU186" s="107"/>
      <c r="AV186" s="107"/>
      <c r="AW186" s="107"/>
      <c r="AY186" s="107"/>
      <c r="AZ186" s="109"/>
      <c r="BA186" s="52"/>
      <c r="BB186" s="107"/>
    </row>
    <row r="187" spans="1:54" ht="27" customHeight="1" x14ac:dyDescent="0.3">
      <c r="A187" s="51" t="s">
        <v>61</v>
      </c>
      <c r="B187" s="38" t="s">
        <v>35</v>
      </c>
      <c r="C187" s="27" t="s">
        <v>0</v>
      </c>
      <c r="D187" s="26">
        <v>4624628196</v>
      </c>
      <c r="E187" s="25">
        <v>1742000</v>
      </c>
      <c r="F187" s="24">
        <f>ROUNDDOWN(E187/(1-F186),-1)</f>
        <v>1742000</v>
      </c>
      <c r="G187" s="110">
        <f>ROUNDDOWN(IF(F187*G186&gt;H186,H186,F187*G186),-1)</f>
        <v>139360</v>
      </c>
      <c r="H187" s="111"/>
      <c r="I187" s="112">
        <f>ROUNDDOWN(IF(F187*I186&gt;J186,J186,F187*I186),-1)</f>
        <v>0</v>
      </c>
      <c r="J187" s="113"/>
      <c r="K187" s="112">
        <f>ROUNDDOWN(IF(F187*K186&gt;L186,L186,F187*K186),-1)</f>
        <v>130000</v>
      </c>
      <c r="L187" s="113"/>
      <c r="M187" s="110">
        <f>ROUNDDOWN(IF(Q187*M186&gt;N186,N186,Q187*M186),-1)</f>
        <v>103080</v>
      </c>
      <c r="N187" s="111"/>
      <c r="O187" s="110">
        <f>ROUNDDOWN(IF(F187*O186&gt;P186,P186,F187*O186),-1)</f>
        <v>0</v>
      </c>
      <c r="P187" s="111"/>
      <c r="Q187" s="23">
        <f>F187-G187-I187-K187</f>
        <v>1472640</v>
      </c>
      <c r="R187" s="22">
        <f>F187-G187-I187-K187-M187-O187</f>
        <v>1369560</v>
      </c>
      <c r="S187" s="21"/>
      <c r="T187" s="20">
        <f>F187*T186</f>
        <v>121940.00000000001</v>
      </c>
      <c r="U187" s="20">
        <f>F187*U186</f>
        <v>0</v>
      </c>
      <c r="V187" s="20">
        <f>(F187-I187)*V186</f>
        <v>34840</v>
      </c>
      <c r="W187" s="19">
        <f>(F187*F186)*W186</f>
        <v>0</v>
      </c>
      <c r="X187" s="19">
        <f>G187*X186</f>
        <v>0</v>
      </c>
      <c r="Y187" s="19">
        <f>I187*Y186</f>
        <v>0</v>
      </c>
      <c r="Z187" s="19">
        <f>K187*Z186</f>
        <v>119999.88</v>
      </c>
      <c r="AA187" s="19">
        <f>M187*AA186</f>
        <v>51540</v>
      </c>
      <c r="AB187" s="19">
        <v>0</v>
      </c>
      <c r="AC187" s="16">
        <v>6000</v>
      </c>
      <c r="AD187" s="18">
        <f>F187-T187-U187-V187-W187-AA187-X187-Y187-Z187-AB187</f>
        <v>1413680.12</v>
      </c>
      <c r="AE187" s="18">
        <f>F187-T187-U187-V187-W187-X187-Y187-Z187-AA187-AB187-AC187</f>
        <v>1407680.12</v>
      </c>
      <c r="AF187" s="17">
        <f>AE187-AG187</f>
        <v>60680.120000000112</v>
      </c>
      <c r="AG187" s="16">
        <v>1347000</v>
      </c>
      <c r="AH187" s="15">
        <f>AF187/AG187</f>
        <v>4.5048344469190878E-2</v>
      </c>
      <c r="AI187" s="14">
        <f>1-R187/(AG187-AM187-AN187-AO187)</f>
        <v>-1.6748329621380842E-2</v>
      </c>
      <c r="AJ187" s="114">
        <f>(1-R187/F187)-(1-(AD187)/F187)</f>
        <v>2.5327278989667024E-2</v>
      </c>
      <c r="AK187" s="115"/>
      <c r="AM187" s="13"/>
      <c r="AN187" s="12"/>
      <c r="AO187" s="12"/>
      <c r="AP187" s="12"/>
      <c r="AQ187" s="11">
        <f>AE187-(AG187-AM187-AN187-AO187-AP187)</f>
        <v>60680.120000000112</v>
      </c>
      <c r="AR187" s="8">
        <f>AQ187/AG187</f>
        <v>4.5048344469190878E-2</v>
      </c>
      <c r="AT187" s="10">
        <v>0</v>
      </c>
      <c r="AU187" s="10">
        <v>0</v>
      </c>
      <c r="AV187" s="9">
        <f>AQ187-AT187-AU187</f>
        <v>60680.120000000112</v>
      </c>
      <c r="AW187" s="8">
        <f>AV187/AG187</f>
        <v>4.5048344469190878E-2</v>
      </c>
      <c r="AY187" s="7"/>
      <c r="AZ187" s="50"/>
      <c r="BA187" s="52"/>
      <c r="BB187" s="7"/>
    </row>
    <row r="188" spans="1:54" ht="16.5" customHeight="1" x14ac:dyDescent="0.3">
      <c r="D188" s="21">
        <v>4537330402</v>
      </c>
      <c r="E188" s="5">
        <v>1449000</v>
      </c>
      <c r="F188" s="4">
        <f>ROUNDDOWN(E188/(1-F186),-1)</f>
        <v>1449000</v>
      </c>
      <c r="G188" s="105">
        <f>ROUNDDOWN(IF(F188*G186&gt;H186,H186,F188*G186),-1)</f>
        <v>115920</v>
      </c>
      <c r="H188" s="105"/>
      <c r="J188" s="54">
        <f>F187*4%</f>
        <v>69680</v>
      </c>
      <c r="L188" s="21"/>
      <c r="R188" s="4">
        <v>998000</v>
      </c>
      <c r="X188" s="3">
        <f>G188*X186</f>
        <v>0</v>
      </c>
      <c r="Y188" s="3"/>
      <c r="Z188" s="3"/>
      <c r="AG188" s="57"/>
    </row>
    <row r="189" spans="1:54" ht="16.5" customHeight="1" x14ac:dyDescent="0.3">
      <c r="D189" s="21"/>
      <c r="E189" s="5"/>
      <c r="F189" s="4"/>
      <c r="G189" s="74"/>
      <c r="H189" s="74"/>
      <c r="J189" s="54"/>
      <c r="L189" s="21"/>
      <c r="R189" s="4"/>
      <c r="X189" s="3"/>
      <c r="Y189" s="3"/>
      <c r="Z189" s="3"/>
      <c r="AG189" s="57"/>
    </row>
    <row r="190" spans="1:54" ht="16.5" customHeight="1" x14ac:dyDescent="0.3">
      <c r="D190" s="21"/>
      <c r="E190" s="5"/>
      <c r="F190" s="4"/>
      <c r="G190" s="74"/>
      <c r="H190" s="74"/>
      <c r="J190" s="54"/>
      <c r="L190" s="21"/>
      <c r="R190" s="4"/>
      <c r="X190" s="3"/>
      <c r="Y190" s="3"/>
      <c r="Z190" s="3"/>
      <c r="AG190" s="57"/>
    </row>
    <row r="191" spans="1:54" ht="27" customHeight="1" x14ac:dyDescent="0.3">
      <c r="A191" s="124" t="s">
        <v>34</v>
      </c>
      <c r="B191" s="127" t="s">
        <v>117</v>
      </c>
      <c r="C191" s="128"/>
      <c r="D191" s="128"/>
      <c r="E191" s="128"/>
      <c r="F191" s="128"/>
      <c r="G191" s="128"/>
      <c r="H191" s="128"/>
      <c r="I191" s="128"/>
      <c r="J191" s="128"/>
      <c r="K191" s="128"/>
      <c r="L191" s="128"/>
      <c r="M191" s="128"/>
      <c r="N191" s="128"/>
      <c r="O191" s="128"/>
      <c r="P191" s="128"/>
      <c r="Q191" s="128"/>
      <c r="R191" s="129"/>
      <c r="T191" s="130" t="s">
        <v>33</v>
      </c>
      <c r="U191" s="131"/>
      <c r="V191" s="131"/>
      <c r="W191" s="131"/>
      <c r="X191" s="131"/>
      <c r="Y191" s="131"/>
      <c r="Z191" s="131"/>
      <c r="AA191" s="131"/>
      <c r="AB191" s="131"/>
      <c r="AC191" s="131"/>
      <c r="AD191" s="131"/>
      <c r="AE191" s="131"/>
      <c r="AF191" s="131"/>
      <c r="AG191" s="131"/>
      <c r="AH191" s="132"/>
      <c r="AI191" s="37"/>
      <c r="AM191" s="130" t="s">
        <v>32</v>
      </c>
      <c r="AN191" s="131"/>
      <c r="AO191" s="131"/>
      <c r="AP191" s="131"/>
      <c r="AQ191" s="131"/>
      <c r="AR191" s="132"/>
      <c r="AT191" s="130" t="s">
        <v>31</v>
      </c>
      <c r="AU191" s="131"/>
      <c r="AV191" s="131"/>
      <c r="AW191" s="132"/>
      <c r="AY191" s="36" t="s">
        <v>36</v>
      </c>
      <c r="AZ191" s="48"/>
      <c r="BA191" s="52"/>
      <c r="BB191" s="36"/>
    </row>
    <row r="192" spans="1:54" ht="32.25" customHeight="1" x14ac:dyDescent="0.3">
      <c r="A192" s="125"/>
      <c r="B192" s="133" t="s">
        <v>30</v>
      </c>
      <c r="C192" s="133" t="s">
        <v>29</v>
      </c>
      <c r="D192" s="116" t="s">
        <v>28</v>
      </c>
      <c r="E192" s="116" t="s">
        <v>27</v>
      </c>
      <c r="F192" s="34" t="s">
        <v>26</v>
      </c>
      <c r="G192" s="122" t="s">
        <v>63</v>
      </c>
      <c r="H192" s="123"/>
      <c r="I192" s="122" t="s">
        <v>50</v>
      </c>
      <c r="J192" s="123"/>
      <c r="K192" s="122" t="s">
        <v>62</v>
      </c>
      <c r="L192" s="123"/>
      <c r="M192" s="122" t="s">
        <v>25</v>
      </c>
      <c r="N192" s="123"/>
      <c r="O192" s="122" t="s">
        <v>24</v>
      </c>
      <c r="P192" s="123"/>
      <c r="Q192" s="106" t="s">
        <v>23</v>
      </c>
      <c r="R192" s="106" t="s">
        <v>22</v>
      </c>
      <c r="S192" s="21"/>
      <c r="T192" s="34" t="s">
        <v>21</v>
      </c>
      <c r="U192" s="34" t="s">
        <v>20</v>
      </c>
      <c r="V192" s="34" t="s">
        <v>95</v>
      </c>
      <c r="W192" s="34" t="s">
        <v>19</v>
      </c>
      <c r="X192" s="34" t="s">
        <v>18</v>
      </c>
      <c r="Y192" s="34" t="s">
        <v>48</v>
      </c>
      <c r="Z192" s="34" t="s">
        <v>49</v>
      </c>
      <c r="AA192" s="34" t="s">
        <v>17</v>
      </c>
      <c r="AB192" s="106" t="s">
        <v>16</v>
      </c>
      <c r="AC192" s="106" t="s">
        <v>15</v>
      </c>
      <c r="AD192" s="106" t="s">
        <v>14</v>
      </c>
      <c r="AE192" s="106" t="s">
        <v>13</v>
      </c>
      <c r="AF192" s="106" t="s">
        <v>12</v>
      </c>
      <c r="AG192" s="116" t="s">
        <v>11</v>
      </c>
      <c r="AH192" s="118" t="s">
        <v>10</v>
      </c>
      <c r="AI192" s="120" t="s">
        <v>9</v>
      </c>
      <c r="AJ192" s="35">
        <f>(1-R194/F194)</f>
        <v>0.20121240601503765</v>
      </c>
      <c r="AK192" s="35">
        <f>1-(AD194+AM194)/F194</f>
        <v>0.17645201127819543</v>
      </c>
      <c r="AM192" s="106" t="s">
        <v>8</v>
      </c>
      <c r="AN192" s="106" t="s">
        <v>7</v>
      </c>
      <c r="AO192" s="106" t="s">
        <v>37</v>
      </c>
      <c r="AP192" s="106" t="s">
        <v>38</v>
      </c>
      <c r="AQ192" s="106" t="s">
        <v>6</v>
      </c>
      <c r="AR192" s="106" t="s">
        <v>5</v>
      </c>
      <c r="AT192" s="106" t="s">
        <v>4</v>
      </c>
      <c r="AU192" s="106" t="s">
        <v>3</v>
      </c>
      <c r="AV192" s="106" t="s">
        <v>2</v>
      </c>
      <c r="AW192" s="106" t="s">
        <v>1</v>
      </c>
      <c r="AY192" s="106"/>
      <c r="AZ192" s="108"/>
      <c r="BA192" s="52"/>
      <c r="BB192" s="106"/>
    </row>
    <row r="193" spans="1:54" ht="27" customHeight="1" x14ac:dyDescent="0.3">
      <c r="A193" s="126"/>
      <c r="B193" s="134"/>
      <c r="C193" s="134"/>
      <c r="D193" s="117"/>
      <c r="E193" s="117"/>
      <c r="F193" s="31">
        <v>0</v>
      </c>
      <c r="G193" s="33">
        <v>0.08</v>
      </c>
      <c r="H193" s="32">
        <v>1000000</v>
      </c>
      <c r="I193" s="31">
        <v>0</v>
      </c>
      <c r="J193" s="32">
        <v>0</v>
      </c>
      <c r="K193" s="31">
        <v>1</v>
      </c>
      <c r="L193" s="32">
        <v>130000</v>
      </c>
      <c r="M193" s="31">
        <v>7.0000000000000007E-2</v>
      </c>
      <c r="N193" s="32">
        <v>150000</v>
      </c>
      <c r="O193" s="31">
        <v>0</v>
      </c>
      <c r="P193" s="32">
        <v>0</v>
      </c>
      <c r="Q193" s="107"/>
      <c r="R193" s="107"/>
      <c r="S193" s="21"/>
      <c r="T193" s="31">
        <f>IF(C194="노트북",7%,IF(C194="저장&amp;주변기기",9%,IF(C194="모니터",7%)))</f>
        <v>7.0000000000000007E-2</v>
      </c>
      <c r="U193" s="31">
        <v>0</v>
      </c>
      <c r="V193" s="31">
        <v>0.02</v>
      </c>
      <c r="W193" s="31">
        <f>IF(G193=0%,20%,0%)</f>
        <v>0</v>
      </c>
      <c r="X193" s="30">
        <v>0</v>
      </c>
      <c r="Y193" s="30">
        <v>1</v>
      </c>
      <c r="Z193" s="53">
        <v>0.92307600000000001</v>
      </c>
      <c r="AA193" s="29">
        <v>0.5</v>
      </c>
      <c r="AB193" s="107"/>
      <c r="AC193" s="107"/>
      <c r="AD193" s="107"/>
      <c r="AE193" s="107"/>
      <c r="AF193" s="107"/>
      <c r="AG193" s="117"/>
      <c r="AH193" s="119"/>
      <c r="AI193" s="121"/>
      <c r="AJ193" s="55" t="s">
        <v>52</v>
      </c>
      <c r="AK193" s="56">
        <f>AJ192-AK192</f>
        <v>2.4760394736842217E-2</v>
      </c>
      <c r="AM193" s="107"/>
      <c r="AN193" s="107"/>
      <c r="AO193" s="107"/>
      <c r="AP193" s="107"/>
      <c r="AQ193" s="107"/>
      <c r="AR193" s="107"/>
      <c r="AS193" s="39"/>
      <c r="AT193" s="107"/>
      <c r="AU193" s="107"/>
      <c r="AV193" s="107"/>
      <c r="AW193" s="107"/>
      <c r="AY193" s="107"/>
      <c r="AZ193" s="109"/>
      <c r="BA193" s="52"/>
      <c r="BB193" s="107"/>
    </row>
    <row r="194" spans="1:54" ht="27" customHeight="1" x14ac:dyDescent="0.3">
      <c r="A194" s="51" t="s">
        <v>106</v>
      </c>
      <c r="B194" s="38" t="s">
        <v>35</v>
      </c>
      <c r="C194" s="27" t="s">
        <v>0</v>
      </c>
      <c r="D194" s="26">
        <v>4692284484</v>
      </c>
      <c r="E194" s="25">
        <v>2128000</v>
      </c>
      <c r="F194" s="24">
        <f>ROUNDDOWN(E194/(1-F193),-1)</f>
        <v>2128000</v>
      </c>
      <c r="G194" s="110">
        <f>ROUNDDOWN(IF(F194*G193&gt;H193,H193,F194*G193),-1)</f>
        <v>170240</v>
      </c>
      <c r="H194" s="111"/>
      <c r="I194" s="112">
        <f>ROUNDDOWN(IF(F194*I193&gt;J193,J193,F194*I193),-1)</f>
        <v>0</v>
      </c>
      <c r="J194" s="113"/>
      <c r="K194" s="112">
        <f>ROUNDDOWN(IF(F194*K193&gt;L193,L193,F194*K193),-1)</f>
        <v>130000</v>
      </c>
      <c r="L194" s="113"/>
      <c r="M194" s="110">
        <f>ROUNDDOWN(IF(Q194*M193&gt;N193,N193,Q194*M193),-1)</f>
        <v>127940</v>
      </c>
      <c r="N194" s="111"/>
      <c r="O194" s="110">
        <f>ROUNDDOWN(IF(F194*O193&gt;P193,P193,F194*O193),-1)</f>
        <v>0</v>
      </c>
      <c r="P194" s="111"/>
      <c r="Q194" s="23">
        <f>F194-G194-I194-K194</f>
        <v>1827760</v>
      </c>
      <c r="R194" s="22">
        <f>F194-G194-I194-K194-M194-O194</f>
        <v>1699820</v>
      </c>
      <c r="S194" s="21"/>
      <c r="T194" s="20">
        <f>F194*T193</f>
        <v>148960</v>
      </c>
      <c r="U194" s="20">
        <f>F194*U193</f>
        <v>0</v>
      </c>
      <c r="V194" s="20">
        <f>(F194-I194)*V193</f>
        <v>42560</v>
      </c>
      <c r="W194" s="19">
        <f>(F194*F193)*W193</f>
        <v>0</v>
      </c>
      <c r="X194" s="19">
        <f>G194*X193</f>
        <v>0</v>
      </c>
      <c r="Y194" s="19">
        <f>I194*Y193</f>
        <v>0</v>
      </c>
      <c r="Z194" s="19">
        <f>K194*Z193</f>
        <v>119999.88</v>
      </c>
      <c r="AA194" s="19">
        <f>M194*AA193</f>
        <v>63970</v>
      </c>
      <c r="AB194" s="19">
        <v>0</v>
      </c>
      <c r="AC194" s="16">
        <v>6000</v>
      </c>
      <c r="AD194" s="18">
        <f>F194-T194-U194-V194-W194-AA194-X194-Y194-Z194-AB194</f>
        <v>1752510.12</v>
      </c>
      <c r="AE194" s="18">
        <f>F194-T194-U194-V194-W194-X194-Y194-Z194-AA194-AB194-AC194</f>
        <v>1746510.12</v>
      </c>
      <c r="AF194" s="17">
        <f>AE194-AG194</f>
        <v>120510.12000000011</v>
      </c>
      <c r="AG194" s="16">
        <v>1626000</v>
      </c>
      <c r="AH194" s="15">
        <f>AF194/AG194</f>
        <v>7.4114464944649516E-2</v>
      </c>
      <c r="AI194" s="14">
        <f>1-R194/(AG194-AM194-AN194-AO194)</f>
        <v>-4.5399753997539927E-2</v>
      </c>
      <c r="AJ194" s="114">
        <f>(1-R194/F194)-(1-(AD194)/F194)</f>
        <v>2.4760394736842217E-2</v>
      </c>
      <c r="AK194" s="115"/>
      <c r="AM194" s="13"/>
      <c r="AN194" s="12"/>
      <c r="AO194" s="12"/>
      <c r="AP194" s="12"/>
      <c r="AQ194" s="11">
        <f>AE194-(AG194-AM194-AN194-AO194-AP194)</f>
        <v>120510.12000000011</v>
      </c>
      <c r="AR194" s="8">
        <f>AQ194/AG194</f>
        <v>7.4114464944649516E-2</v>
      </c>
      <c r="AT194" s="10">
        <v>0</v>
      </c>
      <c r="AU194" s="10">
        <v>0</v>
      </c>
      <c r="AV194" s="9">
        <f>AQ194-AT194-AU194</f>
        <v>120510.12000000011</v>
      </c>
      <c r="AW194" s="8">
        <f>AV194/AG194</f>
        <v>7.4114464944649516E-2</v>
      </c>
      <c r="AY194" s="7"/>
      <c r="AZ194" s="50"/>
      <c r="BA194" s="52"/>
      <c r="BB194" s="7"/>
    </row>
    <row r="195" spans="1:54" ht="16.5" customHeight="1" x14ac:dyDescent="0.3">
      <c r="D195" s="21"/>
      <c r="E195" s="5">
        <v>1749000</v>
      </c>
      <c r="F195" s="4">
        <f>ROUNDDOWN(E195/(1-F193),-1)</f>
        <v>1749000</v>
      </c>
      <c r="G195" s="105">
        <f>ROUNDDOWN(IF(F195*G193&gt;H193,H193,F195*G193),-1)</f>
        <v>139920</v>
      </c>
      <c r="H195" s="105"/>
      <c r="J195" s="54">
        <f>F194*4%</f>
        <v>85120</v>
      </c>
      <c r="L195" s="21"/>
      <c r="R195" s="4"/>
      <c r="X195" s="3">
        <f>G195*X193</f>
        <v>0</v>
      </c>
      <c r="Y195" s="3"/>
      <c r="Z195" s="3"/>
      <c r="AG195" s="57"/>
    </row>
    <row r="196" spans="1:54" ht="27" customHeight="1" x14ac:dyDescent="0.3">
      <c r="A196" s="124" t="s">
        <v>34</v>
      </c>
      <c r="B196" s="135" t="s">
        <v>135</v>
      </c>
      <c r="C196" s="136"/>
      <c r="D196" s="136"/>
      <c r="E196" s="136"/>
      <c r="F196" s="136"/>
      <c r="G196" s="136"/>
      <c r="H196" s="136"/>
      <c r="I196" s="136"/>
      <c r="J196" s="136"/>
      <c r="K196" s="136"/>
      <c r="L196" s="136"/>
      <c r="M196" s="136"/>
      <c r="N196" s="136"/>
      <c r="O196" s="136"/>
      <c r="P196" s="136"/>
      <c r="Q196" s="136"/>
      <c r="R196" s="137"/>
      <c r="T196" s="130" t="s">
        <v>33</v>
      </c>
      <c r="U196" s="131"/>
      <c r="V196" s="131"/>
      <c r="W196" s="131"/>
      <c r="X196" s="131"/>
      <c r="Y196" s="131"/>
      <c r="Z196" s="131"/>
      <c r="AA196" s="131"/>
      <c r="AB196" s="131"/>
      <c r="AC196" s="131"/>
      <c r="AD196" s="131"/>
      <c r="AE196" s="131"/>
      <c r="AF196" s="131"/>
      <c r="AG196" s="131"/>
      <c r="AH196" s="132"/>
      <c r="AI196" s="37"/>
      <c r="AM196" s="130" t="s">
        <v>32</v>
      </c>
      <c r="AN196" s="131"/>
      <c r="AO196" s="131"/>
      <c r="AP196" s="131"/>
      <c r="AQ196" s="131"/>
      <c r="AR196" s="132"/>
      <c r="AT196" s="130" t="s">
        <v>31</v>
      </c>
      <c r="AU196" s="131"/>
      <c r="AV196" s="131"/>
      <c r="AW196" s="132"/>
      <c r="AY196" s="36" t="s">
        <v>36</v>
      </c>
      <c r="AZ196" s="48"/>
      <c r="BA196" s="52"/>
      <c r="BB196" s="36"/>
    </row>
    <row r="197" spans="1:54" ht="32.25" customHeight="1" x14ac:dyDescent="0.3">
      <c r="A197" s="125"/>
      <c r="B197" s="133" t="s">
        <v>30</v>
      </c>
      <c r="C197" s="133" t="s">
        <v>29</v>
      </c>
      <c r="D197" s="116" t="s">
        <v>28</v>
      </c>
      <c r="E197" s="116" t="s">
        <v>27</v>
      </c>
      <c r="F197" s="34" t="s">
        <v>26</v>
      </c>
      <c r="G197" s="122" t="s">
        <v>63</v>
      </c>
      <c r="H197" s="123"/>
      <c r="I197" s="122" t="s">
        <v>50</v>
      </c>
      <c r="J197" s="123"/>
      <c r="K197" s="122" t="s">
        <v>62</v>
      </c>
      <c r="L197" s="123"/>
      <c r="M197" s="122" t="s">
        <v>25</v>
      </c>
      <c r="N197" s="123"/>
      <c r="O197" s="122" t="s">
        <v>24</v>
      </c>
      <c r="P197" s="123"/>
      <c r="Q197" s="106" t="s">
        <v>23</v>
      </c>
      <c r="R197" s="106" t="s">
        <v>22</v>
      </c>
      <c r="S197" s="21"/>
      <c r="T197" s="34" t="s">
        <v>21</v>
      </c>
      <c r="U197" s="34" t="s">
        <v>20</v>
      </c>
      <c r="V197" s="34" t="s">
        <v>95</v>
      </c>
      <c r="W197" s="34" t="s">
        <v>19</v>
      </c>
      <c r="X197" s="34" t="s">
        <v>18</v>
      </c>
      <c r="Y197" s="34" t="s">
        <v>48</v>
      </c>
      <c r="Z197" s="34" t="s">
        <v>49</v>
      </c>
      <c r="AA197" s="34" t="s">
        <v>17</v>
      </c>
      <c r="AB197" s="106" t="s">
        <v>16</v>
      </c>
      <c r="AC197" s="106" t="s">
        <v>15</v>
      </c>
      <c r="AD197" s="106" t="s">
        <v>14</v>
      </c>
      <c r="AE197" s="106" t="s">
        <v>13</v>
      </c>
      <c r="AF197" s="106" t="s">
        <v>12</v>
      </c>
      <c r="AG197" s="116" t="s">
        <v>11</v>
      </c>
      <c r="AH197" s="118" t="s">
        <v>10</v>
      </c>
      <c r="AI197" s="120" t="s">
        <v>9</v>
      </c>
      <c r="AJ197" s="35">
        <f>(1-R199/F199)</f>
        <v>0.20454093206510926</v>
      </c>
      <c r="AK197" s="35">
        <f>1-(AD199+AM199)/F199</f>
        <v>0.17963210888685466</v>
      </c>
      <c r="AM197" s="106" t="s">
        <v>8</v>
      </c>
      <c r="AN197" s="106" t="s">
        <v>7</v>
      </c>
      <c r="AO197" s="106" t="s">
        <v>37</v>
      </c>
      <c r="AP197" s="106" t="s">
        <v>38</v>
      </c>
      <c r="AQ197" s="106" t="s">
        <v>6</v>
      </c>
      <c r="AR197" s="106" t="s">
        <v>5</v>
      </c>
      <c r="AT197" s="106" t="s">
        <v>4</v>
      </c>
      <c r="AU197" s="106" t="s">
        <v>3</v>
      </c>
      <c r="AV197" s="106" t="s">
        <v>2</v>
      </c>
      <c r="AW197" s="106" t="s">
        <v>1</v>
      </c>
      <c r="AY197" s="106"/>
      <c r="AZ197" s="108"/>
      <c r="BA197" s="52"/>
      <c r="BB197" s="106"/>
    </row>
    <row r="198" spans="1:54" ht="27" customHeight="1" x14ac:dyDescent="0.3">
      <c r="A198" s="126"/>
      <c r="B198" s="134"/>
      <c r="C198" s="134"/>
      <c r="D198" s="117"/>
      <c r="E198" s="117"/>
      <c r="F198" s="31">
        <v>0</v>
      </c>
      <c r="G198" s="33">
        <v>0.08</v>
      </c>
      <c r="H198" s="32">
        <v>1000000</v>
      </c>
      <c r="I198" s="31">
        <v>0</v>
      </c>
      <c r="J198" s="32">
        <v>0</v>
      </c>
      <c r="K198" s="31">
        <v>1</v>
      </c>
      <c r="L198" s="32">
        <v>130000</v>
      </c>
      <c r="M198" s="31">
        <v>7.0000000000000007E-2</v>
      </c>
      <c r="N198" s="32">
        <v>150000</v>
      </c>
      <c r="O198" s="31">
        <v>0</v>
      </c>
      <c r="P198" s="32">
        <v>0</v>
      </c>
      <c r="Q198" s="107"/>
      <c r="R198" s="107"/>
      <c r="S198" s="21"/>
      <c r="T198" s="31">
        <f>IF(C199="노트북",7%,IF(C199="저장&amp;주변기기",9%,IF(C199="모니터",7%)))</f>
        <v>7.0000000000000007E-2</v>
      </c>
      <c r="U198" s="31">
        <v>0</v>
      </c>
      <c r="V198" s="31">
        <v>0.02</v>
      </c>
      <c r="W198" s="31">
        <f>IF(G198=0%,20%,0%)</f>
        <v>0</v>
      </c>
      <c r="X198" s="30">
        <v>0</v>
      </c>
      <c r="Y198" s="30">
        <v>1</v>
      </c>
      <c r="Z198" s="53">
        <v>0.92307600000000001</v>
      </c>
      <c r="AA198" s="29">
        <v>0.5</v>
      </c>
      <c r="AB198" s="107"/>
      <c r="AC198" s="107"/>
      <c r="AD198" s="107"/>
      <c r="AE198" s="107"/>
      <c r="AF198" s="107"/>
      <c r="AG198" s="117"/>
      <c r="AH198" s="119"/>
      <c r="AI198" s="121"/>
      <c r="AJ198" s="55" t="s">
        <v>52</v>
      </c>
      <c r="AK198" s="56">
        <f>AJ197-AK197</f>
        <v>2.4908823178254602E-2</v>
      </c>
      <c r="AM198" s="107"/>
      <c r="AN198" s="107"/>
      <c r="AO198" s="107"/>
      <c r="AP198" s="107"/>
      <c r="AQ198" s="107"/>
      <c r="AR198" s="107"/>
      <c r="AS198" s="39"/>
      <c r="AT198" s="107"/>
      <c r="AU198" s="107"/>
      <c r="AV198" s="107"/>
      <c r="AW198" s="107"/>
      <c r="AY198" s="107"/>
      <c r="AZ198" s="109"/>
      <c r="BA198" s="52"/>
      <c r="BB198" s="107"/>
    </row>
    <row r="199" spans="1:54" ht="27" customHeight="1" x14ac:dyDescent="0.3">
      <c r="A199" s="51" t="s">
        <v>106</v>
      </c>
      <c r="B199" s="38" t="s">
        <v>35</v>
      </c>
      <c r="C199" s="27" t="s">
        <v>0</v>
      </c>
      <c r="D199" s="26">
        <v>4692284484</v>
      </c>
      <c r="E199" s="25">
        <v>2010160</v>
      </c>
      <c r="F199" s="24">
        <f>ROUNDDOWN(E199/(1-F198),-1)</f>
        <v>2010160</v>
      </c>
      <c r="G199" s="110">
        <f>ROUNDDOWN(IF(F199*G198&gt;H198,H198,F199*G198),-1)</f>
        <v>160810</v>
      </c>
      <c r="H199" s="111"/>
      <c r="I199" s="112">
        <f>ROUNDDOWN(IF(F199*I198&gt;J198,J198,F199*I198),-1)</f>
        <v>0</v>
      </c>
      <c r="J199" s="113"/>
      <c r="K199" s="112">
        <f>ROUNDDOWN(IF(F199*K198&gt;L198,L198,F199*K198),-1)</f>
        <v>130000</v>
      </c>
      <c r="L199" s="113"/>
      <c r="M199" s="110">
        <f>ROUNDDOWN(IF(Q199*M198&gt;N198,N198,Q199*M198),-1)</f>
        <v>120350</v>
      </c>
      <c r="N199" s="111"/>
      <c r="O199" s="110">
        <f>ROUNDDOWN(IF(F199*O198&gt;P198,P198,F199*O198),-1)</f>
        <v>0</v>
      </c>
      <c r="P199" s="111"/>
      <c r="Q199" s="23">
        <f>F199-G199-I199-K199</f>
        <v>1719350</v>
      </c>
      <c r="R199" s="22">
        <f>F199-G199-I199-K199-M199-O199</f>
        <v>1599000</v>
      </c>
      <c r="S199" s="21"/>
      <c r="T199" s="20">
        <f>F199*T198</f>
        <v>140711.20000000001</v>
      </c>
      <c r="U199" s="20">
        <f>F199*U198</f>
        <v>0</v>
      </c>
      <c r="V199" s="20">
        <f>(F199-I199)*V198</f>
        <v>40203.200000000004</v>
      </c>
      <c r="W199" s="19">
        <f>(F199*F198)*W198</f>
        <v>0</v>
      </c>
      <c r="X199" s="19">
        <f>G199*X198</f>
        <v>0</v>
      </c>
      <c r="Y199" s="19">
        <f>I199*Y198</f>
        <v>0</v>
      </c>
      <c r="Z199" s="19">
        <f>K199*Z198</f>
        <v>119999.88</v>
      </c>
      <c r="AA199" s="19">
        <f>M199*AA198</f>
        <v>60175</v>
      </c>
      <c r="AB199" s="19">
        <v>0</v>
      </c>
      <c r="AC199" s="16">
        <v>6000</v>
      </c>
      <c r="AD199" s="18">
        <f>F199-T199-U199-V199-W199-AA199-X199-Y199-Z199-AB199</f>
        <v>1649070.7200000002</v>
      </c>
      <c r="AE199" s="18">
        <f>F199-T199-U199-V199-W199-X199-Y199-Z199-AA199-AB199-AC199</f>
        <v>1643070.7200000002</v>
      </c>
      <c r="AF199" s="17">
        <f>AE199-AG199</f>
        <v>17070.720000000205</v>
      </c>
      <c r="AG199" s="16">
        <v>1626000</v>
      </c>
      <c r="AH199" s="15">
        <f>AF199/AG199</f>
        <v>1.0498597785977986E-2</v>
      </c>
      <c r="AI199" s="14">
        <f>1-R199/(AG199-AM199-AN199-AO199)</f>
        <v>1.6605166051660514E-2</v>
      </c>
      <c r="AJ199" s="114">
        <f>(1-R199/F199)-(1-(AD199)/F199)</f>
        <v>2.4908823178254602E-2</v>
      </c>
      <c r="AK199" s="115"/>
      <c r="AM199" s="13"/>
      <c r="AN199" s="12"/>
      <c r="AO199" s="12"/>
      <c r="AP199" s="12"/>
      <c r="AQ199" s="11">
        <f>AE199-(AG199-AM199-AN199-AO199-AP199)</f>
        <v>17070.720000000205</v>
      </c>
      <c r="AR199" s="8">
        <f>AQ199/AG199</f>
        <v>1.0498597785977986E-2</v>
      </c>
      <c r="AT199" s="10">
        <v>0</v>
      </c>
      <c r="AU199" s="10">
        <v>0</v>
      </c>
      <c r="AV199" s="9">
        <f>AQ199-AT199-AU199</f>
        <v>17070.720000000205</v>
      </c>
      <c r="AW199" s="8">
        <f>AV199/AG199</f>
        <v>1.0498597785977986E-2</v>
      </c>
      <c r="AY199" s="7"/>
      <c r="AZ199" s="50"/>
      <c r="BA199" s="52"/>
      <c r="BB199" s="7"/>
    </row>
    <row r="200" spans="1:54" ht="16.5" customHeight="1" x14ac:dyDescent="0.3">
      <c r="D200" s="21"/>
      <c r="E200" s="5">
        <v>1749000</v>
      </c>
      <c r="F200" s="4">
        <f>ROUNDDOWN(E200/(1-F198),-1)</f>
        <v>1749000</v>
      </c>
      <c r="G200" s="105">
        <f>ROUNDDOWN(IF(F200*G198&gt;H198,H198,F200*G198),-1)</f>
        <v>139920</v>
      </c>
      <c r="H200" s="105"/>
      <c r="J200" s="54">
        <f>F199*4%</f>
        <v>80406.400000000009</v>
      </c>
      <c r="L200" s="21"/>
      <c r="R200" s="4"/>
      <c r="X200" s="3">
        <f>G200*X198</f>
        <v>0</v>
      </c>
      <c r="Y200" s="3"/>
      <c r="Z200" s="3"/>
      <c r="AG200" s="57"/>
    </row>
    <row r="201" spans="1:54" ht="16.5" customHeight="1" x14ac:dyDescent="0.3">
      <c r="E201" s="5"/>
      <c r="F201" s="4"/>
      <c r="G201" s="42"/>
      <c r="H201" s="42"/>
      <c r="J201" s="54"/>
      <c r="L201" s="21"/>
      <c r="R201" s="4"/>
      <c r="X201" s="3"/>
      <c r="Y201" s="3"/>
      <c r="Z201" s="3"/>
      <c r="AG201" s="57"/>
    </row>
    <row r="203" spans="1:54" ht="27" customHeight="1" x14ac:dyDescent="0.3">
      <c r="A203" s="124" t="s">
        <v>34</v>
      </c>
      <c r="B203" s="127" t="s">
        <v>117</v>
      </c>
      <c r="C203" s="128"/>
      <c r="D203" s="128"/>
      <c r="E203" s="128"/>
      <c r="F203" s="128"/>
      <c r="G203" s="128"/>
      <c r="H203" s="128"/>
      <c r="I203" s="128"/>
      <c r="J203" s="128"/>
      <c r="K203" s="128"/>
      <c r="L203" s="128"/>
      <c r="M203" s="128"/>
      <c r="N203" s="128"/>
      <c r="O203" s="128"/>
      <c r="P203" s="128"/>
      <c r="Q203" s="128"/>
      <c r="R203" s="129"/>
      <c r="T203" s="130" t="s">
        <v>33</v>
      </c>
      <c r="U203" s="131"/>
      <c r="V203" s="131"/>
      <c r="W203" s="131"/>
      <c r="X203" s="131"/>
      <c r="Y203" s="131"/>
      <c r="Z203" s="131"/>
      <c r="AA203" s="131"/>
      <c r="AB203" s="131"/>
      <c r="AC203" s="131"/>
      <c r="AD203" s="131"/>
      <c r="AE203" s="131"/>
      <c r="AF203" s="131"/>
      <c r="AG203" s="131"/>
      <c r="AH203" s="132"/>
      <c r="AI203" s="37"/>
      <c r="AM203" s="130" t="s">
        <v>32</v>
      </c>
      <c r="AN203" s="131"/>
      <c r="AO203" s="131"/>
      <c r="AP203" s="131"/>
      <c r="AQ203" s="131"/>
      <c r="AR203" s="132"/>
      <c r="AT203" s="130" t="s">
        <v>31</v>
      </c>
      <c r="AU203" s="131"/>
      <c r="AV203" s="131"/>
      <c r="AW203" s="132"/>
      <c r="AY203" s="36" t="s">
        <v>36</v>
      </c>
      <c r="AZ203" s="48"/>
      <c r="BA203" s="52"/>
      <c r="BB203" s="36"/>
    </row>
    <row r="204" spans="1:54" ht="32.25" customHeight="1" x14ac:dyDescent="0.3">
      <c r="A204" s="125"/>
      <c r="B204" s="133" t="s">
        <v>30</v>
      </c>
      <c r="C204" s="133" t="s">
        <v>29</v>
      </c>
      <c r="D204" s="116" t="s">
        <v>28</v>
      </c>
      <c r="E204" s="116" t="s">
        <v>27</v>
      </c>
      <c r="F204" s="34" t="s">
        <v>26</v>
      </c>
      <c r="G204" s="122" t="s">
        <v>63</v>
      </c>
      <c r="H204" s="123"/>
      <c r="I204" s="122" t="s">
        <v>50</v>
      </c>
      <c r="J204" s="123"/>
      <c r="K204" s="122" t="s">
        <v>62</v>
      </c>
      <c r="L204" s="123"/>
      <c r="M204" s="122" t="s">
        <v>25</v>
      </c>
      <c r="N204" s="123"/>
      <c r="O204" s="122" t="s">
        <v>24</v>
      </c>
      <c r="P204" s="123"/>
      <c r="Q204" s="106" t="s">
        <v>23</v>
      </c>
      <c r="R204" s="106" t="s">
        <v>22</v>
      </c>
      <c r="S204" s="21"/>
      <c r="T204" s="34" t="s">
        <v>21</v>
      </c>
      <c r="U204" s="34" t="s">
        <v>20</v>
      </c>
      <c r="V204" s="34" t="s">
        <v>95</v>
      </c>
      <c r="W204" s="34" t="s">
        <v>19</v>
      </c>
      <c r="X204" s="34" t="s">
        <v>18</v>
      </c>
      <c r="Y204" s="34" t="s">
        <v>48</v>
      </c>
      <c r="Z204" s="34" t="s">
        <v>49</v>
      </c>
      <c r="AA204" s="34" t="s">
        <v>17</v>
      </c>
      <c r="AB204" s="106" t="s">
        <v>16</v>
      </c>
      <c r="AC204" s="106" t="s">
        <v>15</v>
      </c>
      <c r="AD204" s="106" t="s">
        <v>14</v>
      </c>
      <c r="AE204" s="106" t="s">
        <v>13</v>
      </c>
      <c r="AF204" s="106" t="s">
        <v>12</v>
      </c>
      <c r="AG204" s="116" t="s">
        <v>11</v>
      </c>
      <c r="AH204" s="118" t="s">
        <v>10</v>
      </c>
      <c r="AI204" s="120" t="s">
        <v>9</v>
      </c>
      <c r="AJ204" s="35">
        <f>(1-R206/F206)</f>
        <v>0.22265335235378036</v>
      </c>
      <c r="AK204" s="35">
        <f>1-(AD206+AM206)/F206</f>
        <v>0.20055626248216829</v>
      </c>
      <c r="AM204" s="106" t="s">
        <v>8</v>
      </c>
      <c r="AN204" s="106" t="s">
        <v>7</v>
      </c>
      <c r="AO204" s="106" t="s">
        <v>37</v>
      </c>
      <c r="AP204" s="106" t="s">
        <v>38</v>
      </c>
      <c r="AQ204" s="106" t="s">
        <v>6</v>
      </c>
      <c r="AR204" s="106" t="s">
        <v>5</v>
      </c>
      <c r="AT204" s="106" t="s">
        <v>4</v>
      </c>
      <c r="AU204" s="106" t="s">
        <v>3</v>
      </c>
      <c r="AV204" s="106" t="s">
        <v>2</v>
      </c>
      <c r="AW204" s="106" t="s">
        <v>1</v>
      </c>
      <c r="AY204" s="106"/>
      <c r="AZ204" s="108"/>
      <c r="BA204" s="52"/>
      <c r="BB204" s="106"/>
    </row>
    <row r="205" spans="1:54" ht="27" customHeight="1" x14ac:dyDescent="0.3">
      <c r="A205" s="126"/>
      <c r="B205" s="134"/>
      <c r="C205" s="134"/>
      <c r="D205" s="117"/>
      <c r="E205" s="117"/>
      <c r="F205" s="31">
        <v>0</v>
      </c>
      <c r="G205" s="33">
        <v>0.08</v>
      </c>
      <c r="H205" s="32">
        <v>1000000</v>
      </c>
      <c r="I205" s="31">
        <v>1</v>
      </c>
      <c r="J205" s="32">
        <v>0</v>
      </c>
      <c r="K205" s="31">
        <v>1</v>
      </c>
      <c r="L205" s="32">
        <v>130000</v>
      </c>
      <c r="M205" s="31">
        <v>7.0000000000000007E-2</v>
      </c>
      <c r="N205" s="32">
        <v>70000</v>
      </c>
      <c r="O205" s="31">
        <v>0</v>
      </c>
      <c r="P205" s="32">
        <v>0</v>
      </c>
      <c r="Q205" s="107"/>
      <c r="R205" s="107"/>
      <c r="S205" s="21"/>
      <c r="T205" s="31">
        <f>IF(C206="노트북",7%,IF(C206="저장&amp;주변기기",9%,IF(C206="모니터",7%)))</f>
        <v>7.0000000000000007E-2</v>
      </c>
      <c r="U205" s="31">
        <v>0</v>
      </c>
      <c r="V205" s="31">
        <v>0.02</v>
      </c>
      <c r="W205" s="31">
        <f>IF(G205=0%,20%,0%)</f>
        <v>0</v>
      </c>
      <c r="X205" s="30">
        <v>0</v>
      </c>
      <c r="Y205" s="30">
        <v>1</v>
      </c>
      <c r="Z205" s="53">
        <v>0.92307600000000001</v>
      </c>
      <c r="AA205" s="29">
        <v>0.5</v>
      </c>
      <c r="AB205" s="107"/>
      <c r="AC205" s="107"/>
      <c r="AD205" s="107"/>
      <c r="AE205" s="107"/>
      <c r="AF205" s="107"/>
      <c r="AG205" s="117"/>
      <c r="AH205" s="119"/>
      <c r="AI205" s="121"/>
      <c r="AJ205" s="55" t="s">
        <v>52</v>
      </c>
      <c r="AK205" s="56">
        <f>AJ204-AK204</f>
        <v>2.2097089871612074E-2</v>
      </c>
      <c r="AM205" s="107"/>
      <c r="AN205" s="107"/>
      <c r="AO205" s="107"/>
      <c r="AP205" s="107"/>
      <c r="AQ205" s="107"/>
      <c r="AR205" s="107"/>
      <c r="AS205" s="39"/>
      <c r="AT205" s="107"/>
      <c r="AU205" s="107"/>
      <c r="AV205" s="107"/>
      <c r="AW205" s="107"/>
      <c r="AY205" s="107"/>
      <c r="AZ205" s="109"/>
      <c r="BA205" s="52"/>
      <c r="BB205" s="107"/>
    </row>
    <row r="206" spans="1:54" ht="27" customHeight="1" x14ac:dyDescent="0.3">
      <c r="A206" s="51" t="s">
        <v>58</v>
      </c>
      <c r="B206" s="38" t="s">
        <v>35</v>
      </c>
      <c r="C206" s="27" t="s">
        <v>0</v>
      </c>
      <c r="D206" s="26">
        <v>4503257150</v>
      </c>
      <c r="E206" s="25">
        <v>1402000</v>
      </c>
      <c r="F206" s="24">
        <f>ROUNDDOWN(E206/(1-F205),-1)</f>
        <v>1402000</v>
      </c>
      <c r="G206" s="110">
        <f>ROUNDDOWN(IF(F206*G205&gt;H205,H205,F206*G205),-1)</f>
        <v>112160</v>
      </c>
      <c r="H206" s="111"/>
      <c r="I206" s="112">
        <f>ROUNDDOWN(IF(F206*I205&gt;J205,J205,F206*I205),-1)</f>
        <v>0</v>
      </c>
      <c r="J206" s="113"/>
      <c r="K206" s="112">
        <f>ROUNDDOWN(IF(F206*K205&gt;L205,L205,F206*K205),-1)</f>
        <v>130000</v>
      </c>
      <c r="L206" s="113"/>
      <c r="M206" s="110">
        <f>ROUNDDOWN(IF(Q206*M205&gt;N205,N205,Q206*M205),-1)</f>
        <v>70000</v>
      </c>
      <c r="N206" s="111"/>
      <c r="O206" s="110">
        <f>ROUNDDOWN(IF(F206*O205&gt;P205,P205,F206*O205),-1)</f>
        <v>0</v>
      </c>
      <c r="P206" s="111"/>
      <c r="Q206" s="23">
        <f>F206-G206-I206-K206</f>
        <v>1159840</v>
      </c>
      <c r="R206" s="22">
        <f>F206-G206-I206-K206-M206-O206</f>
        <v>1089840</v>
      </c>
      <c r="S206" s="21"/>
      <c r="T206" s="20">
        <f>F206*T205</f>
        <v>98140.000000000015</v>
      </c>
      <c r="U206" s="20">
        <f>F206*U205</f>
        <v>0</v>
      </c>
      <c r="V206" s="20">
        <f>(F206-I206)*V205</f>
        <v>28040</v>
      </c>
      <c r="W206" s="19">
        <f>(F206*F205)*W205</f>
        <v>0</v>
      </c>
      <c r="X206" s="19">
        <f>G206*X205</f>
        <v>0</v>
      </c>
      <c r="Y206" s="19">
        <f>I206*Y205</f>
        <v>0</v>
      </c>
      <c r="Z206" s="19">
        <f>K206*Z205</f>
        <v>119999.88</v>
      </c>
      <c r="AA206" s="19">
        <f>M206*AA205</f>
        <v>35000</v>
      </c>
      <c r="AB206" s="19">
        <v>0</v>
      </c>
      <c r="AC206" s="16">
        <v>6000</v>
      </c>
      <c r="AD206" s="18">
        <f>F206-T206-U206-V206-W206-AA206-X206-Y206-Z206-AB206</f>
        <v>1120820.1200000001</v>
      </c>
      <c r="AE206" s="18">
        <f>F206-T206-U206-V206-W206-X206-Y206-Z206-AA206-AB206-AC206</f>
        <v>1114820.1200000001</v>
      </c>
      <c r="AF206" s="17">
        <f>AE206-AG206</f>
        <v>171820.12000000011</v>
      </c>
      <c r="AG206" s="16">
        <v>943000</v>
      </c>
      <c r="AH206" s="15">
        <f>AF206/AG206</f>
        <v>0.1822058536585367</v>
      </c>
      <c r="AI206" s="14">
        <f>1-R206/(AG206-AM206-AN206-AO206)</f>
        <v>-0.15571580063626733</v>
      </c>
      <c r="AJ206" s="114">
        <f>(1-R206/F206)-(1-(AD206)/F206)</f>
        <v>2.2097089871612074E-2</v>
      </c>
      <c r="AK206" s="115"/>
      <c r="AM206" s="13"/>
      <c r="AN206" s="12"/>
      <c r="AO206" s="12"/>
      <c r="AP206" s="12"/>
      <c r="AQ206" s="11">
        <f>AE206-(AG206-AM206-AN206-AO206-AP206)</f>
        <v>171820.12000000011</v>
      </c>
      <c r="AR206" s="8">
        <f>AQ206/AG206</f>
        <v>0.1822058536585367</v>
      </c>
      <c r="AT206" s="10">
        <v>0</v>
      </c>
      <c r="AU206" s="10">
        <v>0</v>
      </c>
      <c r="AV206" s="9">
        <f>AQ206-AT206-AU206</f>
        <v>171820.12000000011</v>
      </c>
      <c r="AW206" s="8">
        <f>AV206/AG206</f>
        <v>0.1822058536585367</v>
      </c>
      <c r="AY206" s="7"/>
      <c r="AZ206" s="50"/>
      <c r="BA206" s="52"/>
      <c r="BB206" s="7"/>
    </row>
    <row r="207" spans="1:54" ht="16.5" customHeight="1" x14ac:dyDescent="0.3">
      <c r="E207" s="5">
        <v>1149000</v>
      </c>
      <c r="F207" s="4">
        <f>ROUNDDOWN(E207/(1-F205),-1)</f>
        <v>1149000</v>
      </c>
      <c r="G207" s="105">
        <f>ROUNDDOWN(IF(F207*G205&gt;H205,H205,F207*G205),-1)</f>
        <v>91920</v>
      </c>
      <c r="H207" s="105"/>
      <c r="J207" s="54">
        <f>F206*4%</f>
        <v>56080</v>
      </c>
      <c r="R207" s="4">
        <v>1227460</v>
      </c>
      <c r="X207" s="3">
        <f>G207*X205</f>
        <v>0</v>
      </c>
      <c r="Y207" s="3"/>
      <c r="Z207" s="3"/>
      <c r="AG207" s="57"/>
    </row>
    <row r="208" spans="1:54" ht="16.5" customHeight="1" x14ac:dyDescent="0.3">
      <c r="E208" s="5"/>
      <c r="F208" s="4"/>
      <c r="G208" s="42"/>
      <c r="H208" s="42"/>
      <c r="J208" s="54"/>
      <c r="R208" s="4"/>
      <c r="X208" s="3"/>
      <c r="Y208" s="3"/>
      <c r="Z208" s="3"/>
      <c r="AG208" s="57"/>
    </row>
    <row r="210" spans="1:54" ht="27" customHeight="1" x14ac:dyDescent="0.3">
      <c r="A210" s="124" t="s">
        <v>34</v>
      </c>
      <c r="B210" s="127" t="s">
        <v>117</v>
      </c>
      <c r="C210" s="128"/>
      <c r="D210" s="128"/>
      <c r="E210" s="128"/>
      <c r="F210" s="128"/>
      <c r="G210" s="128"/>
      <c r="H210" s="128"/>
      <c r="I210" s="128"/>
      <c r="J210" s="128"/>
      <c r="K210" s="128"/>
      <c r="L210" s="128"/>
      <c r="M210" s="128"/>
      <c r="N210" s="128"/>
      <c r="O210" s="128"/>
      <c r="P210" s="128"/>
      <c r="Q210" s="128"/>
      <c r="R210" s="129"/>
      <c r="T210" s="130" t="s">
        <v>33</v>
      </c>
      <c r="U210" s="131"/>
      <c r="V210" s="131"/>
      <c r="W210" s="131"/>
      <c r="X210" s="131"/>
      <c r="Y210" s="131"/>
      <c r="Z210" s="131"/>
      <c r="AA210" s="131"/>
      <c r="AB210" s="131"/>
      <c r="AC210" s="131"/>
      <c r="AD210" s="131"/>
      <c r="AE210" s="131"/>
      <c r="AF210" s="131"/>
      <c r="AG210" s="131"/>
      <c r="AH210" s="132"/>
      <c r="AI210" s="37"/>
      <c r="AM210" s="130" t="s">
        <v>32</v>
      </c>
      <c r="AN210" s="131"/>
      <c r="AO210" s="131"/>
      <c r="AP210" s="131"/>
      <c r="AQ210" s="131"/>
      <c r="AR210" s="132"/>
      <c r="AT210" s="130" t="s">
        <v>31</v>
      </c>
      <c r="AU210" s="131"/>
      <c r="AV210" s="131"/>
      <c r="AW210" s="132"/>
      <c r="AY210" s="36" t="s">
        <v>36</v>
      </c>
      <c r="AZ210" s="48"/>
      <c r="BA210" s="52"/>
      <c r="BB210" s="36"/>
    </row>
    <row r="211" spans="1:54" ht="32.25" customHeight="1" x14ac:dyDescent="0.3">
      <c r="A211" s="125"/>
      <c r="B211" s="133" t="s">
        <v>30</v>
      </c>
      <c r="C211" s="133" t="s">
        <v>29</v>
      </c>
      <c r="D211" s="116" t="s">
        <v>28</v>
      </c>
      <c r="E211" s="116" t="s">
        <v>27</v>
      </c>
      <c r="F211" s="34" t="s">
        <v>26</v>
      </c>
      <c r="G211" s="122" t="s">
        <v>63</v>
      </c>
      <c r="H211" s="123"/>
      <c r="I211" s="122" t="s">
        <v>50</v>
      </c>
      <c r="J211" s="123"/>
      <c r="K211" s="122" t="s">
        <v>62</v>
      </c>
      <c r="L211" s="123"/>
      <c r="M211" s="122" t="s">
        <v>25</v>
      </c>
      <c r="N211" s="123"/>
      <c r="O211" s="122" t="s">
        <v>24</v>
      </c>
      <c r="P211" s="123"/>
      <c r="Q211" s="106" t="s">
        <v>23</v>
      </c>
      <c r="R211" s="106" t="s">
        <v>22</v>
      </c>
      <c r="S211" s="21"/>
      <c r="T211" s="34" t="s">
        <v>21</v>
      </c>
      <c r="U211" s="34" t="s">
        <v>20</v>
      </c>
      <c r="V211" s="34" t="s">
        <v>95</v>
      </c>
      <c r="W211" s="34" t="s">
        <v>19</v>
      </c>
      <c r="X211" s="34" t="s">
        <v>18</v>
      </c>
      <c r="Y211" s="34" t="s">
        <v>48</v>
      </c>
      <c r="Z211" s="34" t="s">
        <v>49</v>
      </c>
      <c r="AA211" s="34" t="s">
        <v>17</v>
      </c>
      <c r="AB211" s="106" t="s">
        <v>16</v>
      </c>
      <c r="AC211" s="106" t="s">
        <v>15</v>
      </c>
      <c r="AD211" s="106" t="s">
        <v>14</v>
      </c>
      <c r="AE211" s="106" t="s">
        <v>13</v>
      </c>
      <c r="AF211" s="106" t="s">
        <v>12</v>
      </c>
      <c r="AG211" s="116" t="s">
        <v>11</v>
      </c>
      <c r="AH211" s="118" t="s">
        <v>10</v>
      </c>
      <c r="AI211" s="120" t="s">
        <v>9</v>
      </c>
      <c r="AJ211" s="35">
        <f>(1-R213/F213)</f>
        <v>0.2198626716604245</v>
      </c>
      <c r="AK211" s="35">
        <f>1-(AD213+AM213)/F213</f>
        <v>0.19426334581772775</v>
      </c>
      <c r="AM211" s="106" t="s">
        <v>8</v>
      </c>
      <c r="AN211" s="106" t="s">
        <v>7</v>
      </c>
      <c r="AO211" s="106" t="s">
        <v>37</v>
      </c>
      <c r="AP211" s="106" t="s">
        <v>38</v>
      </c>
      <c r="AQ211" s="106" t="s">
        <v>6</v>
      </c>
      <c r="AR211" s="106" t="s">
        <v>5</v>
      </c>
      <c r="AT211" s="106" t="s">
        <v>4</v>
      </c>
      <c r="AU211" s="106" t="s">
        <v>3</v>
      </c>
      <c r="AV211" s="106" t="s">
        <v>2</v>
      </c>
      <c r="AW211" s="106" t="s">
        <v>1</v>
      </c>
      <c r="AY211" s="106"/>
      <c r="AZ211" s="108"/>
      <c r="BA211" s="52"/>
      <c r="BB211" s="106"/>
    </row>
    <row r="212" spans="1:54" ht="27" customHeight="1" x14ac:dyDescent="0.3">
      <c r="A212" s="126"/>
      <c r="B212" s="134"/>
      <c r="C212" s="134"/>
      <c r="D212" s="117"/>
      <c r="E212" s="117"/>
      <c r="F212" s="31">
        <v>0</v>
      </c>
      <c r="G212" s="33">
        <v>0.08</v>
      </c>
      <c r="H212" s="32">
        <v>1000000</v>
      </c>
      <c r="I212" s="31">
        <v>0</v>
      </c>
      <c r="J212" s="32">
        <v>0</v>
      </c>
      <c r="K212" s="31">
        <v>1</v>
      </c>
      <c r="L212" s="32">
        <v>130000</v>
      </c>
      <c r="M212" s="31">
        <v>7.0000000000000007E-2</v>
      </c>
      <c r="N212" s="32">
        <v>150000</v>
      </c>
      <c r="O212" s="31">
        <v>0</v>
      </c>
      <c r="P212" s="32">
        <v>0</v>
      </c>
      <c r="Q212" s="107"/>
      <c r="R212" s="107"/>
      <c r="S212" s="21"/>
      <c r="T212" s="31">
        <f>IF(C213="노트북",7%,IF(C213="저장&amp;주변기기",9%,IF(C213="모니터",7%)))</f>
        <v>7.0000000000000007E-2</v>
      </c>
      <c r="U212" s="31">
        <v>0</v>
      </c>
      <c r="V212" s="31">
        <v>0.02</v>
      </c>
      <c r="W212" s="31">
        <f>IF(G212=0%,20%,0%)</f>
        <v>0</v>
      </c>
      <c r="X212" s="30">
        <v>0</v>
      </c>
      <c r="Y212" s="30">
        <v>1</v>
      </c>
      <c r="Z212" s="53">
        <v>0.92307600000000001</v>
      </c>
      <c r="AA212" s="29">
        <v>0.5</v>
      </c>
      <c r="AB212" s="107"/>
      <c r="AC212" s="107"/>
      <c r="AD212" s="107"/>
      <c r="AE212" s="107"/>
      <c r="AF212" s="107"/>
      <c r="AG212" s="117"/>
      <c r="AH212" s="119"/>
      <c r="AI212" s="121"/>
      <c r="AJ212" s="55" t="s">
        <v>52</v>
      </c>
      <c r="AK212" s="56">
        <f>AJ211-AK211</f>
        <v>2.5599325842696752E-2</v>
      </c>
      <c r="AM212" s="107"/>
      <c r="AN212" s="107"/>
      <c r="AO212" s="107"/>
      <c r="AP212" s="107"/>
      <c r="AQ212" s="107"/>
      <c r="AR212" s="107"/>
      <c r="AS212" s="39"/>
      <c r="AT212" s="107"/>
      <c r="AU212" s="107"/>
      <c r="AV212" s="107"/>
      <c r="AW212" s="107"/>
      <c r="AY212" s="107"/>
      <c r="AZ212" s="109"/>
      <c r="BA212" s="52"/>
      <c r="BB212" s="107"/>
    </row>
    <row r="213" spans="1:54" ht="27" customHeight="1" x14ac:dyDescent="0.3">
      <c r="A213" s="51" t="s">
        <v>59</v>
      </c>
      <c r="B213" s="38" t="s">
        <v>35</v>
      </c>
      <c r="C213" s="27" t="s">
        <v>0</v>
      </c>
      <c r="D213" s="26">
        <v>4503297392</v>
      </c>
      <c r="E213" s="25">
        <v>1602000</v>
      </c>
      <c r="F213" s="24">
        <f>ROUNDDOWN(E213/(1-F212),-1)</f>
        <v>1602000</v>
      </c>
      <c r="G213" s="110">
        <f>ROUNDDOWN(IF(F213*G212&gt;H212,H212,F213*G212),-1)</f>
        <v>128160</v>
      </c>
      <c r="H213" s="111"/>
      <c r="I213" s="112">
        <f>ROUNDDOWN(IF(F213*I212&gt;J212,J212,F213*I212),-1)</f>
        <v>0</v>
      </c>
      <c r="J213" s="113"/>
      <c r="K213" s="112">
        <f>ROUNDDOWN(IF(F213*K212&gt;L212,L212,F213*K212),-1)</f>
        <v>130000</v>
      </c>
      <c r="L213" s="113"/>
      <c r="M213" s="110">
        <f>ROUNDDOWN(IF(Q213*M212&gt;N212,N212,Q213*M212),-1)</f>
        <v>94060</v>
      </c>
      <c r="N213" s="111"/>
      <c r="O213" s="110">
        <f>ROUNDDOWN(IF(F213*O212&gt;P212,P212,F213*O212),-1)</f>
        <v>0</v>
      </c>
      <c r="P213" s="111"/>
      <c r="Q213" s="23">
        <f>F213-G213-I213-K213</f>
        <v>1343840</v>
      </c>
      <c r="R213" s="22">
        <f>F213-G213-I213-K213-M213-O213</f>
        <v>1249780</v>
      </c>
      <c r="S213" s="21"/>
      <c r="T213" s="20">
        <f>F213*T212</f>
        <v>112140.00000000001</v>
      </c>
      <c r="U213" s="20">
        <f>F213*U212</f>
        <v>0</v>
      </c>
      <c r="V213" s="20">
        <f>(F213-I213)*V212</f>
        <v>32040</v>
      </c>
      <c r="W213" s="19">
        <f>(F213*F212)*W212</f>
        <v>0</v>
      </c>
      <c r="X213" s="19">
        <f>G213*X212</f>
        <v>0</v>
      </c>
      <c r="Y213" s="19">
        <f>I213*Y212</f>
        <v>0</v>
      </c>
      <c r="Z213" s="19">
        <f>K213*Z212</f>
        <v>119999.88</v>
      </c>
      <c r="AA213" s="19">
        <f>M213*AA212</f>
        <v>47030</v>
      </c>
      <c r="AB213" s="19">
        <v>0</v>
      </c>
      <c r="AC213" s="16">
        <v>6000</v>
      </c>
      <c r="AD213" s="18">
        <f>F213-T213-U213-V213-W213-AA213-X213-Y213-Z213-AB213</f>
        <v>1290790.1200000001</v>
      </c>
      <c r="AE213" s="18">
        <f>F213-T213-U213-V213-W213-X213-Y213-Z213-AA213-AB213-AC213</f>
        <v>1284790.1200000001</v>
      </c>
      <c r="AF213" s="17">
        <f>AE213-AG213</f>
        <v>89790.120000000112</v>
      </c>
      <c r="AG213" s="16">
        <v>1195000</v>
      </c>
      <c r="AH213" s="15">
        <f>AF213/AG213</f>
        <v>7.5138175732217663E-2</v>
      </c>
      <c r="AI213" s="14">
        <f>1-R213/(AG213-AM213-AN213-AO213)</f>
        <v>-4.584100418410042E-2</v>
      </c>
      <c r="AJ213" s="114">
        <f>(1-R213/F213)-(1-(AD213)/F213)</f>
        <v>2.5599325842696752E-2</v>
      </c>
      <c r="AK213" s="115"/>
      <c r="AM213" s="13"/>
      <c r="AN213" s="12"/>
      <c r="AO213" s="12"/>
      <c r="AP213" s="12"/>
      <c r="AQ213" s="11">
        <f>AE213-(AG213-AM213-AN213-AO213-AP213)</f>
        <v>89790.120000000112</v>
      </c>
      <c r="AR213" s="8">
        <f>AQ213/AG213</f>
        <v>7.5138175732217663E-2</v>
      </c>
      <c r="AT213" s="10">
        <v>0</v>
      </c>
      <c r="AU213" s="10">
        <v>0</v>
      </c>
      <c r="AV213" s="9">
        <f>AQ213-AT213-AU213</f>
        <v>89790.120000000112</v>
      </c>
      <c r="AW213" s="8">
        <f>AV213/AG213</f>
        <v>7.5138175732217663E-2</v>
      </c>
      <c r="AY213" s="7"/>
      <c r="AZ213" s="50"/>
      <c r="BA213" s="52"/>
      <c r="BB213" s="7"/>
    </row>
    <row r="214" spans="1:54" ht="16.5" customHeight="1" x14ac:dyDescent="0.3">
      <c r="E214" s="5">
        <v>1299000</v>
      </c>
      <c r="F214" s="4">
        <f>ROUNDDOWN(E214/(1-F212),-1)</f>
        <v>1299000</v>
      </c>
      <c r="G214" s="105">
        <f>ROUNDDOWN(IF(F214*G212&gt;H212,H212,F214*G212),-1)</f>
        <v>103920</v>
      </c>
      <c r="H214" s="105"/>
      <c r="J214" s="54">
        <f>F213*4%</f>
        <v>64080</v>
      </c>
      <c r="R214" s="4">
        <v>1227460</v>
      </c>
      <c r="X214" s="3">
        <f>G214*X212</f>
        <v>0</v>
      </c>
      <c r="Y214" s="3"/>
      <c r="Z214" s="3"/>
      <c r="AG214" s="57"/>
    </row>
  </sheetData>
  <mergeCells count="1237">
    <mergeCell ref="AM11:AR11"/>
    <mergeCell ref="AT11:AW11"/>
    <mergeCell ref="B12:B13"/>
    <mergeCell ref="C12:C13"/>
    <mergeCell ref="D12:D13"/>
    <mergeCell ref="E12:E13"/>
    <mergeCell ref="G12:H12"/>
    <mergeCell ref="I12:J12"/>
    <mergeCell ref="K12:L12"/>
    <mergeCell ref="M12:N12"/>
    <mergeCell ref="A1:C1"/>
    <mergeCell ref="H2:R3"/>
    <mergeCell ref="A3:F3"/>
    <mergeCell ref="V3:AA3"/>
    <mergeCell ref="E4:R4"/>
    <mergeCell ref="A11:A13"/>
    <mergeCell ref="B11:R11"/>
    <mergeCell ref="T11:AH11"/>
    <mergeCell ref="O12:P12"/>
    <mergeCell ref="Q12:Q13"/>
    <mergeCell ref="AW12:AW13"/>
    <mergeCell ref="AY12:AY13"/>
    <mergeCell ref="AZ12:AZ13"/>
    <mergeCell ref="BB12:BB13"/>
    <mergeCell ref="G14:H14"/>
    <mergeCell ref="I14:J14"/>
    <mergeCell ref="K14:L14"/>
    <mergeCell ref="M14:N14"/>
    <mergeCell ref="O14:P14"/>
    <mergeCell ref="AJ14:AK14"/>
    <mergeCell ref="AP12:AP13"/>
    <mergeCell ref="AQ12:AQ13"/>
    <mergeCell ref="AR12:AR13"/>
    <mergeCell ref="AT12:AT13"/>
    <mergeCell ref="AU12:AU13"/>
    <mergeCell ref="AV12:AV13"/>
    <mergeCell ref="AG12:AG13"/>
    <mergeCell ref="AH12:AH13"/>
    <mergeCell ref="AI12:AI13"/>
    <mergeCell ref="AM12:AM13"/>
    <mergeCell ref="AN12:AN13"/>
    <mergeCell ref="AO12:AO13"/>
    <mergeCell ref="R12:R13"/>
    <mergeCell ref="AB12:AB13"/>
    <mergeCell ref="AC12:AC13"/>
    <mergeCell ref="AD12:AD13"/>
    <mergeCell ref="AE12:AE13"/>
    <mergeCell ref="AF12:AF13"/>
    <mergeCell ref="AF19:AF20"/>
    <mergeCell ref="G19:H19"/>
    <mergeCell ref="I19:J19"/>
    <mergeCell ref="K19:L19"/>
    <mergeCell ref="M19:N19"/>
    <mergeCell ref="O19:P19"/>
    <mergeCell ref="Q19:Q20"/>
    <mergeCell ref="G15:H15"/>
    <mergeCell ref="A18:A20"/>
    <mergeCell ref="B18:R18"/>
    <mergeCell ref="T18:AH18"/>
    <mergeCell ref="AM18:AR18"/>
    <mergeCell ref="AT18:AW18"/>
    <mergeCell ref="B19:B20"/>
    <mergeCell ref="C19:C20"/>
    <mergeCell ref="D19:D20"/>
    <mergeCell ref="E19:E20"/>
    <mergeCell ref="AT25:AW25"/>
    <mergeCell ref="B26:B27"/>
    <mergeCell ref="C26:C27"/>
    <mergeCell ref="D26:D27"/>
    <mergeCell ref="E26:E27"/>
    <mergeCell ref="AW19:AW20"/>
    <mergeCell ref="AY19:AY20"/>
    <mergeCell ref="AZ19:AZ20"/>
    <mergeCell ref="BB19:BB20"/>
    <mergeCell ref="G21:H21"/>
    <mergeCell ref="I21:J21"/>
    <mergeCell ref="K21:L21"/>
    <mergeCell ref="M21:N21"/>
    <mergeCell ref="O21:P21"/>
    <mergeCell ref="AJ21:AK21"/>
    <mergeCell ref="AP19:AP20"/>
    <mergeCell ref="AQ19:AQ20"/>
    <mergeCell ref="AR19:AR20"/>
    <mergeCell ref="AT19:AT20"/>
    <mergeCell ref="AU19:AU20"/>
    <mergeCell ref="AV19:AV20"/>
    <mergeCell ref="AG19:AG20"/>
    <mergeCell ref="AH19:AH20"/>
    <mergeCell ref="AI19:AI20"/>
    <mergeCell ref="AM19:AM20"/>
    <mergeCell ref="AN19:AN20"/>
    <mergeCell ref="AO19:AO20"/>
    <mergeCell ref="R19:R20"/>
    <mergeCell ref="AB19:AB20"/>
    <mergeCell ref="AC19:AC20"/>
    <mergeCell ref="AD19:AD20"/>
    <mergeCell ref="AE19:AE20"/>
    <mergeCell ref="AN26:AN27"/>
    <mergeCell ref="AO26:AO27"/>
    <mergeCell ref="R26:R27"/>
    <mergeCell ref="AB26:AB27"/>
    <mergeCell ref="AC26:AC27"/>
    <mergeCell ref="AD26:AD27"/>
    <mergeCell ref="AE26:AE27"/>
    <mergeCell ref="AF26:AF27"/>
    <mergeCell ref="G26:H26"/>
    <mergeCell ref="I26:J26"/>
    <mergeCell ref="K26:L26"/>
    <mergeCell ref="M26:N26"/>
    <mergeCell ref="O26:P26"/>
    <mergeCell ref="Q26:Q27"/>
    <mergeCell ref="G22:H22"/>
    <mergeCell ref="A25:A27"/>
    <mergeCell ref="B25:R25"/>
    <mergeCell ref="T25:AH25"/>
    <mergeCell ref="AM25:AR25"/>
    <mergeCell ref="O31:P31"/>
    <mergeCell ref="Q31:Q32"/>
    <mergeCell ref="G29:H29"/>
    <mergeCell ref="A30:A32"/>
    <mergeCell ref="B30:R30"/>
    <mergeCell ref="T30:AH30"/>
    <mergeCell ref="AM30:AR30"/>
    <mergeCell ref="AT30:AW30"/>
    <mergeCell ref="B31:B32"/>
    <mergeCell ref="C31:C32"/>
    <mergeCell ref="D31:D32"/>
    <mergeCell ref="E31:E32"/>
    <mergeCell ref="AW26:AW27"/>
    <mergeCell ref="AY26:AY27"/>
    <mergeCell ref="AZ26:AZ27"/>
    <mergeCell ref="BB26:BB27"/>
    <mergeCell ref="G28:H28"/>
    <mergeCell ref="I28:J28"/>
    <mergeCell ref="K28:L28"/>
    <mergeCell ref="M28:N28"/>
    <mergeCell ref="O28:P28"/>
    <mergeCell ref="AJ28:AK28"/>
    <mergeCell ref="AP26:AP27"/>
    <mergeCell ref="AQ26:AQ27"/>
    <mergeCell ref="AR26:AR27"/>
    <mergeCell ref="AT26:AT27"/>
    <mergeCell ref="AU26:AU27"/>
    <mergeCell ref="AV26:AV27"/>
    <mergeCell ref="AG26:AG27"/>
    <mergeCell ref="AH26:AH27"/>
    <mergeCell ref="AI26:AI27"/>
    <mergeCell ref="AM26:AM27"/>
    <mergeCell ref="AW31:AW32"/>
    <mergeCell ref="AY31:AY32"/>
    <mergeCell ref="AZ31:AZ32"/>
    <mergeCell ref="BB31:BB32"/>
    <mergeCell ref="G33:H33"/>
    <mergeCell ref="I33:J33"/>
    <mergeCell ref="K33:L33"/>
    <mergeCell ref="M33:N33"/>
    <mergeCell ref="O33:P33"/>
    <mergeCell ref="AJ33:AK33"/>
    <mergeCell ref="AP31:AP32"/>
    <mergeCell ref="AQ31:AQ32"/>
    <mergeCell ref="AR31:AR32"/>
    <mergeCell ref="AT31:AT32"/>
    <mergeCell ref="AU31:AU32"/>
    <mergeCell ref="AV31:AV32"/>
    <mergeCell ref="AG31:AG32"/>
    <mergeCell ref="AH31:AH32"/>
    <mergeCell ref="AI31:AI32"/>
    <mergeCell ref="AM31:AM32"/>
    <mergeCell ref="AN31:AN32"/>
    <mergeCell ref="AO31:AO32"/>
    <mergeCell ref="R31:R32"/>
    <mergeCell ref="AB31:AB32"/>
    <mergeCell ref="AC31:AC32"/>
    <mergeCell ref="AD31:AD32"/>
    <mergeCell ref="AE31:AE32"/>
    <mergeCell ref="AF31:AF32"/>
    <mergeCell ref="G31:H31"/>
    <mergeCell ref="I31:J31"/>
    <mergeCell ref="K31:L31"/>
    <mergeCell ref="M31:N31"/>
    <mergeCell ref="AF36:AF37"/>
    <mergeCell ref="G36:H36"/>
    <mergeCell ref="I36:J36"/>
    <mergeCell ref="K36:L36"/>
    <mergeCell ref="M36:N36"/>
    <mergeCell ref="O36:P36"/>
    <mergeCell ref="Q36:Q37"/>
    <mergeCell ref="G34:H34"/>
    <mergeCell ref="A35:A37"/>
    <mergeCell ref="B35:R35"/>
    <mergeCell ref="T35:AH35"/>
    <mergeCell ref="AM35:AR35"/>
    <mergeCell ref="AT35:AW35"/>
    <mergeCell ref="B36:B37"/>
    <mergeCell ref="C36:C37"/>
    <mergeCell ref="D36:D37"/>
    <mergeCell ref="E36:E37"/>
    <mergeCell ref="AT45:AW45"/>
    <mergeCell ref="B46:B47"/>
    <mergeCell ref="C46:C47"/>
    <mergeCell ref="D46:D47"/>
    <mergeCell ref="E46:E47"/>
    <mergeCell ref="AW36:AW37"/>
    <mergeCell ref="AY36:AY37"/>
    <mergeCell ref="AZ36:AZ37"/>
    <mergeCell ref="BB36:BB37"/>
    <mergeCell ref="G38:H38"/>
    <mergeCell ref="I38:J38"/>
    <mergeCell ref="K38:L38"/>
    <mergeCell ref="M38:N38"/>
    <mergeCell ref="O38:P38"/>
    <mergeCell ref="AJ38:AK38"/>
    <mergeCell ref="AP36:AP37"/>
    <mergeCell ref="AQ36:AQ37"/>
    <mergeCell ref="AR36:AR37"/>
    <mergeCell ref="AT36:AT37"/>
    <mergeCell ref="AU36:AU37"/>
    <mergeCell ref="AV36:AV37"/>
    <mergeCell ref="AG36:AG37"/>
    <mergeCell ref="AH36:AH37"/>
    <mergeCell ref="AI36:AI37"/>
    <mergeCell ref="AM36:AM37"/>
    <mergeCell ref="AN36:AN37"/>
    <mergeCell ref="AO36:AO37"/>
    <mergeCell ref="R36:R37"/>
    <mergeCell ref="AB36:AB37"/>
    <mergeCell ref="AC36:AC37"/>
    <mergeCell ref="AD36:AD37"/>
    <mergeCell ref="AE36:AE37"/>
    <mergeCell ref="AN46:AN47"/>
    <mergeCell ref="AO46:AO47"/>
    <mergeCell ref="R46:R47"/>
    <mergeCell ref="AB46:AB47"/>
    <mergeCell ref="AC46:AC47"/>
    <mergeCell ref="AD46:AD47"/>
    <mergeCell ref="AE46:AE47"/>
    <mergeCell ref="AF46:AF47"/>
    <mergeCell ref="G46:H46"/>
    <mergeCell ref="I46:J46"/>
    <mergeCell ref="K46:L46"/>
    <mergeCell ref="M46:N46"/>
    <mergeCell ref="O46:P46"/>
    <mergeCell ref="Q46:Q47"/>
    <mergeCell ref="G39:H39"/>
    <mergeCell ref="A45:A47"/>
    <mergeCell ref="B45:R45"/>
    <mergeCell ref="T45:AH45"/>
    <mergeCell ref="AM45:AR45"/>
    <mergeCell ref="O56:P56"/>
    <mergeCell ref="Q56:Q57"/>
    <mergeCell ref="G49:H49"/>
    <mergeCell ref="A55:A57"/>
    <mergeCell ref="B55:R55"/>
    <mergeCell ref="T55:AH55"/>
    <mergeCell ref="AM55:AR55"/>
    <mergeCell ref="AT55:AW55"/>
    <mergeCell ref="B56:B57"/>
    <mergeCell ref="C56:C57"/>
    <mergeCell ref="D56:D57"/>
    <mergeCell ref="E56:E57"/>
    <mergeCell ref="AW46:AW47"/>
    <mergeCell ref="AY46:AY47"/>
    <mergeCell ref="AZ46:AZ47"/>
    <mergeCell ref="BB46:BB47"/>
    <mergeCell ref="G48:H48"/>
    <mergeCell ref="I48:J48"/>
    <mergeCell ref="K48:L48"/>
    <mergeCell ref="M48:N48"/>
    <mergeCell ref="O48:P48"/>
    <mergeCell ref="AJ48:AK48"/>
    <mergeCell ref="AP46:AP47"/>
    <mergeCell ref="AQ46:AQ47"/>
    <mergeCell ref="AR46:AR47"/>
    <mergeCell ref="AT46:AT47"/>
    <mergeCell ref="AU46:AU47"/>
    <mergeCell ref="AV46:AV47"/>
    <mergeCell ref="AG46:AG47"/>
    <mergeCell ref="AH46:AH47"/>
    <mergeCell ref="AI46:AI47"/>
    <mergeCell ref="AM46:AM47"/>
    <mergeCell ref="AW56:AW57"/>
    <mergeCell ref="AY56:AY57"/>
    <mergeCell ref="AZ56:AZ57"/>
    <mergeCell ref="BB56:BB57"/>
    <mergeCell ref="G58:H58"/>
    <mergeCell ref="I58:J58"/>
    <mergeCell ref="K58:L58"/>
    <mergeCell ref="M58:N58"/>
    <mergeCell ref="O58:P58"/>
    <mergeCell ref="AJ58:AK58"/>
    <mergeCell ref="AP56:AP57"/>
    <mergeCell ref="AQ56:AQ57"/>
    <mergeCell ref="AR56:AR57"/>
    <mergeCell ref="AT56:AT57"/>
    <mergeCell ref="AU56:AU57"/>
    <mergeCell ref="AV56:AV57"/>
    <mergeCell ref="AG56:AG57"/>
    <mergeCell ref="AH56:AH57"/>
    <mergeCell ref="AI56:AI57"/>
    <mergeCell ref="AM56:AM57"/>
    <mergeCell ref="AN56:AN57"/>
    <mergeCell ref="AO56:AO57"/>
    <mergeCell ref="R56:R57"/>
    <mergeCell ref="AB56:AB57"/>
    <mergeCell ref="AC56:AC57"/>
    <mergeCell ref="AD56:AD57"/>
    <mergeCell ref="AE56:AE57"/>
    <mergeCell ref="AF56:AF57"/>
    <mergeCell ref="G56:H56"/>
    <mergeCell ref="I56:J56"/>
    <mergeCell ref="K56:L56"/>
    <mergeCell ref="M56:N56"/>
    <mergeCell ref="AF63:AF64"/>
    <mergeCell ref="G63:H63"/>
    <mergeCell ref="I63:J63"/>
    <mergeCell ref="K63:L63"/>
    <mergeCell ref="M63:N63"/>
    <mergeCell ref="O63:P63"/>
    <mergeCell ref="Q63:Q64"/>
    <mergeCell ref="G59:H59"/>
    <mergeCell ref="A62:A64"/>
    <mergeCell ref="B62:R62"/>
    <mergeCell ref="T62:AH62"/>
    <mergeCell ref="AM62:AR62"/>
    <mergeCell ref="AT62:AW62"/>
    <mergeCell ref="B63:B64"/>
    <mergeCell ref="C63:C64"/>
    <mergeCell ref="D63:D64"/>
    <mergeCell ref="E63:E64"/>
    <mergeCell ref="AT72:AW72"/>
    <mergeCell ref="B73:B74"/>
    <mergeCell ref="C73:C74"/>
    <mergeCell ref="D73:D74"/>
    <mergeCell ref="E73:E74"/>
    <mergeCell ref="AW63:AW64"/>
    <mergeCell ref="AY63:AY64"/>
    <mergeCell ref="AZ63:AZ64"/>
    <mergeCell ref="BB63:BB64"/>
    <mergeCell ref="G65:H65"/>
    <mergeCell ref="I65:J65"/>
    <mergeCell ref="K65:L65"/>
    <mergeCell ref="M65:N65"/>
    <mergeCell ref="O65:P65"/>
    <mergeCell ref="AJ65:AK65"/>
    <mergeCell ref="AP63:AP64"/>
    <mergeCell ref="AQ63:AQ64"/>
    <mergeCell ref="AR63:AR64"/>
    <mergeCell ref="AT63:AT64"/>
    <mergeCell ref="AU63:AU64"/>
    <mergeCell ref="AV63:AV64"/>
    <mergeCell ref="AG63:AG64"/>
    <mergeCell ref="AH63:AH64"/>
    <mergeCell ref="AI63:AI64"/>
    <mergeCell ref="AM63:AM64"/>
    <mergeCell ref="AN63:AN64"/>
    <mergeCell ref="AO63:AO64"/>
    <mergeCell ref="R63:R64"/>
    <mergeCell ref="AB63:AB64"/>
    <mergeCell ref="AC63:AC64"/>
    <mergeCell ref="AD63:AD64"/>
    <mergeCell ref="AE63:AE64"/>
    <mergeCell ref="AN73:AN74"/>
    <mergeCell ref="AO73:AO74"/>
    <mergeCell ref="R73:R74"/>
    <mergeCell ref="AB73:AB74"/>
    <mergeCell ref="AC73:AC74"/>
    <mergeCell ref="AD73:AD74"/>
    <mergeCell ref="AE73:AE74"/>
    <mergeCell ref="AF73:AF74"/>
    <mergeCell ref="G73:H73"/>
    <mergeCell ref="I73:J73"/>
    <mergeCell ref="K73:L73"/>
    <mergeCell ref="M73:N73"/>
    <mergeCell ref="O73:P73"/>
    <mergeCell ref="Q73:Q74"/>
    <mergeCell ref="G66:H66"/>
    <mergeCell ref="A72:A74"/>
    <mergeCell ref="B72:R72"/>
    <mergeCell ref="T72:AH72"/>
    <mergeCell ref="AM72:AR72"/>
    <mergeCell ref="O78:P78"/>
    <mergeCell ref="Q78:Q79"/>
    <mergeCell ref="G76:H76"/>
    <mergeCell ref="A77:A79"/>
    <mergeCell ref="B77:R77"/>
    <mergeCell ref="T77:AH77"/>
    <mergeCell ref="AM77:AR77"/>
    <mergeCell ref="AT77:AW77"/>
    <mergeCell ref="B78:B79"/>
    <mergeCell ref="C78:C79"/>
    <mergeCell ref="D78:D79"/>
    <mergeCell ref="E78:E79"/>
    <mergeCell ref="AW73:AW74"/>
    <mergeCell ref="AY73:AY74"/>
    <mergeCell ref="AZ73:AZ74"/>
    <mergeCell ref="BB73:BB74"/>
    <mergeCell ref="G75:H75"/>
    <mergeCell ref="I75:J75"/>
    <mergeCell ref="K75:L75"/>
    <mergeCell ref="M75:N75"/>
    <mergeCell ref="O75:P75"/>
    <mergeCell ref="AJ75:AK75"/>
    <mergeCell ref="AP73:AP74"/>
    <mergeCell ref="AQ73:AQ74"/>
    <mergeCell ref="AR73:AR74"/>
    <mergeCell ref="AT73:AT74"/>
    <mergeCell ref="AU73:AU74"/>
    <mergeCell ref="AV73:AV74"/>
    <mergeCell ref="AG73:AG74"/>
    <mergeCell ref="AH73:AH74"/>
    <mergeCell ref="AI73:AI74"/>
    <mergeCell ref="AM73:AM74"/>
    <mergeCell ref="AW78:AW79"/>
    <mergeCell ref="AY78:AY79"/>
    <mergeCell ref="AZ78:AZ79"/>
    <mergeCell ref="BB78:BB79"/>
    <mergeCell ref="G80:H80"/>
    <mergeCell ref="I80:J80"/>
    <mergeCell ref="K80:L80"/>
    <mergeCell ref="M80:N80"/>
    <mergeCell ref="O80:P80"/>
    <mergeCell ref="AJ80:AK80"/>
    <mergeCell ref="AP78:AP79"/>
    <mergeCell ref="AQ78:AQ79"/>
    <mergeCell ref="AR78:AR79"/>
    <mergeCell ref="AT78:AT79"/>
    <mergeCell ref="AU78:AU79"/>
    <mergeCell ref="AV78:AV79"/>
    <mergeCell ref="AG78:AG79"/>
    <mergeCell ref="AH78:AH79"/>
    <mergeCell ref="AI78:AI79"/>
    <mergeCell ref="AM78:AM79"/>
    <mergeCell ref="AN78:AN79"/>
    <mergeCell ref="AO78:AO79"/>
    <mergeCell ref="R78:R79"/>
    <mergeCell ref="AB78:AB79"/>
    <mergeCell ref="AC78:AC79"/>
    <mergeCell ref="AD78:AD79"/>
    <mergeCell ref="AE78:AE79"/>
    <mergeCell ref="AF78:AF79"/>
    <mergeCell ref="G78:H78"/>
    <mergeCell ref="I78:J78"/>
    <mergeCell ref="K78:L78"/>
    <mergeCell ref="M78:N78"/>
    <mergeCell ref="AF88:AF89"/>
    <mergeCell ref="G88:H88"/>
    <mergeCell ref="I88:J88"/>
    <mergeCell ref="K88:L88"/>
    <mergeCell ref="M88:N88"/>
    <mergeCell ref="O88:P88"/>
    <mergeCell ref="Q88:Q89"/>
    <mergeCell ref="G81:H81"/>
    <mergeCell ref="A87:A89"/>
    <mergeCell ref="B87:R87"/>
    <mergeCell ref="T87:AH87"/>
    <mergeCell ref="AM87:AR87"/>
    <mergeCell ref="AT87:AW87"/>
    <mergeCell ref="B88:B89"/>
    <mergeCell ref="C88:C89"/>
    <mergeCell ref="D88:D89"/>
    <mergeCell ref="E88:E89"/>
    <mergeCell ref="AT94:AW94"/>
    <mergeCell ref="B95:B96"/>
    <mergeCell ref="C95:C96"/>
    <mergeCell ref="D95:D96"/>
    <mergeCell ref="E95:E96"/>
    <mergeCell ref="AW88:AW89"/>
    <mergeCell ref="AY88:AY89"/>
    <mergeCell ref="AZ88:AZ89"/>
    <mergeCell ref="BB88:BB89"/>
    <mergeCell ref="G90:H90"/>
    <mergeCell ref="I90:J90"/>
    <mergeCell ref="K90:L90"/>
    <mergeCell ref="M90:N90"/>
    <mergeCell ref="O90:P90"/>
    <mergeCell ref="AJ90:AK90"/>
    <mergeCell ref="AP88:AP89"/>
    <mergeCell ref="AQ88:AQ89"/>
    <mergeCell ref="AR88:AR89"/>
    <mergeCell ref="AT88:AT89"/>
    <mergeCell ref="AU88:AU89"/>
    <mergeCell ref="AV88:AV89"/>
    <mergeCell ref="AG88:AG89"/>
    <mergeCell ref="AH88:AH89"/>
    <mergeCell ref="AI88:AI89"/>
    <mergeCell ref="AM88:AM89"/>
    <mergeCell ref="AN88:AN89"/>
    <mergeCell ref="AO88:AO89"/>
    <mergeCell ref="R88:R89"/>
    <mergeCell ref="AB88:AB89"/>
    <mergeCell ref="AC88:AC89"/>
    <mergeCell ref="AD88:AD89"/>
    <mergeCell ref="AE88:AE89"/>
    <mergeCell ref="AN95:AN96"/>
    <mergeCell ref="AO95:AO96"/>
    <mergeCell ref="R95:R96"/>
    <mergeCell ref="AB95:AB96"/>
    <mergeCell ref="AC95:AC96"/>
    <mergeCell ref="AD95:AD96"/>
    <mergeCell ref="AE95:AE96"/>
    <mergeCell ref="AF95:AF96"/>
    <mergeCell ref="G95:H95"/>
    <mergeCell ref="I95:J95"/>
    <mergeCell ref="K95:L95"/>
    <mergeCell ref="M95:N95"/>
    <mergeCell ref="O95:P95"/>
    <mergeCell ref="Q95:Q96"/>
    <mergeCell ref="G91:H91"/>
    <mergeCell ref="A94:A96"/>
    <mergeCell ref="B94:R94"/>
    <mergeCell ref="T94:AH94"/>
    <mergeCell ref="AM94:AR94"/>
    <mergeCell ref="O102:P102"/>
    <mergeCell ref="Q102:Q103"/>
    <mergeCell ref="G98:H98"/>
    <mergeCell ref="A101:A103"/>
    <mergeCell ref="B101:R101"/>
    <mergeCell ref="T101:AH101"/>
    <mergeCell ref="AM101:AR101"/>
    <mergeCell ref="AT101:AW101"/>
    <mergeCell ref="B102:B103"/>
    <mergeCell ref="C102:C103"/>
    <mergeCell ref="D102:D103"/>
    <mergeCell ref="E102:E103"/>
    <mergeCell ref="AW95:AW96"/>
    <mergeCell ref="AY95:AY96"/>
    <mergeCell ref="AZ95:AZ96"/>
    <mergeCell ref="BB95:BB96"/>
    <mergeCell ref="G97:H97"/>
    <mergeCell ref="I97:J97"/>
    <mergeCell ref="K97:L97"/>
    <mergeCell ref="M97:N97"/>
    <mergeCell ref="O97:P97"/>
    <mergeCell ref="AJ97:AK97"/>
    <mergeCell ref="AP95:AP96"/>
    <mergeCell ref="AQ95:AQ96"/>
    <mergeCell ref="AR95:AR96"/>
    <mergeCell ref="AT95:AT96"/>
    <mergeCell ref="AU95:AU96"/>
    <mergeCell ref="AV95:AV96"/>
    <mergeCell ref="AG95:AG96"/>
    <mergeCell ref="AH95:AH96"/>
    <mergeCell ref="AI95:AI96"/>
    <mergeCell ref="AM95:AM96"/>
    <mergeCell ref="AW102:AW103"/>
    <mergeCell ref="AY102:AY103"/>
    <mergeCell ref="AZ102:AZ103"/>
    <mergeCell ref="BB102:BB103"/>
    <mergeCell ref="G104:H104"/>
    <mergeCell ref="I104:J104"/>
    <mergeCell ref="K104:L104"/>
    <mergeCell ref="M104:N104"/>
    <mergeCell ref="O104:P104"/>
    <mergeCell ref="AJ104:AK104"/>
    <mergeCell ref="AP102:AP103"/>
    <mergeCell ref="AQ102:AQ103"/>
    <mergeCell ref="AR102:AR103"/>
    <mergeCell ref="AT102:AT103"/>
    <mergeCell ref="AU102:AU103"/>
    <mergeCell ref="AV102:AV103"/>
    <mergeCell ref="AG102:AG103"/>
    <mergeCell ref="AH102:AH103"/>
    <mergeCell ref="AI102:AI103"/>
    <mergeCell ref="AM102:AM103"/>
    <mergeCell ref="AN102:AN103"/>
    <mergeCell ref="AO102:AO103"/>
    <mergeCell ref="R102:R103"/>
    <mergeCell ref="AB102:AB103"/>
    <mergeCell ref="AC102:AC103"/>
    <mergeCell ref="AD102:AD103"/>
    <mergeCell ref="AE102:AE103"/>
    <mergeCell ref="AF102:AF103"/>
    <mergeCell ref="G102:H102"/>
    <mergeCell ref="I102:J102"/>
    <mergeCell ref="K102:L102"/>
    <mergeCell ref="M102:N102"/>
    <mergeCell ref="AF109:AF110"/>
    <mergeCell ref="G109:H109"/>
    <mergeCell ref="I109:J109"/>
    <mergeCell ref="K109:L109"/>
    <mergeCell ref="M109:N109"/>
    <mergeCell ref="O109:P109"/>
    <mergeCell ref="Q109:Q110"/>
    <mergeCell ref="G105:H105"/>
    <mergeCell ref="A108:A110"/>
    <mergeCell ref="B108:R108"/>
    <mergeCell ref="T108:AH108"/>
    <mergeCell ref="AM108:AR108"/>
    <mergeCell ref="AT108:AW108"/>
    <mergeCell ref="B109:B110"/>
    <mergeCell ref="C109:C110"/>
    <mergeCell ref="D109:D110"/>
    <mergeCell ref="E109:E110"/>
    <mergeCell ref="AT118:AW118"/>
    <mergeCell ref="B119:B120"/>
    <mergeCell ref="C119:C120"/>
    <mergeCell ref="D119:D120"/>
    <mergeCell ref="E119:E120"/>
    <mergeCell ref="AW109:AW110"/>
    <mergeCell ref="AY109:AY110"/>
    <mergeCell ref="AZ109:AZ110"/>
    <mergeCell ref="BB109:BB110"/>
    <mergeCell ref="G111:H111"/>
    <mergeCell ref="I111:J111"/>
    <mergeCell ref="K111:L111"/>
    <mergeCell ref="M111:N111"/>
    <mergeCell ref="O111:P111"/>
    <mergeCell ref="AJ111:AK111"/>
    <mergeCell ref="AP109:AP110"/>
    <mergeCell ref="AQ109:AQ110"/>
    <mergeCell ref="AR109:AR110"/>
    <mergeCell ref="AT109:AT110"/>
    <mergeCell ref="AU109:AU110"/>
    <mergeCell ref="AV109:AV110"/>
    <mergeCell ref="AG109:AG110"/>
    <mergeCell ref="AH109:AH110"/>
    <mergeCell ref="AI109:AI110"/>
    <mergeCell ref="AM109:AM110"/>
    <mergeCell ref="AN109:AN110"/>
    <mergeCell ref="AO109:AO110"/>
    <mergeCell ref="R109:R110"/>
    <mergeCell ref="AB109:AB110"/>
    <mergeCell ref="AC109:AC110"/>
    <mergeCell ref="AD109:AD110"/>
    <mergeCell ref="AE109:AE110"/>
    <mergeCell ref="AN119:AN120"/>
    <mergeCell ref="AO119:AO120"/>
    <mergeCell ref="R119:R120"/>
    <mergeCell ref="AB119:AB120"/>
    <mergeCell ref="AC119:AC120"/>
    <mergeCell ref="AD119:AD120"/>
    <mergeCell ref="AE119:AE120"/>
    <mergeCell ref="AF119:AF120"/>
    <mergeCell ref="G119:H119"/>
    <mergeCell ref="I119:J119"/>
    <mergeCell ref="K119:L119"/>
    <mergeCell ref="M119:N119"/>
    <mergeCell ref="O119:P119"/>
    <mergeCell ref="Q119:Q120"/>
    <mergeCell ref="G112:H112"/>
    <mergeCell ref="A118:A120"/>
    <mergeCell ref="B118:R118"/>
    <mergeCell ref="T118:AH118"/>
    <mergeCell ref="AM118:AR118"/>
    <mergeCell ref="O129:P129"/>
    <mergeCell ref="Q129:Q130"/>
    <mergeCell ref="G122:H122"/>
    <mergeCell ref="A128:A130"/>
    <mergeCell ref="B128:R128"/>
    <mergeCell ref="T128:AH128"/>
    <mergeCell ref="AM128:AR128"/>
    <mergeCell ref="AT128:AW128"/>
    <mergeCell ref="B129:B130"/>
    <mergeCell ref="C129:C130"/>
    <mergeCell ref="D129:D130"/>
    <mergeCell ref="E129:E130"/>
    <mergeCell ref="AW119:AW120"/>
    <mergeCell ref="AY119:AY120"/>
    <mergeCell ref="AZ119:AZ120"/>
    <mergeCell ref="BB119:BB120"/>
    <mergeCell ref="G121:H121"/>
    <mergeCell ref="I121:J121"/>
    <mergeCell ref="K121:L121"/>
    <mergeCell ref="M121:N121"/>
    <mergeCell ref="O121:P121"/>
    <mergeCell ref="AJ121:AK121"/>
    <mergeCell ref="AP119:AP120"/>
    <mergeCell ref="AQ119:AQ120"/>
    <mergeCell ref="AR119:AR120"/>
    <mergeCell ref="AT119:AT120"/>
    <mergeCell ref="AU119:AU120"/>
    <mergeCell ref="AV119:AV120"/>
    <mergeCell ref="AG119:AG120"/>
    <mergeCell ref="AH119:AH120"/>
    <mergeCell ref="AI119:AI120"/>
    <mergeCell ref="AM119:AM120"/>
    <mergeCell ref="AW129:AW130"/>
    <mergeCell ref="AY129:AY130"/>
    <mergeCell ref="AZ129:AZ130"/>
    <mergeCell ref="BB129:BB130"/>
    <mergeCell ref="G131:H131"/>
    <mergeCell ref="I131:J131"/>
    <mergeCell ref="K131:L131"/>
    <mergeCell ref="M131:N131"/>
    <mergeCell ref="O131:P131"/>
    <mergeCell ref="AJ131:AK131"/>
    <mergeCell ref="AP129:AP130"/>
    <mergeCell ref="AQ129:AQ130"/>
    <mergeCell ref="AR129:AR130"/>
    <mergeCell ref="AT129:AT130"/>
    <mergeCell ref="AU129:AU130"/>
    <mergeCell ref="AV129:AV130"/>
    <mergeCell ref="AG129:AG130"/>
    <mergeCell ref="AH129:AH130"/>
    <mergeCell ref="AI129:AI130"/>
    <mergeCell ref="AM129:AM130"/>
    <mergeCell ref="AN129:AN130"/>
    <mergeCell ref="AO129:AO130"/>
    <mergeCell ref="R129:R130"/>
    <mergeCell ref="AB129:AB130"/>
    <mergeCell ref="AC129:AC130"/>
    <mergeCell ref="AD129:AD130"/>
    <mergeCell ref="AE129:AE130"/>
    <mergeCell ref="AF129:AF130"/>
    <mergeCell ref="G129:H129"/>
    <mergeCell ref="I129:J129"/>
    <mergeCell ref="K129:L129"/>
    <mergeCell ref="M129:N129"/>
    <mergeCell ref="AF136:AF137"/>
    <mergeCell ref="G136:H136"/>
    <mergeCell ref="I136:J136"/>
    <mergeCell ref="K136:L136"/>
    <mergeCell ref="M136:N136"/>
    <mergeCell ref="O136:P136"/>
    <mergeCell ref="Q136:Q137"/>
    <mergeCell ref="G132:H132"/>
    <mergeCell ref="A135:A137"/>
    <mergeCell ref="B135:R135"/>
    <mergeCell ref="T135:AH135"/>
    <mergeCell ref="AM135:AR135"/>
    <mergeCell ref="AT135:AW135"/>
    <mergeCell ref="B136:B137"/>
    <mergeCell ref="C136:C137"/>
    <mergeCell ref="D136:D137"/>
    <mergeCell ref="E136:E137"/>
    <mergeCell ref="AT142:AW142"/>
    <mergeCell ref="B143:B144"/>
    <mergeCell ref="C143:C144"/>
    <mergeCell ref="D143:D144"/>
    <mergeCell ref="E143:E144"/>
    <mergeCell ref="AW136:AW137"/>
    <mergeCell ref="AY136:AY137"/>
    <mergeCell ref="AZ136:AZ137"/>
    <mergeCell ref="BB136:BB137"/>
    <mergeCell ref="G138:H138"/>
    <mergeCell ref="I138:J138"/>
    <mergeCell ref="K138:L138"/>
    <mergeCell ref="M138:N138"/>
    <mergeCell ref="O138:P138"/>
    <mergeCell ref="AJ138:AK138"/>
    <mergeCell ref="AP136:AP137"/>
    <mergeCell ref="AQ136:AQ137"/>
    <mergeCell ref="AR136:AR137"/>
    <mergeCell ref="AT136:AT137"/>
    <mergeCell ref="AU136:AU137"/>
    <mergeCell ref="AV136:AV137"/>
    <mergeCell ref="AG136:AG137"/>
    <mergeCell ref="AH136:AH137"/>
    <mergeCell ref="AI136:AI137"/>
    <mergeCell ref="AM136:AM137"/>
    <mergeCell ref="AN136:AN137"/>
    <mergeCell ref="AO136:AO137"/>
    <mergeCell ref="R136:R137"/>
    <mergeCell ref="AB136:AB137"/>
    <mergeCell ref="AC136:AC137"/>
    <mergeCell ref="AD136:AD137"/>
    <mergeCell ref="AE136:AE137"/>
    <mergeCell ref="AN143:AN144"/>
    <mergeCell ref="AO143:AO144"/>
    <mergeCell ref="R143:R144"/>
    <mergeCell ref="AB143:AB144"/>
    <mergeCell ref="AC143:AC144"/>
    <mergeCell ref="AD143:AD144"/>
    <mergeCell ref="AE143:AE144"/>
    <mergeCell ref="AF143:AF144"/>
    <mergeCell ref="G143:H143"/>
    <mergeCell ref="I143:J143"/>
    <mergeCell ref="K143:L143"/>
    <mergeCell ref="M143:N143"/>
    <mergeCell ref="O143:P143"/>
    <mergeCell ref="Q143:Q144"/>
    <mergeCell ref="G139:H139"/>
    <mergeCell ref="A142:A144"/>
    <mergeCell ref="B142:R142"/>
    <mergeCell ref="T142:AH142"/>
    <mergeCell ref="AM142:AR142"/>
    <mergeCell ref="O150:P150"/>
    <mergeCell ref="Q150:Q151"/>
    <mergeCell ref="G146:H146"/>
    <mergeCell ref="A149:A151"/>
    <mergeCell ref="B149:R149"/>
    <mergeCell ref="T149:AH149"/>
    <mergeCell ref="AM149:AR149"/>
    <mergeCell ref="AT149:AW149"/>
    <mergeCell ref="B150:B151"/>
    <mergeCell ref="C150:C151"/>
    <mergeCell ref="D150:D151"/>
    <mergeCell ref="E150:E151"/>
    <mergeCell ref="AW143:AW144"/>
    <mergeCell ref="AY143:AY144"/>
    <mergeCell ref="AZ143:AZ144"/>
    <mergeCell ref="BB143:BB144"/>
    <mergeCell ref="G145:H145"/>
    <mergeCell ref="I145:J145"/>
    <mergeCell ref="K145:L145"/>
    <mergeCell ref="M145:N145"/>
    <mergeCell ref="O145:P145"/>
    <mergeCell ref="AJ145:AK145"/>
    <mergeCell ref="AP143:AP144"/>
    <mergeCell ref="AQ143:AQ144"/>
    <mergeCell ref="AR143:AR144"/>
    <mergeCell ref="AT143:AT144"/>
    <mergeCell ref="AU143:AU144"/>
    <mergeCell ref="AV143:AV144"/>
    <mergeCell ref="AG143:AG144"/>
    <mergeCell ref="AH143:AH144"/>
    <mergeCell ref="AI143:AI144"/>
    <mergeCell ref="AM143:AM144"/>
    <mergeCell ref="AW150:AW151"/>
    <mergeCell ref="AY150:AY151"/>
    <mergeCell ref="AZ150:AZ151"/>
    <mergeCell ref="BB150:BB151"/>
    <mergeCell ref="G152:H152"/>
    <mergeCell ref="I152:J152"/>
    <mergeCell ref="K152:L152"/>
    <mergeCell ref="M152:N152"/>
    <mergeCell ref="O152:P152"/>
    <mergeCell ref="AJ152:AK152"/>
    <mergeCell ref="AP150:AP151"/>
    <mergeCell ref="AQ150:AQ151"/>
    <mergeCell ref="AR150:AR151"/>
    <mergeCell ref="AT150:AT151"/>
    <mergeCell ref="AU150:AU151"/>
    <mergeCell ref="AV150:AV151"/>
    <mergeCell ref="AG150:AG151"/>
    <mergeCell ref="AH150:AH151"/>
    <mergeCell ref="AI150:AI151"/>
    <mergeCell ref="AM150:AM151"/>
    <mergeCell ref="AN150:AN151"/>
    <mergeCell ref="AO150:AO151"/>
    <mergeCell ref="R150:R151"/>
    <mergeCell ref="AB150:AB151"/>
    <mergeCell ref="AC150:AC151"/>
    <mergeCell ref="AD150:AD151"/>
    <mergeCell ref="AE150:AE151"/>
    <mergeCell ref="AF150:AF151"/>
    <mergeCell ref="G150:H150"/>
    <mergeCell ref="I150:J150"/>
    <mergeCell ref="K150:L150"/>
    <mergeCell ref="M150:N150"/>
    <mergeCell ref="AF157:AF158"/>
    <mergeCell ref="G157:H157"/>
    <mergeCell ref="I157:J157"/>
    <mergeCell ref="K157:L157"/>
    <mergeCell ref="M157:N157"/>
    <mergeCell ref="O157:P157"/>
    <mergeCell ref="Q157:Q158"/>
    <mergeCell ref="G153:H153"/>
    <mergeCell ref="A156:A158"/>
    <mergeCell ref="B156:R156"/>
    <mergeCell ref="T156:AH156"/>
    <mergeCell ref="AM156:AR156"/>
    <mergeCell ref="AT156:AW156"/>
    <mergeCell ref="B157:B158"/>
    <mergeCell ref="C157:C158"/>
    <mergeCell ref="D157:D158"/>
    <mergeCell ref="E157:E158"/>
    <mergeCell ref="AT163:AW163"/>
    <mergeCell ref="B164:B165"/>
    <mergeCell ref="C164:C165"/>
    <mergeCell ref="D164:D165"/>
    <mergeCell ref="E164:E165"/>
    <mergeCell ref="AW157:AW158"/>
    <mergeCell ref="AY157:AY158"/>
    <mergeCell ref="AZ157:AZ158"/>
    <mergeCell ref="BB157:BB158"/>
    <mergeCell ref="G159:H159"/>
    <mergeCell ref="I159:J159"/>
    <mergeCell ref="K159:L159"/>
    <mergeCell ref="M159:N159"/>
    <mergeCell ref="O159:P159"/>
    <mergeCell ref="AJ159:AK159"/>
    <mergeCell ref="AP157:AP158"/>
    <mergeCell ref="AQ157:AQ158"/>
    <mergeCell ref="AR157:AR158"/>
    <mergeCell ref="AT157:AT158"/>
    <mergeCell ref="AU157:AU158"/>
    <mergeCell ref="AV157:AV158"/>
    <mergeCell ref="AG157:AG158"/>
    <mergeCell ref="AH157:AH158"/>
    <mergeCell ref="AI157:AI158"/>
    <mergeCell ref="AM157:AM158"/>
    <mergeCell ref="AN157:AN158"/>
    <mergeCell ref="AO157:AO158"/>
    <mergeCell ref="R157:R158"/>
    <mergeCell ref="AB157:AB158"/>
    <mergeCell ref="AC157:AC158"/>
    <mergeCell ref="AD157:AD158"/>
    <mergeCell ref="AE157:AE158"/>
    <mergeCell ref="AN164:AN165"/>
    <mergeCell ref="AO164:AO165"/>
    <mergeCell ref="R164:R165"/>
    <mergeCell ref="AB164:AB165"/>
    <mergeCell ref="AC164:AC165"/>
    <mergeCell ref="AD164:AD165"/>
    <mergeCell ref="AE164:AE165"/>
    <mergeCell ref="AF164:AF165"/>
    <mergeCell ref="G164:H164"/>
    <mergeCell ref="I164:J164"/>
    <mergeCell ref="K164:L164"/>
    <mergeCell ref="M164:N164"/>
    <mergeCell ref="O164:P164"/>
    <mergeCell ref="Q164:Q165"/>
    <mergeCell ref="G160:H160"/>
    <mergeCell ref="A163:A165"/>
    <mergeCell ref="B163:R163"/>
    <mergeCell ref="T163:AH163"/>
    <mergeCell ref="AM163:AR163"/>
    <mergeCell ref="O171:P171"/>
    <mergeCell ref="Q171:Q172"/>
    <mergeCell ref="G167:H167"/>
    <mergeCell ref="A170:A172"/>
    <mergeCell ref="B170:R170"/>
    <mergeCell ref="T170:AH170"/>
    <mergeCell ref="AM170:AR170"/>
    <mergeCell ref="AT170:AW170"/>
    <mergeCell ref="B171:B172"/>
    <mergeCell ref="C171:C172"/>
    <mergeCell ref="D171:D172"/>
    <mergeCell ref="E171:E172"/>
    <mergeCell ref="AW164:AW165"/>
    <mergeCell ref="AY164:AY165"/>
    <mergeCell ref="AZ164:AZ165"/>
    <mergeCell ref="BB164:BB165"/>
    <mergeCell ref="G166:H166"/>
    <mergeCell ref="I166:J166"/>
    <mergeCell ref="K166:L166"/>
    <mergeCell ref="M166:N166"/>
    <mergeCell ref="O166:P166"/>
    <mergeCell ref="AJ166:AK166"/>
    <mergeCell ref="AP164:AP165"/>
    <mergeCell ref="AQ164:AQ165"/>
    <mergeCell ref="AR164:AR165"/>
    <mergeCell ref="AT164:AT165"/>
    <mergeCell ref="AU164:AU165"/>
    <mergeCell ref="AV164:AV165"/>
    <mergeCell ref="AG164:AG165"/>
    <mergeCell ref="AH164:AH165"/>
    <mergeCell ref="AI164:AI165"/>
    <mergeCell ref="AM164:AM165"/>
    <mergeCell ref="AW171:AW172"/>
    <mergeCell ref="AY171:AY172"/>
    <mergeCell ref="AZ171:AZ172"/>
    <mergeCell ref="BB171:BB172"/>
    <mergeCell ref="G173:H173"/>
    <mergeCell ref="I173:J173"/>
    <mergeCell ref="K173:L173"/>
    <mergeCell ref="M173:N173"/>
    <mergeCell ref="O173:P173"/>
    <mergeCell ref="AJ173:AK173"/>
    <mergeCell ref="AP171:AP172"/>
    <mergeCell ref="AQ171:AQ172"/>
    <mergeCell ref="AR171:AR172"/>
    <mergeCell ref="AT171:AT172"/>
    <mergeCell ref="AU171:AU172"/>
    <mergeCell ref="AV171:AV172"/>
    <mergeCell ref="AG171:AG172"/>
    <mergeCell ref="AH171:AH172"/>
    <mergeCell ref="AI171:AI172"/>
    <mergeCell ref="AM171:AM172"/>
    <mergeCell ref="AN171:AN172"/>
    <mergeCell ref="AO171:AO172"/>
    <mergeCell ref="R171:R172"/>
    <mergeCell ref="AB171:AB172"/>
    <mergeCell ref="AC171:AC172"/>
    <mergeCell ref="AD171:AD172"/>
    <mergeCell ref="AE171:AE172"/>
    <mergeCell ref="AF171:AF172"/>
    <mergeCell ref="G171:H171"/>
    <mergeCell ref="I171:J171"/>
    <mergeCell ref="K171:L171"/>
    <mergeCell ref="M171:N171"/>
    <mergeCell ref="AF178:AF179"/>
    <mergeCell ref="G178:H178"/>
    <mergeCell ref="I178:J178"/>
    <mergeCell ref="K178:L178"/>
    <mergeCell ref="M178:N178"/>
    <mergeCell ref="O178:P178"/>
    <mergeCell ref="Q178:Q179"/>
    <mergeCell ref="G174:H174"/>
    <mergeCell ref="A177:A179"/>
    <mergeCell ref="B177:R177"/>
    <mergeCell ref="T177:AH177"/>
    <mergeCell ref="AM177:AR177"/>
    <mergeCell ref="AT177:AW177"/>
    <mergeCell ref="B178:B179"/>
    <mergeCell ref="C178:C179"/>
    <mergeCell ref="D178:D179"/>
    <mergeCell ref="E178:E179"/>
    <mergeCell ref="AT184:AW184"/>
    <mergeCell ref="B185:B186"/>
    <mergeCell ref="C185:C186"/>
    <mergeCell ref="D185:D186"/>
    <mergeCell ref="E185:E186"/>
    <mergeCell ref="AW178:AW179"/>
    <mergeCell ref="AY178:AY179"/>
    <mergeCell ref="AZ178:AZ179"/>
    <mergeCell ref="BB178:BB179"/>
    <mergeCell ref="G180:H180"/>
    <mergeCell ref="I180:J180"/>
    <mergeCell ref="K180:L180"/>
    <mergeCell ref="M180:N180"/>
    <mergeCell ref="O180:P180"/>
    <mergeCell ref="AJ180:AK180"/>
    <mergeCell ref="AP178:AP179"/>
    <mergeCell ref="AQ178:AQ179"/>
    <mergeCell ref="AR178:AR179"/>
    <mergeCell ref="AT178:AT179"/>
    <mergeCell ref="AU178:AU179"/>
    <mergeCell ref="AV178:AV179"/>
    <mergeCell ref="AG178:AG179"/>
    <mergeCell ref="AH178:AH179"/>
    <mergeCell ref="AI178:AI179"/>
    <mergeCell ref="AM178:AM179"/>
    <mergeCell ref="AN178:AN179"/>
    <mergeCell ref="AO178:AO179"/>
    <mergeCell ref="R178:R179"/>
    <mergeCell ref="AB178:AB179"/>
    <mergeCell ref="AC178:AC179"/>
    <mergeCell ref="AD178:AD179"/>
    <mergeCell ref="AE178:AE179"/>
    <mergeCell ref="AN185:AN186"/>
    <mergeCell ref="AO185:AO186"/>
    <mergeCell ref="R185:R186"/>
    <mergeCell ref="AB185:AB186"/>
    <mergeCell ref="AC185:AC186"/>
    <mergeCell ref="AD185:AD186"/>
    <mergeCell ref="AE185:AE186"/>
    <mergeCell ref="AF185:AF186"/>
    <mergeCell ref="G185:H185"/>
    <mergeCell ref="I185:J185"/>
    <mergeCell ref="K185:L185"/>
    <mergeCell ref="M185:N185"/>
    <mergeCell ref="O185:P185"/>
    <mergeCell ref="Q185:Q186"/>
    <mergeCell ref="G181:H181"/>
    <mergeCell ref="A184:A186"/>
    <mergeCell ref="B184:R184"/>
    <mergeCell ref="T184:AH184"/>
    <mergeCell ref="AM184:AR184"/>
    <mergeCell ref="O192:P192"/>
    <mergeCell ref="Q192:Q193"/>
    <mergeCell ref="G188:H188"/>
    <mergeCell ref="A191:A193"/>
    <mergeCell ref="B191:R191"/>
    <mergeCell ref="T191:AH191"/>
    <mergeCell ref="AM191:AR191"/>
    <mergeCell ref="AT191:AW191"/>
    <mergeCell ref="B192:B193"/>
    <mergeCell ref="C192:C193"/>
    <mergeCell ref="D192:D193"/>
    <mergeCell ref="E192:E193"/>
    <mergeCell ref="AW185:AW186"/>
    <mergeCell ref="AY185:AY186"/>
    <mergeCell ref="AZ185:AZ186"/>
    <mergeCell ref="BB185:BB186"/>
    <mergeCell ref="G187:H187"/>
    <mergeCell ref="I187:J187"/>
    <mergeCell ref="K187:L187"/>
    <mergeCell ref="M187:N187"/>
    <mergeCell ref="O187:P187"/>
    <mergeCell ref="AJ187:AK187"/>
    <mergeCell ref="AP185:AP186"/>
    <mergeCell ref="AQ185:AQ186"/>
    <mergeCell ref="AR185:AR186"/>
    <mergeCell ref="AT185:AT186"/>
    <mergeCell ref="AU185:AU186"/>
    <mergeCell ref="AV185:AV186"/>
    <mergeCell ref="AG185:AG186"/>
    <mergeCell ref="AH185:AH186"/>
    <mergeCell ref="AI185:AI186"/>
    <mergeCell ref="AM185:AM186"/>
    <mergeCell ref="AW192:AW193"/>
    <mergeCell ref="AY192:AY193"/>
    <mergeCell ref="AZ192:AZ193"/>
    <mergeCell ref="BB192:BB193"/>
    <mergeCell ref="G194:H194"/>
    <mergeCell ref="I194:J194"/>
    <mergeCell ref="K194:L194"/>
    <mergeCell ref="M194:N194"/>
    <mergeCell ref="O194:P194"/>
    <mergeCell ref="AJ194:AK194"/>
    <mergeCell ref="AP192:AP193"/>
    <mergeCell ref="AQ192:AQ193"/>
    <mergeCell ref="AR192:AR193"/>
    <mergeCell ref="AT192:AT193"/>
    <mergeCell ref="AU192:AU193"/>
    <mergeCell ref="AV192:AV193"/>
    <mergeCell ref="AG192:AG193"/>
    <mergeCell ref="AH192:AH193"/>
    <mergeCell ref="AI192:AI193"/>
    <mergeCell ref="AM192:AM193"/>
    <mergeCell ref="AN192:AN193"/>
    <mergeCell ref="AO192:AO193"/>
    <mergeCell ref="R192:R193"/>
    <mergeCell ref="AB192:AB193"/>
    <mergeCell ref="AC192:AC193"/>
    <mergeCell ref="AD192:AD193"/>
    <mergeCell ref="AE192:AE193"/>
    <mergeCell ref="AF192:AF193"/>
    <mergeCell ref="G192:H192"/>
    <mergeCell ref="I192:J192"/>
    <mergeCell ref="K192:L192"/>
    <mergeCell ref="M192:N192"/>
    <mergeCell ref="AF197:AF198"/>
    <mergeCell ref="G197:H197"/>
    <mergeCell ref="I197:J197"/>
    <mergeCell ref="K197:L197"/>
    <mergeCell ref="M197:N197"/>
    <mergeCell ref="O197:P197"/>
    <mergeCell ref="Q197:Q198"/>
    <mergeCell ref="G195:H195"/>
    <mergeCell ref="A196:A198"/>
    <mergeCell ref="B196:R196"/>
    <mergeCell ref="T196:AH196"/>
    <mergeCell ref="AM196:AR196"/>
    <mergeCell ref="AT196:AW196"/>
    <mergeCell ref="B197:B198"/>
    <mergeCell ref="C197:C198"/>
    <mergeCell ref="D197:D198"/>
    <mergeCell ref="E197:E198"/>
    <mergeCell ref="AT203:AW203"/>
    <mergeCell ref="B204:B205"/>
    <mergeCell ref="C204:C205"/>
    <mergeCell ref="D204:D205"/>
    <mergeCell ref="E204:E205"/>
    <mergeCell ref="AW197:AW198"/>
    <mergeCell ref="AY197:AY198"/>
    <mergeCell ref="AZ197:AZ198"/>
    <mergeCell ref="BB197:BB198"/>
    <mergeCell ref="G199:H199"/>
    <mergeCell ref="I199:J199"/>
    <mergeCell ref="K199:L199"/>
    <mergeCell ref="M199:N199"/>
    <mergeCell ref="O199:P199"/>
    <mergeCell ref="AJ199:AK199"/>
    <mergeCell ref="AP197:AP198"/>
    <mergeCell ref="AQ197:AQ198"/>
    <mergeCell ref="AR197:AR198"/>
    <mergeCell ref="AT197:AT198"/>
    <mergeCell ref="AU197:AU198"/>
    <mergeCell ref="AV197:AV198"/>
    <mergeCell ref="AG197:AG198"/>
    <mergeCell ref="AH197:AH198"/>
    <mergeCell ref="AI197:AI198"/>
    <mergeCell ref="AM197:AM198"/>
    <mergeCell ref="AN197:AN198"/>
    <mergeCell ref="AO197:AO198"/>
    <mergeCell ref="R197:R198"/>
    <mergeCell ref="AB197:AB198"/>
    <mergeCell ref="AC197:AC198"/>
    <mergeCell ref="AD197:AD198"/>
    <mergeCell ref="AE197:AE198"/>
    <mergeCell ref="AM204:AM205"/>
    <mergeCell ref="AN204:AN205"/>
    <mergeCell ref="AO204:AO205"/>
    <mergeCell ref="R204:R205"/>
    <mergeCell ref="AB204:AB205"/>
    <mergeCell ref="AC204:AC205"/>
    <mergeCell ref="AD204:AD205"/>
    <mergeCell ref="AE204:AE205"/>
    <mergeCell ref="AF204:AF205"/>
    <mergeCell ref="G204:H204"/>
    <mergeCell ref="I204:J204"/>
    <mergeCell ref="K204:L204"/>
    <mergeCell ref="M204:N204"/>
    <mergeCell ref="O204:P204"/>
    <mergeCell ref="Q204:Q205"/>
    <mergeCell ref="G200:H200"/>
    <mergeCell ref="A203:A205"/>
    <mergeCell ref="B203:R203"/>
    <mergeCell ref="T203:AH203"/>
    <mergeCell ref="AM203:AR203"/>
    <mergeCell ref="M211:N211"/>
    <mergeCell ref="O211:P211"/>
    <mergeCell ref="Q211:Q212"/>
    <mergeCell ref="G207:H207"/>
    <mergeCell ref="A210:A212"/>
    <mergeCell ref="B210:R210"/>
    <mergeCell ref="T210:AH210"/>
    <mergeCell ref="AM210:AR210"/>
    <mergeCell ref="AT210:AW210"/>
    <mergeCell ref="B211:B212"/>
    <mergeCell ref="C211:C212"/>
    <mergeCell ref="D211:D212"/>
    <mergeCell ref="E211:E212"/>
    <mergeCell ref="AW204:AW205"/>
    <mergeCell ref="AY204:AY205"/>
    <mergeCell ref="AZ204:AZ205"/>
    <mergeCell ref="BB204:BB205"/>
    <mergeCell ref="G206:H206"/>
    <mergeCell ref="I206:J206"/>
    <mergeCell ref="K206:L206"/>
    <mergeCell ref="M206:N206"/>
    <mergeCell ref="O206:P206"/>
    <mergeCell ref="AJ206:AK206"/>
    <mergeCell ref="AP204:AP205"/>
    <mergeCell ref="AQ204:AQ205"/>
    <mergeCell ref="AR204:AR205"/>
    <mergeCell ref="AT204:AT205"/>
    <mergeCell ref="AU204:AU205"/>
    <mergeCell ref="AV204:AV205"/>
    <mergeCell ref="AG204:AG205"/>
    <mergeCell ref="AH204:AH205"/>
    <mergeCell ref="AI204:AI205"/>
    <mergeCell ref="G214:H214"/>
    <mergeCell ref="AW211:AW212"/>
    <mergeCell ref="AY211:AY212"/>
    <mergeCell ref="AZ211:AZ212"/>
    <mergeCell ref="BB211:BB212"/>
    <mergeCell ref="G213:H213"/>
    <mergeCell ref="I213:J213"/>
    <mergeCell ref="K213:L213"/>
    <mergeCell ref="M213:N213"/>
    <mergeCell ref="O213:P213"/>
    <mergeCell ref="AJ213:AK213"/>
    <mergeCell ref="AP211:AP212"/>
    <mergeCell ref="AQ211:AQ212"/>
    <mergeCell ref="AR211:AR212"/>
    <mergeCell ref="AT211:AT212"/>
    <mergeCell ref="AU211:AU212"/>
    <mergeCell ref="AV211:AV212"/>
    <mergeCell ref="AG211:AG212"/>
    <mergeCell ref="AH211:AH212"/>
    <mergeCell ref="AI211:AI212"/>
    <mergeCell ref="AM211:AM212"/>
    <mergeCell ref="AN211:AN212"/>
    <mergeCell ref="AO211:AO212"/>
    <mergeCell ref="R211:R212"/>
    <mergeCell ref="AB211:AB212"/>
    <mergeCell ref="AC211:AC212"/>
    <mergeCell ref="AD211:AD212"/>
    <mergeCell ref="AE211:AE212"/>
    <mergeCell ref="AF211:AF212"/>
    <mergeCell ref="G211:H211"/>
    <mergeCell ref="I211:J211"/>
    <mergeCell ref="K211:L211"/>
  </mergeCells>
  <phoneticPr fontId="3" type="noConversion"/>
  <dataValidations count="1">
    <dataValidation type="list" allowBlank="1" showInputMessage="1" showErrorMessage="1" sqref="C152 C97 C104 C166 C173 C121 C14 C21 C28 C111 C145 C187 C180 C213 C48 C194 C90 C159 C131 C138 C58 C65 C206 C199 C75 C33 C38 C80" xr:uid="{E431D73D-B22F-4466-BF12-672C644FC345}">
      <formula1>카테고리</formula1>
    </dataValidation>
  </dataValidations>
  <pageMargins left="0.7" right="0.7" top="0.75" bottom="0.75" header="0.3" footer="0.3"/>
  <pageSetup paperSize="9" orientation="portrait" r:id="rId1"/>
  <drawing r:id="rId2"/>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356D76-D10A-4000-920B-311A7AC0918D}">
  <dimension ref="A1:BB326"/>
  <sheetViews>
    <sheetView topLeftCell="A256" zoomScale="145" zoomScaleNormal="145" workbookViewId="0">
      <pane xSplit="1" topLeftCell="B1" activePane="topRight" state="frozen"/>
      <selection activeCell="E44" sqref="E44"/>
      <selection pane="topRight" activeCell="D261" sqref="D261"/>
    </sheetView>
  </sheetViews>
  <sheetFormatPr defaultColWidth="9" defaultRowHeight="16.5" x14ac:dyDescent="0.3"/>
  <cols>
    <col min="1" max="1" width="22.25" style="1" customWidth="1"/>
    <col min="2" max="2" width="7" style="1" bestFit="1" customWidth="1"/>
    <col min="3" max="3" width="8.25" style="1" bestFit="1" customWidth="1"/>
    <col min="4" max="4" width="11.25" style="1" bestFit="1" customWidth="1"/>
    <col min="5" max="5" width="10.625" style="1" customWidth="1"/>
    <col min="6" max="6" width="10" style="1" bestFit="1" customWidth="1"/>
    <col min="7" max="7" width="6.125" style="1" customWidth="1"/>
    <col min="8" max="8" width="10" style="1" bestFit="1" customWidth="1"/>
    <col min="9" max="9" width="7.25" style="1" bestFit="1" customWidth="1"/>
    <col min="10" max="10" width="8.625" style="1" customWidth="1"/>
    <col min="11" max="11" width="7.25" style="1" bestFit="1" customWidth="1"/>
    <col min="12" max="12" width="10" style="1" bestFit="1" customWidth="1"/>
    <col min="13" max="13" width="5.375" style="1" customWidth="1"/>
    <col min="14" max="14" width="8.625" style="1" customWidth="1"/>
    <col min="15" max="15" width="5.375" style="1" hidden="1" customWidth="1"/>
    <col min="16" max="16" width="8.625" style="1" hidden="1" customWidth="1"/>
    <col min="17" max="17" width="12.75" style="1" bestFit="1" customWidth="1"/>
    <col min="18" max="18" width="22.125" style="1" customWidth="1"/>
    <col min="19" max="19" width="2.625" style="1" customWidth="1"/>
    <col min="20" max="20" width="9.375" style="1" bestFit="1" customWidth="1"/>
    <col min="21" max="21" width="10.625" style="1" hidden="1" customWidth="1"/>
    <col min="22" max="22" width="11" style="1" customWidth="1"/>
    <col min="23" max="23" width="12.75" style="1" customWidth="1"/>
    <col min="24" max="24" width="10.625" style="1" customWidth="1"/>
    <col min="25" max="25" width="11.5" style="1" customWidth="1"/>
    <col min="26" max="26" width="12.75" style="1" customWidth="1"/>
    <col min="27" max="27" width="10.625" style="1" customWidth="1"/>
    <col min="28" max="28" width="5.375" style="1" customWidth="1"/>
    <col min="29" max="29" width="8.75" style="1" bestFit="1" customWidth="1"/>
    <col min="30" max="30" width="10.25" style="1" bestFit="1" customWidth="1"/>
    <col min="31" max="31" width="13.375" style="1" customWidth="1"/>
    <col min="32" max="32" width="9.5" style="1" bestFit="1" customWidth="1"/>
    <col min="33" max="33" width="9.625" style="1" customWidth="1"/>
    <col min="34" max="34" width="7.375" style="2" bestFit="1" customWidth="1"/>
    <col min="35" max="35" width="8.25" style="2" bestFit="1" customWidth="1"/>
    <col min="36" max="37" width="6.875" style="2" bestFit="1" customWidth="1"/>
    <col min="38" max="38" width="1.875" style="1" customWidth="1"/>
    <col min="39" max="39" width="9.375" style="1" customWidth="1"/>
    <col min="40" max="40" width="5.875" style="1" customWidth="1"/>
    <col min="41" max="41" width="9.5" style="1" hidden="1" customWidth="1"/>
    <col min="42" max="42" width="6.125" style="1" hidden="1" customWidth="1"/>
    <col min="43" max="43" width="9.875" style="1" bestFit="1" customWidth="1"/>
    <col min="44" max="44" width="7.375" style="1" bestFit="1" customWidth="1"/>
    <col min="45" max="45" width="2.625" style="1" customWidth="1"/>
    <col min="46" max="46" width="16.625" style="1" customWidth="1"/>
    <col min="47" max="47" width="9" style="1"/>
    <col min="48" max="48" width="12" style="1" customWidth="1"/>
    <col min="49" max="49" width="13.375" style="1" customWidth="1"/>
    <col min="50" max="50" width="2.875" style="1" customWidth="1"/>
    <col min="51" max="51" width="38.25" style="1" customWidth="1"/>
    <col min="52" max="52" width="5.375" style="1" bestFit="1" customWidth="1"/>
    <col min="53" max="53" width="1.375" style="1" customWidth="1"/>
    <col min="54" max="54" width="39.125" style="1" customWidth="1"/>
    <col min="55" max="55" width="1.125" style="1" customWidth="1"/>
    <col min="56" max="16384" width="9" style="1"/>
  </cols>
  <sheetData>
    <row r="1" spans="1:54" ht="45.75" customHeight="1" x14ac:dyDescent="0.3">
      <c r="A1" s="145"/>
      <c r="B1" s="145"/>
      <c r="C1" s="145"/>
      <c r="D1" s="44"/>
      <c r="E1" s="44"/>
      <c r="F1" s="44"/>
      <c r="G1" s="44"/>
      <c r="H1" s="45"/>
      <c r="I1" s="45"/>
      <c r="J1" s="45"/>
      <c r="K1" s="45"/>
      <c r="L1" s="45"/>
      <c r="M1" s="45"/>
      <c r="N1" s="45"/>
      <c r="O1" s="45"/>
      <c r="P1" s="45"/>
      <c r="Q1" s="45"/>
      <c r="R1" s="45"/>
      <c r="T1" s="44"/>
      <c r="U1" s="44"/>
      <c r="V1" s="44"/>
      <c r="W1" s="44"/>
      <c r="X1" s="44"/>
      <c r="Y1" s="44"/>
      <c r="Z1" s="44"/>
      <c r="AA1" s="44"/>
      <c r="AB1" s="44"/>
    </row>
    <row r="2" spans="1:54" ht="45.75" customHeight="1" x14ac:dyDescent="0.3">
      <c r="A2" s="45"/>
      <c r="B2" s="45"/>
      <c r="C2" s="45"/>
      <c r="D2" s="44"/>
      <c r="E2" s="44"/>
      <c r="F2" s="44"/>
      <c r="G2" s="44"/>
      <c r="H2" s="146" t="s">
        <v>121</v>
      </c>
      <c r="I2" s="146"/>
      <c r="J2" s="146"/>
      <c r="K2" s="146"/>
      <c r="L2" s="146"/>
      <c r="M2" s="146"/>
      <c r="N2" s="146"/>
      <c r="O2" s="146"/>
      <c r="P2" s="146"/>
      <c r="Q2" s="146"/>
      <c r="R2" s="146"/>
      <c r="T2" s="44"/>
      <c r="U2" s="44"/>
      <c r="V2" s="44"/>
      <c r="W2" s="44"/>
      <c r="X2" s="45" t="s">
        <v>120</v>
      </c>
      <c r="Y2" s="44"/>
      <c r="Z2" s="44"/>
      <c r="AA2" s="44"/>
      <c r="AB2" s="44"/>
      <c r="AE2" s="1" t="s">
        <v>119</v>
      </c>
    </row>
    <row r="3" spans="1:54" s="45" customFormat="1" ht="409.5" customHeight="1" x14ac:dyDescent="0.3">
      <c r="A3" s="146" t="s">
        <v>116</v>
      </c>
      <c r="B3" s="146"/>
      <c r="C3" s="146"/>
      <c r="D3" s="146"/>
      <c r="E3" s="146"/>
      <c r="F3" s="146"/>
      <c r="H3" s="146"/>
      <c r="I3" s="146"/>
      <c r="J3" s="146"/>
      <c r="K3" s="146"/>
      <c r="L3" s="146"/>
      <c r="M3" s="146"/>
      <c r="N3" s="146"/>
      <c r="O3" s="146"/>
      <c r="P3" s="146"/>
      <c r="Q3" s="146"/>
      <c r="R3" s="146"/>
      <c r="U3" s="46"/>
      <c r="V3" s="146"/>
      <c r="W3" s="146"/>
      <c r="X3" s="146"/>
      <c r="Y3" s="146"/>
      <c r="Z3" s="146"/>
      <c r="AA3" s="146"/>
    </row>
    <row r="4" spans="1:54" s="45" customFormat="1" ht="18" customHeight="1" x14ac:dyDescent="0.3">
      <c r="E4" s="147"/>
      <c r="F4" s="147"/>
      <c r="G4" s="147"/>
      <c r="H4" s="147"/>
      <c r="I4" s="147"/>
      <c r="J4" s="147"/>
      <c r="K4" s="147"/>
      <c r="L4" s="147"/>
      <c r="M4" s="147"/>
      <c r="N4" s="147"/>
      <c r="O4" s="147"/>
      <c r="P4" s="147"/>
      <c r="Q4" s="147"/>
      <c r="R4" s="147"/>
    </row>
    <row r="5" spans="1:54" x14ac:dyDescent="0.3">
      <c r="A5" s="43"/>
      <c r="B5" s="43"/>
      <c r="C5" s="43"/>
      <c r="D5" s="43"/>
    </row>
    <row r="6" spans="1:54" x14ac:dyDescent="0.3">
      <c r="S6" s="41"/>
      <c r="AG6" s="41"/>
      <c r="AH6" s="40"/>
      <c r="AI6" s="40"/>
      <c r="AJ6" s="40"/>
      <c r="AK6" s="40"/>
    </row>
    <row r="7" spans="1:54" x14ac:dyDescent="0.3">
      <c r="A7" s="43"/>
      <c r="B7" s="43"/>
      <c r="C7" s="43"/>
      <c r="D7" s="43"/>
      <c r="E7" s="5"/>
    </row>
    <row r="8" spans="1:54" x14ac:dyDescent="0.3">
      <c r="A8" s="43"/>
      <c r="B8" s="43"/>
      <c r="C8" s="43"/>
      <c r="D8" s="43"/>
      <c r="E8" s="5"/>
    </row>
    <row r="9" spans="1:54" s="64" customFormat="1" ht="19.5" x14ac:dyDescent="0.3">
      <c r="A9" s="61" t="s">
        <v>40</v>
      </c>
      <c r="B9" s="62"/>
      <c r="C9" s="62"/>
      <c r="D9" s="62"/>
      <c r="E9" s="63"/>
      <c r="AH9" s="65"/>
      <c r="AI9" s="65"/>
      <c r="AJ9" s="65"/>
      <c r="AK9" s="65"/>
    </row>
    <row r="10" spans="1:54" x14ac:dyDescent="0.3">
      <c r="A10" s="43"/>
      <c r="B10" s="43"/>
      <c r="C10" s="43"/>
      <c r="D10" s="43"/>
      <c r="E10" s="5"/>
    </row>
    <row r="11" spans="1:54" ht="27" customHeight="1" x14ac:dyDescent="0.3">
      <c r="A11" s="124" t="s">
        <v>34</v>
      </c>
      <c r="B11" s="127" t="s">
        <v>125</v>
      </c>
      <c r="C11" s="128"/>
      <c r="D11" s="128"/>
      <c r="E11" s="128"/>
      <c r="F11" s="128"/>
      <c r="G11" s="128"/>
      <c r="H11" s="128"/>
      <c r="I11" s="128"/>
      <c r="J11" s="128"/>
      <c r="K11" s="128"/>
      <c r="L11" s="128"/>
      <c r="M11" s="128"/>
      <c r="N11" s="128"/>
      <c r="O11" s="128"/>
      <c r="P11" s="128"/>
      <c r="Q11" s="128"/>
      <c r="R11" s="129"/>
      <c r="T11" s="130" t="s">
        <v>33</v>
      </c>
      <c r="U11" s="131"/>
      <c r="V11" s="131"/>
      <c r="W11" s="131"/>
      <c r="X11" s="131"/>
      <c r="Y11" s="131"/>
      <c r="Z11" s="131"/>
      <c r="AA11" s="131"/>
      <c r="AB11" s="131"/>
      <c r="AC11" s="131"/>
      <c r="AD11" s="131"/>
      <c r="AE11" s="131"/>
      <c r="AF11" s="131"/>
      <c r="AG11" s="131"/>
      <c r="AH11" s="132"/>
      <c r="AI11" s="37"/>
      <c r="AM11" s="130" t="s">
        <v>32</v>
      </c>
      <c r="AN11" s="131"/>
      <c r="AO11" s="131"/>
      <c r="AP11" s="131"/>
      <c r="AQ11" s="131"/>
      <c r="AR11" s="132"/>
      <c r="AT11" s="130" t="s">
        <v>31</v>
      </c>
      <c r="AU11" s="131"/>
      <c r="AV11" s="131"/>
      <c r="AW11" s="132"/>
      <c r="AY11" s="47" t="s">
        <v>36</v>
      </c>
      <c r="AZ11" s="48"/>
      <c r="BB11" s="36"/>
    </row>
    <row r="12" spans="1:54" ht="32.25" customHeight="1" x14ac:dyDescent="0.3">
      <c r="A12" s="125"/>
      <c r="B12" s="133" t="s">
        <v>30</v>
      </c>
      <c r="C12" s="133" t="s">
        <v>29</v>
      </c>
      <c r="D12" s="116" t="s">
        <v>28</v>
      </c>
      <c r="E12" s="116" t="s">
        <v>27</v>
      </c>
      <c r="F12" s="34" t="s">
        <v>26</v>
      </c>
      <c r="G12" s="122" t="s">
        <v>63</v>
      </c>
      <c r="H12" s="123"/>
      <c r="I12" s="122" t="s">
        <v>50</v>
      </c>
      <c r="J12" s="123"/>
      <c r="K12" s="122" t="s">
        <v>62</v>
      </c>
      <c r="L12" s="123"/>
      <c r="M12" s="122" t="s">
        <v>25</v>
      </c>
      <c r="N12" s="123"/>
      <c r="O12" s="122" t="s">
        <v>24</v>
      </c>
      <c r="P12" s="123"/>
      <c r="Q12" s="106" t="s">
        <v>23</v>
      </c>
      <c r="R12" s="106" t="s">
        <v>22</v>
      </c>
      <c r="S12" s="21"/>
      <c r="T12" s="34" t="s">
        <v>21</v>
      </c>
      <c r="U12" s="34" t="s">
        <v>20</v>
      </c>
      <c r="V12" s="34" t="s">
        <v>95</v>
      </c>
      <c r="W12" s="34" t="s">
        <v>19</v>
      </c>
      <c r="X12" s="34" t="s">
        <v>18</v>
      </c>
      <c r="Y12" s="34" t="s">
        <v>48</v>
      </c>
      <c r="Z12" s="34" t="s">
        <v>49</v>
      </c>
      <c r="AA12" s="34" t="s">
        <v>17</v>
      </c>
      <c r="AB12" s="106" t="s">
        <v>16</v>
      </c>
      <c r="AC12" s="106" t="s">
        <v>15</v>
      </c>
      <c r="AD12" s="106" t="s">
        <v>14</v>
      </c>
      <c r="AE12" s="106" t="s">
        <v>13</v>
      </c>
      <c r="AF12" s="106" t="s">
        <v>12</v>
      </c>
      <c r="AG12" s="116" t="s">
        <v>11</v>
      </c>
      <c r="AH12" s="118" t="s">
        <v>10</v>
      </c>
      <c r="AI12" s="120" t="s">
        <v>9</v>
      </c>
      <c r="AJ12" s="35">
        <f>(1-R14/F14)</f>
        <v>0.20181326116373477</v>
      </c>
      <c r="AK12" s="35">
        <f>1-(AD14+AM14)/F14</f>
        <v>0.1644519621109608</v>
      </c>
      <c r="AM12" s="106" t="s">
        <v>8</v>
      </c>
      <c r="AN12" s="106" t="s">
        <v>7</v>
      </c>
      <c r="AO12" s="106" t="s">
        <v>37</v>
      </c>
      <c r="AP12" s="106" t="s">
        <v>38</v>
      </c>
      <c r="AQ12" s="106" t="s">
        <v>6</v>
      </c>
      <c r="AR12" s="106" t="s">
        <v>5</v>
      </c>
      <c r="AT12" s="106" t="s">
        <v>4</v>
      </c>
      <c r="AU12" s="106" t="s">
        <v>3</v>
      </c>
      <c r="AV12" s="106" t="s">
        <v>2</v>
      </c>
      <c r="AW12" s="106" t="s">
        <v>1</v>
      </c>
      <c r="AY12" s="108"/>
      <c r="AZ12" s="108"/>
      <c r="BB12" s="106"/>
    </row>
    <row r="13" spans="1:54" ht="27" customHeight="1" x14ac:dyDescent="0.3">
      <c r="A13" s="126"/>
      <c r="B13" s="134"/>
      <c r="C13" s="134"/>
      <c r="D13" s="117"/>
      <c r="E13" s="117"/>
      <c r="F13" s="31">
        <v>0</v>
      </c>
      <c r="G13" s="33">
        <v>0.06</v>
      </c>
      <c r="H13" s="32">
        <v>1000000</v>
      </c>
      <c r="I13" s="31">
        <v>1</v>
      </c>
      <c r="J13" s="32">
        <v>74000</v>
      </c>
      <c r="K13" s="31">
        <v>1</v>
      </c>
      <c r="L13" s="32">
        <v>300000</v>
      </c>
      <c r="M13" s="31">
        <v>7.0000000000000007E-2</v>
      </c>
      <c r="N13" s="32">
        <v>150000</v>
      </c>
      <c r="O13" s="31">
        <v>0</v>
      </c>
      <c r="P13" s="32">
        <v>0</v>
      </c>
      <c r="Q13" s="107"/>
      <c r="R13" s="107"/>
      <c r="S13" s="21"/>
      <c r="T13" s="31">
        <f>IF(C14="노트북",7%,IF(C14="저장&amp;주변기기",9%,IF(C14="모니터",7%)))</f>
        <v>7.0000000000000007E-2</v>
      </c>
      <c r="U13" s="31">
        <v>0</v>
      </c>
      <c r="V13" s="31">
        <v>0</v>
      </c>
      <c r="W13" s="31">
        <f>IF(G13=0%,20%,0%)</f>
        <v>0</v>
      </c>
      <c r="X13" s="30">
        <v>0</v>
      </c>
      <c r="Y13" s="30">
        <v>1</v>
      </c>
      <c r="Z13" s="53">
        <v>1</v>
      </c>
      <c r="AA13" s="29">
        <v>0.5</v>
      </c>
      <c r="AB13" s="107"/>
      <c r="AC13" s="107"/>
      <c r="AD13" s="107"/>
      <c r="AE13" s="107"/>
      <c r="AF13" s="107"/>
      <c r="AG13" s="117"/>
      <c r="AH13" s="119"/>
      <c r="AI13" s="121"/>
      <c r="AJ13" s="55" t="s">
        <v>52</v>
      </c>
      <c r="AK13" s="56">
        <f>AJ12-AK12</f>
        <v>3.7361299052773966E-2</v>
      </c>
      <c r="AM13" s="107"/>
      <c r="AN13" s="107"/>
      <c r="AO13" s="107"/>
      <c r="AP13" s="107"/>
      <c r="AQ13" s="107"/>
      <c r="AR13" s="107"/>
      <c r="AS13" s="39"/>
      <c r="AT13" s="107"/>
      <c r="AU13" s="117"/>
      <c r="AV13" s="107"/>
      <c r="AW13" s="107"/>
      <c r="AY13" s="109"/>
      <c r="AZ13" s="109"/>
      <c r="BB13" s="107"/>
    </row>
    <row r="14" spans="1:54" ht="27" customHeight="1" x14ac:dyDescent="0.3">
      <c r="A14" s="28" t="s">
        <v>44</v>
      </c>
      <c r="B14" s="38" t="s">
        <v>35</v>
      </c>
      <c r="C14" s="27" t="s">
        <v>0</v>
      </c>
      <c r="D14" s="26">
        <v>4321441081</v>
      </c>
      <c r="E14" s="25">
        <v>3695000</v>
      </c>
      <c r="F14" s="24">
        <f>ROUNDDOWN(E14/(1-F13),-1)</f>
        <v>3695000</v>
      </c>
      <c r="G14" s="110">
        <f>ROUNDDOWN(IF(F14*G13&gt;H13,H13,F14*G13),-1)</f>
        <v>221700</v>
      </c>
      <c r="H14" s="111"/>
      <c r="I14" s="112">
        <f>ROUNDDOWN(IF(F14*I13&gt;J13,J13,F14*I13),-1)</f>
        <v>74000</v>
      </c>
      <c r="J14" s="113"/>
      <c r="K14" s="112">
        <f>ROUNDDOWN(IF(F14*K13&gt;L13,L13,F14*K13),-1)</f>
        <v>300000</v>
      </c>
      <c r="L14" s="113"/>
      <c r="M14" s="110">
        <f>ROUNDDOWN(IF(Q14*M13&gt;N13,N13,Q14*M13),-1)</f>
        <v>150000</v>
      </c>
      <c r="N14" s="111"/>
      <c r="O14" s="110">
        <f>ROUNDDOWN(IF(F14*O13&gt;P13,P13,F14*O13),-1)</f>
        <v>0</v>
      </c>
      <c r="P14" s="111"/>
      <c r="Q14" s="23">
        <f>F14-G14-I14-K14</f>
        <v>3099300</v>
      </c>
      <c r="R14" s="22">
        <f>F14-G14-I14-K14-M14-O14</f>
        <v>2949300</v>
      </c>
      <c r="S14" s="21"/>
      <c r="T14" s="20">
        <f>F14*T13</f>
        <v>258650.00000000003</v>
      </c>
      <c r="U14" s="20">
        <f>F14*U13</f>
        <v>0</v>
      </c>
      <c r="V14" s="20">
        <f>(F14-I14)*V13</f>
        <v>0</v>
      </c>
      <c r="W14" s="19">
        <f>(F14*F13)*W13</f>
        <v>0</v>
      </c>
      <c r="X14" s="19">
        <f>G14*X13</f>
        <v>0</v>
      </c>
      <c r="Y14" s="19">
        <f>I14*Y13</f>
        <v>74000</v>
      </c>
      <c r="Z14" s="19">
        <f>K14*Z13</f>
        <v>300000</v>
      </c>
      <c r="AA14" s="19">
        <f>M14*AA13</f>
        <v>75000</v>
      </c>
      <c r="AB14" s="19">
        <v>0</v>
      </c>
      <c r="AC14" s="16">
        <v>15000</v>
      </c>
      <c r="AD14" s="18">
        <f>F14-T14-U14-V14-W14-AA14-X14-Y14-Z14-AB14</f>
        <v>2987350</v>
      </c>
      <c r="AE14" s="18">
        <f>F14-T14-U14-V14-W14-X14-Y14-Z14-AA14-AB14-AC14</f>
        <v>2972350</v>
      </c>
      <c r="AF14" s="17">
        <f>AE14-AG14</f>
        <v>-2650</v>
      </c>
      <c r="AG14" s="16">
        <v>2975000</v>
      </c>
      <c r="AH14" s="15">
        <f>AF14/AG14</f>
        <v>-8.9075630252100839E-4</v>
      </c>
      <c r="AI14" s="14">
        <f>1-R14/(AG14-AM14-AN14-AO14)</f>
        <v>-2.5843478260869635E-2</v>
      </c>
      <c r="AJ14" s="114">
        <f>(1-R14/F14)-(1-(AD14)/F14)</f>
        <v>1.0297699594046028E-2</v>
      </c>
      <c r="AK14" s="115"/>
      <c r="AM14" s="13">
        <v>100000</v>
      </c>
      <c r="AN14" s="12">
        <f>X14*AN13</f>
        <v>0</v>
      </c>
      <c r="AO14" s="12">
        <v>0</v>
      </c>
      <c r="AP14" s="12"/>
      <c r="AQ14" s="11">
        <f>AE14-(AG14-AM14-AN14-AO14-AP14)</f>
        <v>97350</v>
      </c>
      <c r="AR14" s="8">
        <f>AQ14/AG14</f>
        <v>3.2722689075630251E-2</v>
      </c>
      <c r="AT14" s="10">
        <v>0</v>
      </c>
      <c r="AU14" s="10">
        <v>0</v>
      </c>
      <c r="AV14" s="9">
        <f>AQ14-AT14-AU14</f>
        <v>97350</v>
      </c>
      <c r="AW14" s="8">
        <f>AV14/AG14</f>
        <v>3.2722689075630251E-2</v>
      </c>
      <c r="AY14" s="49"/>
      <c r="AZ14" s="50"/>
      <c r="BB14" s="6"/>
    </row>
    <row r="15" spans="1:54" x14ac:dyDescent="0.3">
      <c r="E15" s="5">
        <v>3199000</v>
      </c>
      <c r="F15" s="4">
        <f>ROUNDDOWN(E15/(1-F13),-1)</f>
        <v>3199000</v>
      </c>
      <c r="G15" s="138">
        <f>ROUNDDOWN(IF(F15*G13&gt;H13,H13,F15*G13),-1)</f>
        <v>191940</v>
      </c>
      <c r="H15" s="138"/>
      <c r="J15" s="54">
        <f>F14*4%</f>
        <v>147800</v>
      </c>
      <c r="R15" s="4">
        <v>2999720</v>
      </c>
      <c r="X15" s="3">
        <f>G15*X13</f>
        <v>0</v>
      </c>
      <c r="Y15" s="3"/>
      <c r="Z15" s="3"/>
    </row>
    <row r="16" spans="1:54" ht="27" customHeight="1" x14ac:dyDescent="0.3">
      <c r="A16" s="124" t="s">
        <v>34</v>
      </c>
      <c r="B16" s="135" t="s">
        <v>126</v>
      </c>
      <c r="C16" s="136"/>
      <c r="D16" s="136"/>
      <c r="E16" s="136"/>
      <c r="F16" s="136"/>
      <c r="G16" s="136"/>
      <c r="H16" s="136"/>
      <c r="I16" s="136"/>
      <c r="J16" s="136"/>
      <c r="K16" s="136"/>
      <c r="L16" s="136"/>
      <c r="M16" s="136"/>
      <c r="N16" s="136"/>
      <c r="O16" s="136"/>
      <c r="P16" s="136"/>
      <c r="Q16" s="136"/>
      <c r="R16" s="137"/>
      <c r="T16" s="130" t="s">
        <v>33</v>
      </c>
      <c r="U16" s="131"/>
      <c r="V16" s="131"/>
      <c r="W16" s="131"/>
      <c r="X16" s="131"/>
      <c r="Y16" s="131"/>
      <c r="Z16" s="131"/>
      <c r="AA16" s="131"/>
      <c r="AB16" s="131"/>
      <c r="AC16" s="131"/>
      <c r="AD16" s="131"/>
      <c r="AE16" s="131"/>
      <c r="AF16" s="131"/>
      <c r="AG16" s="131"/>
      <c r="AH16" s="132"/>
      <c r="AI16" s="37"/>
      <c r="AM16" s="130" t="s">
        <v>32</v>
      </c>
      <c r="AN16" s="131"/>
      <c r="AO16" s="131"/>
      <c r="AP16" s="131"/>
      <c r="AQ16" s="131"/>
      <c r="AR16" s="132"/>
      <c r="AT16" s="130" t="s">
        <v>31</v>
      </c>
      <c r="AU16" s="131"/>
      <c r="AV16" s="131"/>
      <c r="AW16" s="132"/>
      <c r="AY16" s="47" t="s">
        <v>36</v>
      </c>
      <c r="AZ16" s="48"/>
      <c r="BB16" s="36"/>
    </row>
    <row r="17" spans="1:54" ht="32.25" customHeight="1" x14ac:dyDescent="0.3">
      <c r="A17" s="125"/>
      <c r="B17" s="133" t="s">
        <v>30</v>
      </c>
      <c r="C17" s="133" t="s">
        <v>29</v>
      </c>
      <c r="D17" s="116" t="s">
        <v>28</v>
      </c>
      <c r="E17" s="116" t="s">
        <v>27</v>
      </c>
      <c r="F17" s="34" t="s">
        <v>26</v>
      </c>
      <c r="G17" s="122" t="s">
        <v>63</v>
      </c>
      <c r="H17" s="123"/>
      <c r="I17" s="122" t="s">
        <v>50</v>
      </c>
      <c r="J17" s="123"/>
      <c r="K17" s="122" t="s">
        <v>62</v>
      </c>
      <c r="L17" s="123"/>
      <c r="M17" s="122" t="s">
        <v>25</v>
      </c>
      <c r="N17" s="123"/>
      <c r="O17" s="122" t="s">
        <v>24</v>
      </c>
      <c r="P17" s="123"/>
      <c r="Q17" s="106" t="s">
        <v>23</v>
      </c>
      <c r="R17" s="106" t="s">
        <v>22</v>
      </c>
      <c r="S17" s="21"/>
      <c r="T17" s="34" t="s">
        <v>21</v>
      </c>
      <c r="U17" s="34" t="s">
        <v>20</v>
      </c>
      <c r="V17" s="34" t="s">
        <v>95</v>
      </c>
      <c r="W17" s="34" t="s">
        <v>19</v>
      </c>
      <c r="X17" s="34" t="s">
        <v>18</v>
      </c>
      <c r="Y17" s="34" t="s">
        <v>48</v>
      </c>
      <c r="Z17" s="34" t="s">
        <v>49</v>
      </c>
      <c r="AA17" s="34" t="s">
        <v>17</v>
      </c>
      <c r="AB17" s="106" t="s">
        <v>16</v>
      </c>
      <c r="AC17" s="106" t="s">
        <v>15</v>
      </c>
      <c r="AD17" s="106" t="s">
        <v>14</v>
      </c>
      <c r="AE17" s="106" t="s">
        <v>13</v>
      </c>
      <c r="AF17" s="106" t="s">
        <v>12</v>
      </c>
      <c r="AG17" s="116" t="s">
        <v>11</v>
      </c>
      <c r="AH17" s="118" t="s">
        <v>10</v>
      </c>
      <c r="AI17" s="120" t="s">
        <v>9</v>
      </c>
      <c r="AJ17" s="35">
        <f>(1-R19/F19)</f>
        <v>0.14571428571428569</v>
      </c>
      <c r="AK17" s="35">
        <f>1-(AD19+AM19)/F19</f>
        <v>0.12714285714285711</v>
      </c>
      <c r="AM17" s="106" t="s">
        <v>8</v>
      </c>
      <c r="AN17" s="106" t="s">
        <v>7</v>
      </c>
      <c r="AO17" s="106" t="s">
        <v>37</v>
      </c>
      <c r="AP17" s="106" t="s">
        <v>38</v>
      </c>
      <c r="AQ17" s="106" t="s">
        <v>6</v>
      </c>
      <c r="AR17" s="106" t="s">
        <v>5</v>
      </c>
      <c r="AT17" s="106" t="s">
        <v>4</v>
      </c>
      <c r="AU17" s="106" t="s">
        <v>3</v>
      </c>
      <c r="AV17" s="106" t="s">
        <v>2</v>
      </c>
      <c r="AW17" s="106" t="s">
        <v>1</v>
      </c>
      <c r="AY17" s="108"/>
      <c r="AZ17" s="108"/>
      <c r="BB17" s="106"/>
    </row>
    <row r="18" spans="1:54" ht="27" customHeight="1" x14ac:dyDescent="0.3">
      <c r="A18" s="126"/>
      <c r="B18" s="134"/>
      <c r="C18" s="134"/>
      <c r="D18" s="117"/>
      <c r="E18" s="117"/>
      <c r="F18" s="31">
        <v>0</v>
      </c>
      <c r="G18" s="33">
        <v>0.06</v>
      </c>
      <c r="H18" s="32">
        <v>1000000</v>
      </c>
      <c r="I18" s="31">
        <v>1</v>
      </c>
      <c r="J18" s="32">
        <v>0</v>
      </c>
      <c r="K18" s="31">
        <v>1</v>
      </c>
      <c r="L18" s="32">
        <v>300000</v>
      </c>
      <c r="M18" s="31">
        <v>0</v>
      </c>
      <c r="N18" s="32">
        <v>150000</v>
      </c>
      <c r="O18" s="31">
        <v>0</v>
      </c>
      <c r="P18" s="32">
        <v>0</v>
      </c>
      <c r="Q18" s="107"/>
      <c r="R18" s="107"/>
      <c r="S18" s="21"/>
      <c r="T18" s="31">
        <f>IF(C19="노트북",7%,IF(C19="저장&amp;주변기기",9%,IF(C19="모니터",7%)))</f>
        <v>7.0000000000000007E-2</v>
      </c>
      <c r="U18" s="31">
        <v>0</v>
      </c>
      <c r="V18" s="31">
        <v>0</v>
      </c>
      <c r="W18" s="31">
        <f>IF(G18=0%,20%,0%)</f>
        <v>0</v>
      </c>
      <c r="X18" s="30">
        <v>0</v>
      </c>
      <c r="Y18" s="30">
        <v>1</v>
      </c>
      <c r="Z18" s="53">
        <v>1</v>
      </c>
      <c r="AA18" s="29">
        <v>0.5</v>
      </c>
      <c r="AB18" s="107"/>
      <c r="AC18" s="107"/>
      <c r="AD18" s="107"/>
      <c r="AE18" s="107"/>
      <c r="AF18" s="107"/>
      <c r="AG18" s="117"/>
      <c r="AH18" s="119"/>
      <c r="AI18" s="121"/>
      <c r="AJ18" s="55" t="s">
        <v>52</v>
      </c>
      <c r="AK18" s="56">
        <f>AJ17-AK17</f>
        <v>1.8571428571428572E-2</v>
      </c>
      <c r="AM18" s="107"/>
      <c r="AN18" s="107"/>
      <c r="AO18" s="107"/>
      <c r="AP18" s="107"/>
      <c r="AQ18" s="107"/>
      <c r="AR18" s="107"/>
      <c r="AS18" s="39"/>
      <c r="AT18" s="107"/>
      <c r="AU18" s="117"/>
      <c r="AV18" s="107"/>
      <c r="AW18" s="107"/>
      <c r="AY18" s="109"/>
      <c r="AZ18" s="109"/>
      <c r="BB18" s="107"/>
    </row>
    <row r="19" spans="1:54" ht="27" customHeight="1" x14ac:dyDescent="0.3">
      <c r="A19" s="28" t="s">
        <v>44</v>
      </c>
      <c r="B19" s="38" t="s">
        <v>35</v>
      </c>
      <c r="C19" s="27" t="s">
        <v>0</v>
      </c>
      <c r="D19" s="26">
        <v>4321441081</v>
      </c>
      <c r="E19" s="25">
        <v>3500000</v>
      </c>
      <c r="F19" s="24">
        <f>ROUNDDOWN(E19/(1-F18),-1)</f>
        <v>3500000</v>
      </c>
      <c r="G19" s="110">
        <f>ROUNDDOWN(IF(F19*G18&gt;H18,H18,F19*G18),-1)</f>
        <v>210000</v>
      </c>
      <c r="H19" s="111"/>
      <c r="I19" s="112">
        <f>ROUNDDOWN(IF(F19*I18&gt;J18,J18,F19*I18),-1)</f>
        <v>0</v>
      </c>
      <c r="J19" s="113"/>
      <c r="K19" s="112">
        <f>ROUNDDOWN(IF(F19*K18&gt;L18,L18,F19*K18),-1)</f>
        <v>300000</v>
      </c>
      <c r="L19" s="113"/>
      <c r="M19" s="110">
        <f>ROUNDDOWN(IF(Q19*M18&gt;N18,N18,Q19*M18),-1)</f>
        <v>0</v>
      </c>
      <c r="N19" s="111"/>
      <c r="O19" s="110">
        <f>ROUNDDOWN(IF(F19*O18&gt;P18,P18,F19*O18),-1)</f>
        <v>0</v>
      </c>
      <c r="P19" s="111"/>
      <c r="Q19" s="23">
        <f>F19-G19-I19-K19</f>
        <v>2990000</v>
      </c>
      <c r="R19" s="22">
        <f>F19-G19-I19-K19-M19-O19</f>
        <v>2990000</v>
      </c>
      <c r="S19" s="21"/>
      <c r="T19" s="20">
        <f>F19*T18</f>
        <v>245000.00000000003</v>
      </c>
      <c r="U19" s="20">
        <f>F19*U18</f>
        <v>0</v>
      </c>
      <c r="V19" s="20">
        <f>(F19-I19)*V18</f>
        <v>0</v>
      </c>
      <c r="W19" s="19">
        <f>(F19*F18)*W18</f>
        <v>0</v>
      </c>
      <c r="X19" s="19">
        <f>G19*X18</f>
        <v>0</v>
      </c>
      <c r="Y19" s="19">
        <f>I19*Y18</f>
        <v>0</v>
      </c>
      <c r="Z19" s="19">
        <f>K19*Z18</f>
        <v>300000</v>
      </c>
      <c r="AA19" s="19">
        <f>M19*AA18</f>
        <v>0</v>
      </c>
      <c r="AB19" s="19">
        <v>0</v>
      </c>
      <c r="AC19" s="16">
        <v>15000</v>
      </c>
      <c r="AD19" s="18">
        <f>F19-T19-U19-V19-W19-AA19-X19-Y19-Z19-AB19</f>
        <v>2955000</v>
      </c>
      <c r="AE19" s="18">
        <f>F19-T19-U19-V19-W19-X19-Y19-Z19-AA19-AB19-AC19</f>
        <v>2940000</v>
      </c>
      <c r="AF19" s="17">
        <f>AE19-AG19</f>
        <v>-35000</v>
      </c>
      <c r="AG19" s="16">
        <v>2975000</v>
      </c>
      <c r="AH19" s="15">
        <f>AF19/AG19</f>
        <v>-1.1764705882352941E-2</v>
      </c>
      <c r="AI19" s="14">
        <f>1-R19/(AG19-AM19-AN19-AO19)</f>
        <v>-4.0000000000000036E-2</v>
      </c>
      <c r="AJ19" s="114">
        <f>(1-R19/F19)-(1-(AD19)/F19)</f>
        <v>-1.0000000000000009E-2</v>
      </c>
      <c r="AK19" s="115"/>
      <c r="AM19" s="13">
        <v>100000</v>
      </c>
      <c r="AN19" s="12">
        <f>X19*AN18</f>
        <v>0</v>
      </c>
      <c r="AO19" s="12">
        <v>0</v>
      </c>
      <c r="AP19" s="12"/>
      <c r="AQ19" s="11">
        <f>AE19-(AG19-AM19-AN19-AO19-AP19)</f>
        <v>65000</v>
      </c>
      <c r="AR19" s="8">
        <f>AQ19/AG19</f>
        <v>2.1848739495798318E-2</v>
      </c>
      <c r="AT19" s="10">
        <v>0</v>
      </c>
      <c r="AU19" s="10">
        <v>0</v>
      </c>
      <c r="AV19" s="9">
        <f>AQ19-AT19-AU19</f>
        <v>65000</v>
      </c>
      <c r="AW19" s="8">
        <f>AV19/AG19</f>
        <v>2.1848739495798318E-2</v>
      </c>
      <c r="AY19" s="49"/>
      <c r="AZ19" s="50"/>
      <c r="BB19" s="6"/>
    </row>
    <row r="20" spans="1:54" x14ac:dyDescent="0.3">
      <c r="E20" s="5">
        <v>3199000</v>
      </c>
      <c r="F20" s="4">
        <f>ROUNDDOWN(E20/(1-F18),-1)</f>
        <v>3199000</v>
      </c>
      <c r="G20" s="138">
        <f>ROUNDDOWN(IF(F20*G18&gt;H18,H18,F20*G18),-1)</f>
        <v>191940</v>
      </c>
      <c r="H20" s="138"/>
      <c r="J20" s="54">
        <f>F19*4%</f>
        <v>140000</v>
      </c>
      <c r="R20" s="4">
        <v>2999720</v>
      </c>
      <c r="X20" s="3">
        <f>G20*X18</f>
        <v>0</v>
      </c>
      <c r="Y20" s="3"/>
      <c r="Z20" s="3"/>
    </row>
    <row r="21" spans="1:54" x14ac:dyDescent="0.3">
      <c r="A21" s="43"/>
      <c r="B21" s="43"/>
      <c r="C21" s="43"/>
      <c r="D21" s="43"/>
      <c r="E21" s="5"/>
    </row>
    <row r="23" spans="1:54" ht="27" customHeight="1" x14ac:dyDescent="0.3">
      <c r="A23" s="124" t="s">
        <v>34</v>
      </c>
      <c r="B23" s="127" t="s">
        <v>125</v>
      </c>
      <c r="C23" s="128"/>
      <c r="D23" s="128"/>
      <c r="E23" s="128"/>
      <c r="F23" s="128"/>
      <c r="G23" s="128"/>
      <c r="H23" s="128"/>
      <c r="I23" s="128"/>
      <c r="J23" s="128"/>
      <c r="K23" s="128"/>
      <c r="L23" s="128"/>
      <c r="M23" s="128"/>
      <c r="N23" s="128"/>
      <c r="O23" s="128"/>
      <c r="P23" s="128"/>
      <c r="Q23" s="128"/>
      <c r="R23" s="129"/>
      <c r="T23" s="130" t="s">
        <v>33</v>
      </c>
      <c r="U23" s="131"/>
      <c r="V23" s="131"/>
      <c r="W23" s="131"/>
      <c r="X23" s="131"/>
      <c r="Y23" s="131"/>
      <c r="Z23" s="131"/>
      <c r="AA23" s="131"/>
      <c r="AB23" s="131"/>
      <c r="AC23" s="131"/>
      <c r="AD23" s="131"/>
      <c r="AE23" s="131"/>
      <c r="AF23" s="131"/>
      <c r="AG23" s="131"/>
      <c r="AH23" s="132"/>
      <c r="AI23" s="37"/>
      <c r="AM23" s="130" t="s">
        <v>32</v>
      </c>
      <c r="AN23" s="131"/>
      <c r="AO23" s="131"/>
      <c r="AP23" s="131"/>
      <c r="AQ23" s="131"/>
      <c r="AR23" s="132"/>
      <c r="AT23" s="130" t="s">
        <v>31</v>
      </c>
      <c r="AU23" s="131"/>
      <c r="AV23" s="131"/>
      <c r="AW23" s="132"/>
      <c r="AY23" s="47" t="s">
        <v>36</v>
      </c>
      <c r="AZ23" s="48"/>
      <c r="BB23" s="36"/>
    </row>
    <row r="24" spans="1:54" ht="32.25" customHeight="1" x14ac:dyDescent="0.3">
      <c r="A24" s="125"/>
      <c r="B24" s="133" t="s">
        <v>30</v>
      </c>
      <c r="C24" s="133" t="s">
        <v>29</v>
      </c>
      <c r="D24" s="116" t="s">
        <v>28</v>
      </c>
      <c r="E24" s="116" t="s">
        <v>27</v>
      </c>
      <c r="F24" s="34" t="s">
        <v>26</v>
      </c>
      <c r="G24" s="122" t="s">
        <v>63</v>
      </c>
      <c r="H24" s="123"/>
      <c r="I24" s="122" t="s">
        <v>50</v>
      </c>
      <c r="J24" s="123"/>
      <c r="K24" s="122" t="s">
        <v>62</v>
      </c>
      <c r="L24" s="123"/>
      <c r="M24" s="122" t="s">
        <v>25</v>
      </c>
      <c r="N24" s="123"/>
      <c r="O24" s="122" t="s">
        <v>24</v>
      </c>
      <c r="P24" s="123"/>
      <c r="Q24" s="106" t="s">
        <v>23</v>
      </c>
      <c r="R24" s="106" t="s">
        <v>22</v>
      </c>
      <c r="S24" s="21"/>
      <c r="T24" s="34" t="s">
        <v>21</v>
      </c>
      <c r="U24" s="34" t="s">
        <v>20</v>
      </c>
      <c r="V24" s="34" t="s">
        <v>95</v>
      </c>
      <c r="W24" s="34" t="s">
        <v>19</v>
      </c>
      <c r="X24" s="34" t="s">
        <v>18</v>
      </c>
      <c r="Y24" s="34" t="s">
        <v>48</v>
      </c>
      <c r="Z24" s="34" t="s">
        <v>49</v>
      </c>
      <c r="AA24" s="34" t="s">
        <v>17</v>
      </c>
      <c r="AB24" s="106" t="s">
        <v>16</v>
      </c>
      <c r="AC24" s="106" t="s">
        <v>15</v>
      </c>
      <c r="AD24" s="106" t="s">
        <v>14</v>
      </c>
      <c r="AE24" s="106" t="s">
        <v>13</v>
      </c>
      <c r="AF24" s="106" t="s">
        <v>12</v>
      </c>
      <c r="AG24" s="116" t="s">
        <v>11</v>
      </c>
      <c r="AH24" s="118" t="s">
        <v>10</v>
      </c>
      <c r="AI24" s="120" t="s">
        <v>9</v>
      </c>
      <c r="AJ24" s="35">
        <f>(1-R26/F26)</f>
        <v>0.19659927423535506</v>
      </c>
      <c r="AK24" s="35">
        <f>1-(AD26+AM26)/F26</f>
        <v>0.1612389839294972</v>
      </c>
      <c r="AM24" s="106" t="s">
        <v>8</v>
      </c>
      <c r="AN24" s="106" t="s">
        <v>7</v>
      </c>
      <c r="AO24" s="106" t="s">
        <v>37</v>
      </c>
      <c r="AP24" s="106" t="s">
        <v>38</v>
      </c>
      <c r="AQ24" s="106" t="s">
        <v>6</v>
      </c>
      <c r="AR24" s="106" t="s">
        <v>5</v>
      </c>
      <c r="AT24" s="106" t="s">
        <v>4</v>
      </c>
      <c r="AU24" s="106" t="s">
        <v>3</v>
      </c>
      <c r="AV24" s="106" t="s">
        <v>2</v>
      </c>
      <c r="AW24" s="106" t="s">
        <v>1</v>
      </c>
      <c r="AY24" s="108"/>
      <c r="AZ24" s="108"/>
      <c r="BB24" s="106"/>
    </row>
    <row r="25" spans="1:54" ht="27" customHeight="1" x14ac:dyDescent="0.3">
      <c r="A25" s="126"/>
      <c r="B25" s="134"/>
      <c r="C25" s="134"/>
      <c r="D25" s="117"/>
      <c r="E25" s="117"/>
      <c r="F25" s="31">
        <v>0</v>
      </c>
      <c r="G25" s="33">
        <v>0.06</v>
      </c>
      <c r="H25" s="32">
        <v>1000000</v>
      </c>
      <c r="I25" s="31">
        <v>1</v>
      </c>
      <c r="J25" s="32">
        <v>77000</v>
      </c>
      <c r="K25" s="31">
        <v>1</v>
      </c>
      <c r="L25" s="32">
        <v>300000</v>
      </c>
      <c r="M25" s="31">
        <v>7.0000000000000007E-2</v>
      </c>
      <c r="N25" s="32">
        <v>150000</v>
      </c>
      <c r="O25" s="31">
        <v>0</v>
      </c>
      <c r="P25" s="32">
        <v>0</v>
      </c>
      <c r="Q25" s="107"/>
      <c r="R25" s="107"/>
      <c r="S25" s="21"/>
      <c r="T25" s="31">
        <f>IF(C26="노트북",7%,IF(C26="저장&amp;주변기기",9%,IF(C26="모니터",7%)))</f>
        <v>7.0000000000000007E-2</v>
      </c>
      <c r="U25" s="31">
        <v>0</v>
      </c>
      <c r="V25" s="31">
        <v>0</v>
      </c>
      <c r="W25" s="31">
        <f>IF(G25=0%,20%,0%)</f>
        <v>0</v>
      </c>
      <c r="X25" s="30">
        <v>0</v>
      </c>
      <c r="Y25" s="30">
        <v>1</v>
      </c>
      <c r="Z25" s="53">
        <v>1</v>
      </c>
      <c r="AA25" s="29">
        <v>0.5</v>
      </c>
      <c r="AB25" s="107"/>
      <c r="AC25" s="107"/>
      <c r="AD25" s="107"/>
      <c r="AE25" s="107"/>
      <c r="AF25" s="107"/>
      <c r="AG25" s="117"/>
      <c r="AH25" s="119"/>
      <c r="AI25" s="121"/>
      <c r="AJ25" s="55" t="s">
        <v>52</v>
      </c>
      <c r="AK25" s="56">
        <f>AJ24-AK24</f>
        <v>3.5360290305857855E-2</v>
      </c>
      <c r="AM25" s="107"/>
      <c r="AN25" s="107"/>
      <c r="AO25" s="107"/>
      <c r="AP25" s="107"/>
      <c r="AQ25" s="107"/>
      <c r="AR25" s="107"/>
      <c r="AS25" s="39"/>
      <c r="AT25" s="107"/>
      <c r="AU25" s="117"/>
      <c r="AV25" s="107"/>
      <c r="AW25" s="107"/>
      <c r="AY25" s="109"/>
      <c r="AZ25" s="109"/>
      <c r="BB25" s="107"/>
    </row>
    <row r="26" spans="1:54" ht="27" customHeight="1" x14ac:dyDescent="0.3">
      <c r="A26" s="28" t="s">
        <v>45</v>
      </c>
      <c r="B26" s="38" t="s">
        <v>35</v>
      </c>
      <c r="C26" s="27" t="s">
        <v>0</v>
      </c>
      <c r="D26" s="26">
        <v>4321436481</v>
      </c>
      <c r="E26" s="25">
        <v>3858000</v>
      </c>
      <c r="F26" s="24">
        <f>ROUNDDOWN(E26/(1-F25),-1)</f>
        <v>3858000</v>
      </c>
      <c r="G26" s="110">
        <f>ROUNDDOWN(IF(F26*G25&gt;H25,H25,F26*G25),-1)</f>
        <v>231480</v>
      </c>
      <c r="H26" s="111"/>
      <c r="I26" s="112">
        <f>ROUNDDOWN(IF(F26*I25&gt;J25,J25,F26*I25),-1)</f>
        <v>77000</v>
      </c>
      <c r="J26" s="113"/>
      <c r="K26" s="112">
        <f>ROUNDDOWN(IF(F26*K25&gt;L25,L25,F26*K25),-1)</f>
        <v>300000</v>
      </c>
      <c r="L26" s="113"/>
      <c r="M26" s="110">
        <f>ROUNDDOWN(IF(Q26*M25&gt;N25,N25,Q26*M25),-1)</f>
        <v>150000</v>
      </c>
      <c r="N26" s="111"/>
      <c r="O26" s="110">
        <f>ROUNDDOWN(IF(F26*O25&gt;P25,P25,F26*O25),-1)</f>
        <v>0</v>
      </c>
      <c r="P26" s="111"/>
      <c r="Q26" s="23">
        <f>F26-G26-I26-K26</f>
        <v>3249520</v>
      </c>
      <c r="R26" s="22">
        <f>F26-G26-I26-K26-M26-O26</f>
        <v>3099520</v>
      </c>
      <c r="S26" s="21"/>
      <c r="T26" s="20">
        <f>F26*T25</f>
        <v>270060</v>
      </c>
      <c r="U26" s="20">
        <f>F26*U25</f>
        <v>0</v>
      </c>
      <c r="V26" s="20">
        <f>(F26-I26)*V25</f>
        <v>0</v>
      </c>
      <c r="W26" s="19">
        <f>(F26*F25)*W25</f>
        <v>0</v>
      </c>
      <c r="X26" s="19">
        <f>G26*X25</f>
        <v>0</v>
      </c>
      <c r="Y26" s="19">
        <f>I26*Y25</f>
        <v>77000</v>
      </c>
      <c r="Z26" s="19">
        <f>K26*Z25</f>
        <v>300000</v>
      </c>
      <c r="AA26" s="19">
        <f>M26*AA25</f>
        <v>75000</v>
      </c>
      <c r="AB26" s="19">
        <v>0</v>
      </c>
      <c r="AC26" s="16">
        <v>15000</v>
      </c>
      <c r="AD26" s="18">
        <f>F26-T26-U26-V26-W26-AA26-X26-Y26-Z26-AB26</f>
        <v>3135940</v>
      </c>
      <c r="AE26" s="18">
        <f>F26-T26-U26-V26-W26-X26-Y26-Z26-AA26-AB26-AC26</f>
        <v>3120940</v>
      </c>
      <c r="AF26" s="17">
        <f>AE26-AG26</f>
        <v>-23060</v>
      </c>
      <c r="AG26" s="16">
        <v>3144000</v>
      </c>
      <c r="AH26" s="15">
        <f>AF26/AG26</f>
        <v>-7.3346055979643769E-3</v>
      </c>
      <c r="AI26" s="14">
        <f>1-R26/(AG26-AM26-AN26-AO26)</f>
        <v>-1.8239159001314009E-2</v>
      </c>
      <c r="AJ26" s="114">
        <f>(1-R26/F26)-(1-(AD26)/F26)</f>
        <v>9.4401244167962028E-3</v>
      </c>
      <c r="AK26" s="115"/>
      <c r="AM26" s="13">
        <v>100000</v>
      </c>
      <c r="AN26" s="12">
        <f>X26*AN25</f>
        <v>0</v>
      </c>
      <c r="AO26" s="12">
        <v>0</v>
      </c>
      <c r="AP26" s="12"/>
      <c r="AQ26" s="11">
        <f>AE26-(AG26-AM26-AN26-AO26-AP26)</f>
        <v>76940</v>
      </c>
      <c r="AR26" s="8">
        <f>AQ26/AG26</f>
        <v>2.4472010178117048E-2</v>
      </c>
      <c r="AT26" s="10">
        <v>0</v>
      </c>
      <c r="AU26" s="10">
        <v>0</v>
      </c>
      <c r="AV26" s="9">
        <f>AQ26-AT26-AU26</f>
        <v>76940</v>
      </c>
      <c r="AW26" s="8">
        <f>AV26/AG26</f>
        <v>2.4472010178117048E-2</v>
      </c>
      <c r="AY26" s="49"/>
      <c r="AZ26" s="50"/>
      <c r="BB26" s="6"/>
    </row>
    <row r="27" spans="1:54" x14ac:dyDescent="0.3">
      <c r="E27" s="5">
        <v>3399000</v>
      </c>
      <c r="F27" s="4">
        <f>ROUNDDOWN(E27/(1-F25),-1)</f>
        <v>3399000</v>
      </c>
      <c r="G27" s="138">
        <f>ROUNDDOWN(IF(F27*G25&gt;H25,H25,F27*G25),-1)</f>
        <v>203940</v>
      </c>
      <c r="H27" s="138"/>
      <c r="J27" s="54">
        <f>F26*4%</f>
        <v>154320</v>
      </c>
      <c r="R27" s="4">
        <v>3189240</v>
      </c>
      <c r="X27" s="3">
        <f>G27*X25</f>
        <v>0</v>
      </c>
      <c r="Y27" s="3"/>
      <c r="Z27" s="3"/>
      <c r="AD27" s="75"/>
    </row>
    <row r="28" spans="1:54" ht="27" customHeight="1" x14ac:dyDescent="0.3">
      <c r="A28" s="124" t="s">
        <v>34</v>
      </c>
      <c r="B28" s="135" t="s">
        <v>126</v>
      </c>
      <c r="C28" s="136"/>
      <c r="D28" s="136"/>
      <c r="E28" s="136"/>
      <c r="F28" s="136"/>
      <c r="G28" s="136"/>
      <c r="H28" s="136"/>
      <c r="I28" s="136"/>
      <c r="J28" s="136"/>
      <c r="K28" s="136"/>
      <c r="L28" s="136"/>
      <c r="M28" s="136"/>
      <c r="N28" s="136"/>
      <c r="O28" s="136"/>
      <c r="P28" s="136"/>
      <c r="Q28" s="136"/>
      <c r="R28" s="137"/>
      <c r="T28" s="130" t="s">
        <v>33</v>
      </c>
      <c r="U28" s="131"/>
      <c r="V28" s="131"/>
      <c r="W28" s="131"/>
      <c r="X28" s="131"/>
      <c r="Y28" s="131"/>
      <c r="Z28" s="131"/>
      <c r="AA28" s="131"/>
      <c r="AB28" s="131"/>
      <c r="AC28" s="131"/>
      <c r="AD28" s="131"/>
      <c r="AE28" s="131"/>
      <c r="AF28" s="131"/>
      <c r="AG28" s="131"/>
      <c r="AH28" s="132"/>
      <c r="AI28" s="37"/>
      <c r="AM28" s="130" t="s">
        <v>32</v>
      </c>
      <c r="AN28" s="131"/>
      <c r="AO28" s="131"/>
      <c r="AP28" s="131"/>
      <c r="AQ28" s="131"/>
      <c r="AR28" s="132"/>
      <c r="AT28" s="130" t="s">
        <v>31</v>
      </c>
      <c r="AU28" s="131"/>
      <c r="AV28" s="131"/>
      <c r="AW28" s="132"/>
      <c r="AY28" s="47" t="s">
        <v>36</v>
      </c>
      <c r="AZ28" s="48"/>
      <c r="BB28" s="36"/>
    </row>
    <row r="29" spans="1:54" ht="32.25" customHeight="1" x14ac:dyDescent="0.3">
      <c r="A29" s="125"/>
      <c r="B29" s="133" t="s">
        <v>30</v>
      </c>
      <c r="C29" s="133" t="s">
        <v>29</v>
      </c>
      <c r="D29" s="116" t="s">
        <v>28</v>
      </c>
      <c r="E29" s="116" t="s">
        <v>27</v>
      </c>
      <c r="F29" s="34" t="s">
        <v>26</v>
      </c>
      <c r="G29" s="122" t="s">
        <v>63</v>
      </c>
      <c r="H29" s="123"/>
      <c r="I29" s="122" t="s">
        <v>50</v>
      </c>
      <c r="J29" s="123"/>
      <c r="K29" s="122" t="s">
        <v>62</v>
      </c>
      <c r="L29" s="123"/>
      <c r="M29" s="122" t="s">
        <v>25</v>
      </c>
      <c r="N29" s="123"/>
      <c r="O29" s="122" t="s">
        <v>24</v>
      </c>
      <c r="P29" s="123"/>
      <c r="Q29" s="106" t="s">
        <v>23</v>
      </c>
      <c r="R29" s="106" t="s">
        <v>22</v>
      </c>
      <c r="S29" s="21"/>
      <c r="T29" s="34" t="s">
        <v>21</v>
      </c>
      <c r="U29" s="34" t="s">
        <v>20</v>
      </c>
      <c r="V29" s="34" t="s">
        <v>95</v>
      </c>
      <c r="W29" s="34" t="s">
        <v>19</v>
      </c>
      <c r="X29" s="34" t="s">
        <v>18</v>
      </c>
      <c r="Y29" s="34" t="s">
        <v>48</v>
      </c>
      <c r="Z29" s="34" t="s">
        <v>49</v>
      </c>
      <c r="AA29" s="34" t="s">
        <v>17</v>
      </c>
      <c r="AB29" s="106" t="s">
        <v>16</v>
      </c>
      <c r="AC29" s="106" t="s">
        <v>15</v>
      </c>
      <c r="AD29" s="106" t="s">
        <v>14</v>
      </c>
      <c r="AE29" s="106" t="s">
        <v>13</v>
      </c>
      <c r="AF29" s="106" t="s">
        <v>12</v>
      </c>
      <c r="AG29" s="116" t="s">
        <v>11</v>
      </c>
      <c r="AH29" s="118" t="s">
        <v>10</v>
      </c>
      <c r="AI29" s="120" t="s">
        <v>9</v>
      </c>
      <c r="AJ29" s="35">
        <f>(1-R31/F31)</f>
        <v>0.14176073957385105</v>
      </c>
      <c r="AK29" s="35">
        <f>1-(AD31+AM31)/F31</f>
        <v>0.12450868595910758</v>
      </c>
      <c r="AM29" s="106" t="s">
        <v>8</v>
      </c>
      <c r="AN29" s="106" t="s">
        <v>7</v>
      </c>
      <c r="AO29" s="106" t="s">
        <v>37</v>
      </c>
      <c r="AP29" s="106" t="s">
        <v>38</v>
      </c>
      <c r="AQ29" s="106" t="s">
        <v>6</v>
      </c>
      <c r="AR29" s="106" t="s">
        <v>5</v>
      </c>
      <c r="AT29" s="106" t="s">
        <v>4</v>
      </c>
      <c r="AU29" s="106" t="s">
        <v>3</v>
      </c>
      <c r="AV29" s="106" t="s">
        <v>2</v>
      </c>
      <c r="AW29" s="106" t="s">
        <v>1</v>
      </c>
      <c r="AY29" s="108"/>
      <c r="AZ29" s="108"/>
      <c r="BB29" s="106"/>
    </row>
    <row r="30" spans="1:54" ht="27" customHeight="1" x14ac:dyDescent="0.3">
      <c r="A30" s="126"/>
      <c r="B30" s="134"/>
      <c r="C30" s="134"/>
      <c r="D30" s="117"/>
      <c r="E30" s="117"/>
      <c r="F30" s="31">
        <v>0</v>
      </c>
      <c r="G30" s="33">
        <v>0.06</v>
      </c>
      <c r="H30" s="32">
        <v>1000000</v>
      </c>
      <c r="I30" s="31">
        <v>1</v>
      </c>
      <c r="J30" s="32">
        <v>0</v>
      </c>
      <c r="K30" s="31">
        <v>1</v>
      </c>
      <c r="L30" s="32">
        <v>300000</v>
      </c>
      <c r="M30" s="31">
        <v>0</v>
      </c>
      <c r="N30" s="32">
        <v>0</v>
      </c>
      <c r="O30" s="31">
        <v>0</v>
      </c>
      <c r="P30" s="32">
        <v>0</v>
      </c>
      <c r="Q30" s="107"/>
      <c r="R30" s="107"/>
      <c r="S30" s="21"/>
      <c r="T30" s="31">
        <f>IF(C31="노트북",7%,IF(C31="저장&amp;주변기기",9%,IF(C31="모니터",7%)))</f>
        <v>7.0000000000000007E-2</v>
      </c>
      <c r="U30" s="31">
        <v>0</v>
      </c>
      <c r="V30" s="31">
        <v>0</v>
      </c>
      <c r="W30" s="31">
        <f>IF(G30=0%,20%,0%)</f>
        <v>0</v>
      </c>
      <c r="X30" s="30">
        <v>0</v>
      </c>
      <c r="Y30" s="30">
        <v>1</v>
      </c>
      <c r="Z30" s="53">
        <v>1</v>
      </c>
      <c r="AA30" s="29">
        <v>0.5</v>
      </c>
      <c r="AB30" s="107"/>
      <c r="AC30" s="107"/>
      <c r="AD30" s="107"/>
      <c r="AE30" s="107"/>
      <c r="AF30" s="107"/>
      <c r="AG30" s="117"/>
      <c r="AH30" s="119"/>
      <c r="AI30" s="121"/>
      <c r="AJ30" s="55" t="s">
        <v>52</v>
      </c>
      <c r="AK30" s="56">
        <f>AJ29-AK29</f>
        <v>1.7252053614743468E-2</v>
      </c>
      <c r="AM30" s="107"/>
      <c r="AN30" s="107"/>
      <c r="AO30" s="107"/>
      <c r="AP30" s="107"/>
      <c r="AQ30" s="107"/>
      <c r="AR30" s="107"/>
      <c r="AS30" s="39"/>
      <c r="AT30" s="107"/>
      <c r="AU30" s="117"/>
      <c r="AV30" s="107"/>
      <c r="AW30" s="107"/>
      <c r="AY30" s="109"/>
      <c r="AZ30" s="109"/>
      <c r="BB30" s="107"/>
    </row>
    <row r="31" spans="1:54" ht="27" customHeight="1" x14ac:dyDescent="0.3">
      <c r="A31" s="28" t="s">
        <v>45</v>
      </c>
      <c r="B31" s="38" t="s">
        <v>35</v>
      </c>
      <c r="C31" s="27" t="s">
        <v>0</v>
      </c>
      <c r="D31" s="26">
        <v>4321436481</v>
      </c>
      <c r="E31" s="25">
        <v>3669140</v>
      </c>
      <c r="F31" s="24">
        <f>ROUNDDOWN(E31/(1-F30),-1)</f>
        <v>3669140</v>
      </c>
      <c r="G31" s="110">
        <f>ROUNDDOWN(IF(F31*G30&gt;H30,H30,F31*G30),-1)</f>
        <v>220140</v>
      </c>
      <c r="H31" s="111"/>
      <c r="I31" s="112">
        <f>ROUNDDOWN(IF(F31*I30&gt;J30,J30,F31*I30),-1)</f>
        <v>0</v>
      </c>
      <c r="J31" s="113"/>
      <c r="K31" s="112">
        <f>ROUNDDOWN(IF(F31*K30&gt;L30,L30,F31*K30),-1)</f>
        <v>300000</v>
      </c>
      <c r="L31" s="113"/>
      <c r="M31" s="110">
        <f>ROUNDDOWN(IF(Q31*M30&gt;N30,N30,Q31*M30),-1)</f>
        <v>0</v>
      </c>
      <c r="N31" s="111"/>
      <c r="O31" s="110">
        <f>ROUNDDOWN(IF(F31*O30&gt;P30,P30,F31*O30),-1)</f>
        <v>0</v>
      </c>
      <c r="P31" s="111"/>
      <c r="Q31" s="23">
        <f>F31-G31-I31-K31</f>
        <v>3149000</v>
      </c>
      <c r="R31" s="22">
        <f>F31-G31-I31-K31-M31-O31</f>
        <v>3149000</v>
      </c>
      <c r="S31" s="21"/>
      <c r="T31" s="20">
        <f>F31*T30</f>
        <v>256839.80000000002</v>
      </c>
      <c r="U31" s="20">
        <f>F31*U30</f>
        <v>0</v>
      </c>
      <c r="V31" s="20">
        <f>(F31-I31)*V30</f>
        <v>0</v>
      </c>
      <c r="W31" s="19">
        <f>(F31*F30)*W30</f>
        <v>0</v>
      </c>
      <c r="X31" s="19">
        <f>G31*X30</f>
        <v>0</v>
      </c>
      <c r="Y31" s="19">
        <f>I31*Y30</f>
        <v>0</v>
      </c>
      <c r="Z31" s="19">
        <f>K31*Z30</f>
        <v>300000</v>
      </c>
      <c r="AA31" s="19">
        <f>M31*AA30</f>
        <v>0</v>
      </c>
      <c r="AB31" s="19">
        <v>0</v>
      </c>
      <c r="AC31" s="16">
        <v>15000</v>
      </c>
      <c r="AD31" s="18">
        <f>F31-T31-U31-V31-W31-AA31-X31-Y31-Z31-AB31</f>
        <v>3112300.2</v>
      </c>
      <c r="AE31" s="18">
        <f>F31-T31-U31-V31-W31-X31-Y31-Z31-AA31-AB31-AC31</f>
        <v>3097300.2</v>
      </c>
      <c r="AF31" s="17">
        <f>AE31-AG31</f>
        <v>-46699.799999999814</v>
      </c>
      <c r="AG31" s="16">
        <v>3144000</v>
      </c>
      <c r="AH31" s="15">
        <f>AF31/AG31</f>
        <v>-1.4853625954198414E-2</v>
      </c>
      <c r="AI31" s="14">
        <f>1-R31/(AG31-AM31-AN31-AO31)</f>
        <v>-3.4494086727989481E-2</v>
      </c>
      <c r="AJ31" s="114">
        <f>(1-R31/F31)-(1-(AD31)/F31)</f>
        <v>-1.0002289364810291E-2</v>
      </c>
      <c r="AK31" s="115"/>
      <c r="AM31" s="13">
        <v>100000</v>
      </c>
      <c r="AN31" s="12">
        <f>X31*AN30</f>
        <v>0</v>
      </c>
      <c r="AO31" s="12">
        <v>0</v>
      </c>
      <c r="AP31" s="12"/>
      <c r="AQ31" s="11">
        <f>AE31-(AG31-AM31-AN31-AO31-AP31)</f>
        <v>53300.200000000186</v>
      </c>
      <c r="AR31" s="8">
        <f>AQ31/AG31</f>
        <v>1.6952989821883011E-2</v>
      </c>
      <c r="AT31" s="10">
        <v>0</v>
      </c>
      <c r="AU31" s="10">
        <v>0</v>
      </c>
      <c r="AV31" s="9">
        <f>AQ31-AT31-AU31</f>
        <v>53300.200000000186</v>
      </c>
      <c r="AW31" s="8">
        <f>AV31/AG31</f>
        <v>1.6952989821883011E-2</v>
      </c>
      <c r="AY31" s="49"/>
      <c r="AZ31" s="50"/>
      <c r="BB31" s="6"/>
    </row>
    <row r="32" spans="1:54" x14ac:dyDescent="0.3">
      <c r="E32" s="5">
        <v>3399000</v>
      </c>
      <c r="F32" s="4">
        <f>ROUNDDOWN(E32/(1-F30),-1)</f>
        <v>3399000</v>
      </c>
      <c r="G32" s="138">
        <f>ROUNDDOWN(IF(F32*G30&gt;H30,H30,F32*G30),-1)</f>
        <v>203940</v>
      </c>
      <c r="H32" s="138"/>
      <c r="J32" s="54">
        <f>F31*4%</f>
        <v>146765.6</v>
      </c>
      <c r="R32" s="4">
        <v>3189240</v>
      </c>
      <c r="X32" s="3">
        <f>G32*X30</f>
        <v>0</v>
      </c>
      <c r="Y32" s="3"/>
      <c r="Z32" s="3"/>
      <c r="AD32" s="75"/>
    </row>
    <row r="33" spans="1:54" x14ac:dyDescent="0.3">
      <c r="E33" s="5"/>
      <c r="F33" s="4"/>
      <c r="G33" s="42"/>
      <c r="H33" s="42"/>
      <c r="J33" s="54"/>
      <c r="X33" s="3"/>
      <c r="Y33" s="3"/>
      <c r="Z33" s="3"/>
    </row>
    <row r="34" spans="1:54" x14ac:dyDescent="0.3">
      <c r="A34" s="43"/>
      <c r="B34" s="43"/>
      <c r="C34" s="43"/>
      <c r="D34" s="43"/>
      <c r="E34" s="5"/>
    </row>
    <row r="35" spans="1:54" ht="27" customHeight="1" x14ac:dyDescent="0.3">
      <c r="A35" s="124" t="s">
        <v>34</v>
      </c>
      <c r="B35" s="127" t="s">
        <v>125</v>
      </c>
      <c r="C35" s="128"/>
      <c r="D35" s="128"/>
      <c r="E35" s="128"/>
      <c r="F35" s="128"/>
      <c r="G35" s="128"/>
      <c r="H35" s="128"/>
      <c r="I35" s="128"/>
      <c r="J35" s="128"/>
      <c r="K35" s="128"/>
      <c r="L35" s="128"/>
      <c r="M35" s="128"/>
      <c r="N35" s="128"/>
      <c r="O35" s="128"/>
      <c r="P35" s="128"/>
      <c r="Q35" s="128"/>
      <c r="R35" s="129"/>
      <c r="T35" s="130" t="s">
        <v>33</v>
      </c>
      <c r="U35" s="131"/>
      <c r="V35" s="131"/>
      <c r="W35" s="131"/>
      <c r="X35" s="131"/>
      <c r="Y35" s="131"/>
      <c r="Z35" s="131"/>
      <c r="AA35" s="131"/>
      <c r="AB35" s="131"/>
      <c r="AC35" s="131"/>
      <c r="AD35" s="131"/>
      <c r="AE35" s="131"/>
      <c r="AF35" s="131"/>
      <c r="AG35" s="131"/>
      <c r="AH35" s="132"/>
      <c r="AI35" s="37"/>
      <c r="AM35" s="130" t="s">
        <v>32</v>
      </c>
      <c r="AN35" s="131"/>
      <c r="AO35" s="131"/>
      <c r="AP35" s="131"/>
      <c r="AQ35" s="131"/>
      <c r="AR35" s="132"/>
      <c r="AT35" s="130" t="s">
        <v>31</v>
      </c>
      <c r="AU35" s="131"/>
      <c r="AV35" s="131"/>
      <c r="AW35" s="132"/>
      <c r="AY35" s="47" t="s">
        <v>36</v>
      </c>
      <c r="AZ35" s="48"/>
      <c r="BB35" s="36"/>
    </row>
    <row r="36" spans="1:54" ht="32.25" customHeight="1" x14ac:dyDescent="0.3">
      <c r="A36" s="125"/>
      <c r="B36" s="133" t="s">
        <v>30</v>
      </c>
      <c r="C36" s="133" t="s">
        <v>29</v>
      </c>
      <c r="D36" s="116" t="s">
        <v>28</v>
      </c>
      <c r="E36" s="116" t="s">
        <v>27</v>
      </c>
      <c r="F36" s="34" t="s">
        <v>26</v>
      </c>
      <c r="G36" s="122" t="s">
        <v>63</v>
      </c>
      <c r="H36" s="123"/>
      <c r="I36" s="122" t="s">
        <v>50</v>
      </c>
      <c r="J36" s="123"/>
      <c r="K36" s="122" t="s">
        <v>62</v>
      </c>
      <c r="L36" s="123"/>
      <c r="M36" s="122" t="s">
        <v>25</v>
      </c>
      <c r="N36" s="123"/>
      <c r="O36" s="122" t="s">
        <v>24</v>
      </c>
      <c r="P36" s="123"/>
      <c r="Q36" s="106" t="s">
        <v>23</v>
      </c>
      <c r="R36" s="106" t="s">
        <v>22</v>
      </c>
      <c r="S36" s="21"/>
      <c r="T36" s="34" t="s">
        <v>21</v>
      </c>
      <c r="U36" s="34" t="s">
        <v>20</v>
      </c>
      <c r="V36" s="34" t="s">
        <v>95</v>
      </c>
      <c r="W36" s="34" t="s">
        <v>19</v>
      </c>
      <c r="X36" s="34" t="s">
        <v>18</v>
      </c>
      <c r="Y36" s="34" t="s">
        <v>48</v>
      </c>
      <c r="Z36" s="34" t="s">
        <v>49</v>
      </c>
      <c r="AA36" s="34" t="s">
        <v>17</v>
      </c>
      <c r="AB36" s="106" t="s">
        <v>16</v>
      </c>
      <c r="AC36" s="106" t="s">
        <v>15</v>
      </c>
      <c r="AD36" s="106" t="s">
        <v>14</v>
      </c>
      <c r="AE36" s="106" t="s">
        <v>13</v>
      </c>
      <c r="AF36" s="106" t="s">
        <v>12</v>
      </c>
      <c r="AG36" s="116" t="s">
        <v>11</v>
      </c>
      <c r="AH36" s="118" t="s">
        <v>10</v>
      </c>
      <c r="AI36" s="120" t="s">
        <v>9</v>
      </c>
      <c r="AJ36" s="35">
        <f>(1-R38/F38)</f>
        <v>0.20301981325438401</v>
      </c>
      <c r="AK36" s="35">
        <f>1-(AD38+AM38)/F38</f>
        <v>0.18455248462764751</v>
      </c>
      <c r="AM36" s="106" t="s">
        <v>8</v>
      </c>
      <c r="AN36" s="106" t="s">
        <v>7</v>
      </c>
      <c r="AO36" s="106" t="s">
        <v>37</v>
      </c>
      <c r="AP36" s="106" t="s">
        <v>38</v>
      </c>
      <c r="AQ36" s="106" t="s">
        <v>6</v>
      </c>
      <c r="AR36" s="106" t="s">
        <v>5</v>
      </c>
      <c r="AT36" s="106" t="s">
        <v>4</v>
      </c>
      <c r="AU36" s="106" t="s">
        <v>3</v>
      </c>
      <c r="AV36" s="106" t="s">
        <v>2</v>
      </c>
      <c r="AW36" s="106" t="s">
        <v>1</v>
      </c>
      <c r="AY36" s="108"/>
      <c r="AZ36" s="108"/>
      <c r="BB36" s="106"/>
    </row>
    <row r="37" spans="1:54" ht="27" customHeight="1" x14ac:dyDescent="0.3">
      <c r="A37" s="126"/>
      <c r="B37" s="134"/>
      <c r="C37" s="134"/>
      <c r="D37" s="117"/>
      <c r="E37" s="117"/>
      <c r="F37" s="31">
        <v>0</v>
      </c>
      <c r="G37" s="33">
        <v>0.06</v>
      </c>
      <c r="H37" s="32">
        <v>1000000</v>
      </c>
      <c r="I37" s="31">
        <v>1</v>
      </c>
      <c r="J37" s="32">
        <v>118000</v>
      </c>
      <c r="K37" s="31">
        <v>1</v>
      </c>
      <c r="L37" s="32">
        <v>360000</v>
      </c>
      <c r="M37" s="31">
        <v>7.0000000000000007E-2</v>
      </c>
      <c r="N37" s="32">
        <v>150000</v>
      </c>
      <c r="O37" s="31">
        <v>0</v>
      </c>
      <c r="P37" s="32">
        <v>0</v>
      </c>
      <c r="Q37" s="107"/>
      <c r="R37" s="107"/>
      <c r="S37" s="21"/>
      <c r="T37" s="31">
        <f>IF(C38="노트북",7%,IF(C38="저장&amp;주변기기",9%,IF(C38="모니터",7%)))</f>
        <v>7.0000000000000007E-2</v>
      </c>
      <c r="U37" s="31">
        <v>0</v>
      </c>
      <c r="V37" s="31">
        <v>0</v>
      </c>
      <c r="W37" s="31">
        <f>IF(G37=0%,20%,0%)</f>
        <v>0</v>
      </c>
      <c r="X37" s="30">
        <v>0</v>
      </c>
      <c r="Y37" s="30">
        <v>1</v>
      </c>
      <c r="Z37" s="53">
        <v>0.86111099999999996</v>
      </c>
      <c r="AA37" s="29">
        <v>0.5</v>
      </c>
      <c r="AB37" s="107"/>
      <c r="AC37" s="107"/>
      <c r="AD37" s="107"/>
      <c r="AE37" s="107"/>
      <c r="AF37" s="107"/>
      <c r="AG37" s="117"/>
      <c r="AH37" s="119"/>
      <c r="AI37" s="121"/>
      <c r="AJ37" s="55" t="s">
        <v>52</v>
      </c>
      <c r="AK37" s="56">
        <f>AJ36-AK36</f>
        <v>1.8467328626736501E-2</v>
      </c>
      <c r="AM37" s="107"/>
      <c r="AN37" s="107"/>
      <c r="AO37" s="107"/>
      <c r="AP37" s="107"/>
      <c r="AQ37" s="107"/>
      <c r="AR37" s="107"/>
      <c r="AS37" s="39"/>
      <c r="AT37" s="107"/>
      <c r="AU37" s="117"/>
      <c r="AV37" s="107"/>
      <c r="AW37" s="107"/>
      <c r="AY37" s="109"/>
      <c r="AZ37" s="109"/>
      <c r="BB37" s="107"/>
    </row>
    <row r="38" spans="1:54" ht="27" customHeight="1" x14ac:dyDescent="0.3">
      <c r="A38" s="28" t="s">
        <v>39</v>
      </c>
      <c r="B38" s="38" t="s">
        <v>35</v>
      </c>
      <c r="C38" s="27" t="s">
        <v>0</v>
      </c>
      <c r="D38" s="26">
        <v>4321378893</v>
      </c>
      <c r="E38" s="25">
        <v>4391000</v>
      </c>
      <c r="F38" s="24">
        <f>ROUNDDOWN(E38/(1-F37),-1)</f>
        <v>4391000</v>
      </c>
      <c r="G38" s="110">
        <f>ROUNDDOWN(IF(F38*G37&gt;H37,H37,F38*G37),-1)</f>
        <v>263460</v>
      </c>
      <c r="H38" s="111"/>
      <c r="I38" s="112">
        <f>ROUNDDOWN(IF(F38*I37&gt;J37,J37,F38*I37),-1)</f>
        <v>118000</v>
      </c>
      <c r="J38" s="113"/>
      <c r="K38" s="112">
        <f>ROUNDDOWN(IF(F38*K37&gt;L37,L37,F38*K37),-1)</f>
        <v>360000</v>
      </c>
      <c r="L38" s="113"/>
      <c r="M38" s="110">
        <f>ROUNDDOWN(IF(Q38*M37&gt;N37,N37,Q38*M37),-1)</f>
        <v>150000</v>
      </c>
      <c r="N38" s="111"/>
      <c r="O38" s="110">
        <f>ROUNDDOWN(IF(F38*O37&gt;P37,P37,F38*O37),-1)</f>
        <v>0</v>
      </c>
      <c r="P38" s="111"/>
      <c r="Q38" s="23">
        <f>F38-G38-I38-K38</f>
        <v>3649540</v>
      </c>
      <c r="R38" s="22">
        <f>F38-G38-I38-K38-M38-O38</f>
        <v>3499540</v>
      </c>
      <c r="S38" s="21"/>
      <c r="T38" s="20">
        <f>F38*T37</f>
        <v>307370.00000000006</v>
      </c>
      <c r="U38" s="20">
        <f>F38*U37</f>
        <v>0</v>
      </c>
      <c r="V38" s="20">
        <f>(F38-I38)*V37</f>
        <v>0</v>
      </c>
      <c r="W38" s="19">
        <f>(F38*F37)*W37</f>
        <v>0</v>
      </c>
      <c r="X38" s="19">
        <f>G38*X37</f>
        <v>0</v>
      </c>
      <c r="Y38" s="19">
        <f>I38*Y37</f>
        <v>118000</v>
      </c>
      <c r="Z38" s="19">
        <f>K38*Z37</f>
        <v>309999.95999999996</v>
      </c>
      <c r="AA38" s="19">
        <f>M38*AA37</f>
        <v>75000</v>
      </c>
      <c r="AB38" s="19">
        <v>0</v>
      </c>
      <c r="AC38" s="16">
        <v>15000</v>
      </c>
      <c r="AD38" s="18">
        <f>F38-T38-U38-V38-W38-AA38-X38-Y38-Z38-AB38</f>
        <v>3580630.04</v>
      </c>
      <c r="AE38" s="18">
        <f>F38-T38-U38-V38-W38-X38-Y38-Z38-AA38-AB38-AC38</f>
        <v>3565630.04</v>
      </c>
      <c r="AF38" s="17">
        <f>AE38-AG38</f>
        <v>51630.040000000037</v>
      </c>
      <c r="AG38" s="16">
        <v>3514000</v>
      </c>
      <c r="AH38" s="15">
        <f>AF38/AG38</f>
        <v>1.4692669322709174E-2</v>
      </c>
      <c r="AI38" s="14">
        <f>1-R38/(AG38-AM38-AN38-AO38)</f>
        <v>4.114968696641963E-3</v>
      </c>
      <c r="AJ38" s="114">
        <f>AJ36-AK36</f>
        <v>1.8467328626736501E-2</v>
      </c>
      <c r="AK38" s="115"/>
      <c r="AM38" s="13">
        <v>0</v>
      </c>
      <c r="AN38" s="12">
        <f>X38*AN37</f>
        <v>0</v>
      </c>
      <c r="AO38" s="12">
        <v>0</v>
      </c>
      <c r="AP38" s="12"/>
      <c r="AQ38" s="11">
        <f>AE38-(AG38-AM38-AN38-AO38-AP38)</f>
        <v>51630.040000000037</v>
      </c>
      <c r="AR38" s="8">
        <f>AQ38/AG38</f>
        <v>1.4692669322709174E-2</v>
      </c>
      <c r="AT38" s="10">
        <v>0</v>
      </c>
      <c r="AU38" s="10">
        <v>0</v>
      </c>
      <c r="AV38" s="9">
        <f>AQ38-AT38-AU38</f>
        <v>51630.040000000037</v>
      </c>
      <c r="AW38" s="8">
        <f>AV38/AG38</f>
        <v>1.4692669322709174E-2</v>
      </c>
      <c r="AY38" s="49"/>
      <c r="AZ38" s="50"/>
      <c r="BB38" s="6"/>
    </row>
    <row r="39" spans="1:54" x14ac:dyDescent="0.3">
      <c r="A39" s="43"/>
      <c r="B39" s="43"/>
      <c r="C39" s="43"/>
      <c r="D39" s="43"/>
      <c r="E39" s="5">
        <v>3799000</v>
      </c>
      <c r="F39" s="4">
        <f>ROUNDDOWN(E39/(1-F37),-1)</f>
        <v>3799000</v>
      </c>
      <c r="G39" s="138">
        <f>ROUNDDOWN(IF(F39*G37&gt;H37,H37,F39*G37),-1)</f>
        <v>227940</v>
      </c>
      <c r="H39" s="138"/>
      <c r="J39" s="54">
        <f>F38*4%</f>
        <v>175640</v>
      </c>
      <c r="R39" s="4">
        <v>3299000</v>
      </c>
    </row>
    <row r="40" spans="1:54" ht="27" customHeight="1" x14ac:dyDescent="0.3">
      <c r="A40" s="124" t="s">
        <v>34</v>
      </c>
      <c r="B40" s="135" t="s">
        <v>126</v>
      </c>
      <c r="C40" s="136"/>
      <c r="D40" s="136"/>
      <c r="E40" s="136"/>
      <c r="F40" s="136"/>
      <c r="G40" s="136"/>
      <c r="H40" s="136"/>
      <c r="I40" s="136"/>
      <c r="J40" s="136"/>
      <c r="K40" s="136"/>
      <c r="L40" s="136"/>
      <c r="M40" s="136"/>
      <c r="N40" s="136"/>
      <c r="O40" s="136"/>
      <c r="P40" s="136"/>
      <c r="Q40" s="136"/>
      <c r="R40" s="137"/>
      <c r="T40" s="130" t="s">
        <v>33</v>
      </c>
      <c r="U40" s="131"/>
      <c r="V40" s="131"/>
      <c r="W40" s="131"/>
      <c r="X40" s="131"/>
      <c r="Y40" s="131"/>
      <c r="Z40" s="131"/>
      <c r="AA40" s="131"/>
      <c r="AB40" s="131"/>
      <c r="AC40" s="131"/>
      <c r="AD40" s="131"/>
      <c r="AE40" s="131"/>
      <c r="AF40" s="131"/>
      <c r="AG40" s="131"/>
      <c r="AH40" s="132"/>
      <c r="AI40" s="37"/>
      <c r="AM40" s="130" t="s">
        <v>32</v>
      </c>
      <c r="AN40" s="131"/>
      <c r="AO40" s="131"/>
      <c r="AP40" s="131"/>
      <c r="AQ40" s="131"/>
      <c r="AR40" s="132"/>
      <c r="AT40" s="130" t="s">
        <v>31</v>
      </c>
      <c r="AU40" s="131"/>
      <c r="AV40" s="131"/>
      <c r="AW40" s="132"/>
      <c r="AY40" s="47" t="s">
        <v>36</v>
      </c>
      <c r="AZ40" s="48"/>
      <c r="BB40" s="36"/>
    </row>
    <row r="41" spans="1:54" ht="32.25" customHeight="1" x14ac:dyDescent="0.3">
      <c r="A41" s="125"/>
      <c r="B41" s="133" t="s">
        <v>30</v>
      </c>
      <c r="C41" s="133" t="s">
        <v>29</v>
      </c>
      <c r="D41" s="116" t="s">
        <v>28</v>
      </c>
      <c r="E41" s="116" t="s">
        <v>27</v>
      </c>
      <c r="F41" s="34" t="s">
        <v>26</v>
      </c>
      <c r="G41" s="122" t="s">
        <v>63</v>
      </c>
      <c r="H41" s="123"/>
      <c r="I41" s="122" t="s">
        <v>50</v>
      </c>
      <c r="J41" s="123"/>
      <c r="K41" s="122" t="s">
        <v>62</v>
      </c>
      <c r="L41" s="123"/>
      <c r="M41" s="122" t="s">
        <v>25</v>
      </c>
      <c r="N41" s="123"/>
      <c r="O41" s="122" t="s">
        <v>24</v>
      </c>
      <c r="P41" s="123"/>
      <c r="Q41" s="106" t="s">
        <v>23</v>
      </c>
      <c r="R41" s="106" t="s">
        <v>22</v>
      </c>
      <c r="S41" s="21"/>
      <c r="T41" s="34" t="s">
        <v>21</v>
      </c>
      <c r="U41" s="34" t="s">
        <v>20</v>
      </c>
      <c r="V41" s="34" t="s">
        <v>95</v>
      </c>
      <c r="W41" s="34" t="s">
        <v>19</v>
      </c>
      <c r="X41" s="34" t="s">
        <v>18</v>
      </c>
      <c r="Y41" s="34" t="s">
        <v>48</v>
      </c>
      <c r="Z41" s="34" t="s">
        <v>49</v>
      </c>
      <c r="AA41" s="34" t="s">
        <v>17</v>
      </c>
      <c r="AB41" s="106" t="s">
        <v>16</v>
      </c>
      <c r="AC41" s="106" t="s">
        <v>15</v>
      </c>
      <c r="AD41" s="106" t="s">
        <v>14</v>
      </c>
      <c r="AE41" s="106" t="s">
        <v>13</v>
      </c>
      <c r="AF41" s="106" t="s">
        <v>12</v>
      </c>
      <c r="AG41" s="116" t="s">
        <v>11</v>
      </c>
      <c r="AH41" s="118" t="s">
        <v>10</v>
      </c>
      <c r="AI41" s="120" t="s">
        <v>9</v>
      </c>
      <c r="AJ41" s="35">
        <f>(1-R43/F43)</f>
        <v>0.14656932410887558</v>
      </c>
      <c r="AK41" s="35">
        <f>1-(AD43+AM43)/F43</f>
        <v>0.14454592149592049</v>
      </c>
      <c r="AM41" s="106" t="s">
        <v>8</v>
      </c>
      <c r="AN41" s="106" t="s">
        <v>7</v>
      </c>
      <c r="AO41" s="106" t="s">
        <v>37</v>
      </c>
      <c r="AP41" s="106" t="s">
        <v>38</v>
      </c>
      <c r="AQ41" s="106" t="s">
        <v>6</v>
      </c>
      <c r="AR41" s="106" t="s">
        <v>5</v>
      </c>
      <c r="AT41" s="106" t="s">
        <v>4</v>
      </c>
      <c r="AU41" s="106" t="s">
        <v>3</v>
      </c>
      <c r="AV41" s="106" t="s">
        <v>2</v>
      </c>
      <c r="AW41" s="106" t="s">
        <v>1</v>
      </c>
      <c r="AY41" s="108"/>
      <c r="AZ41" s="108"/>
      <c r="BB41" s="106"/>
    </row>
    <row r="42" spans="1:54" ht="27" customHeight="1" x14ac:dyDescent="0.3">
      <c r="A42" s="126"/>
      <c r="B42" s="134"/>
      <c r="C42" s="134"/>
      <c r="D42" s="117"/>
      <c r="E42" s="117"/>
      <c r="F42" s="31">
        <v>0</v>
      </c>
      <c r="G42" s="33">
        <v>0.06</v>
      </c>
      <c r="H42" s="32">
        <v>1000000</v>
      </c>
      <c r="I42" s="31">
        <v>1</v>
      </c>
      <c r="J42" s="32">
        <v>0</v>
      </c>
      <c r="K42" s="31">
        <v>1</v>
      </c>
      <c r="L42" s="32">
        <v>360000</v>
      </c>
      <c r="M42" s="31">
        <v>0</v>
      </c>
      <c r="N42" s="32">
        <v>0</v>
      </c>
      <c r="O42" s="31">
        <v>0</v>
      </c>
      <c r="P42" s="32">
        <v>0</v>
      </c>
      <c r="Q42" s="107"/>
      <c r="R42" s="107"/>
      <c r="S42" s="21"/>
      <c r="T42" s="31">
        <f>IF(C43="노트북",7%,IF(C43="저장&amp;주변기기",9%,IF(C43="모니터",7%)))</f>
        <v>7.0000000000000007E-2</v>
      </c>
      <c r="U42" s="31">
        <v>0</v>
      </c>
      <c r="V42" s="31">
        <v>0</v>
      </c>
      <c r="W42" s="31">
        <f>IF(G42=0%,20%,0%)</f>
        <v>0</v>
      </c>
      <c r="X42" s="30">
        <v>0</v>
      </c>
      <c r="Y42" s="30">
        <v>1</v>
      </c>
      <c r="Z42" s="53">
        <v>0.86111099999999996</v>
      </c>
      <c r="AA42" s="29">
        <v>0.5</v>
      </c>
      <c r="AB42" s="107"/>
      <c r="AC42" s="107"/>
      <c r="AD42" s="107"/>
      <c r="AE42" s="107"/>
      <c r="AF42" s="107"/>
      <c r="AG42" s="117"/>
      <c r="AH42" s="119"/>
      <c r="AI42" s="121"/>
      <c r="AJ42" s="55" t="s">
        <v>52</v>
      </c>
      <c r="AK42" s="56">
        <f>AJ41-AK41</f>
        <v>2.0234026129550831E-3</v>
      </c>
      <c r="AM42" s="107"/>
      <c r="AN42" s="107"/>
      <c r="AO42" s="107"/>
      <c r="AP42" s="107"/>
      <c r="AQ42" s="107"/>
      <c r="AR42" s="107"/>
      <c r="AS42" s="39"/>
      <c r="AT42" s="107"/>
      <c r="AU42" s="117"/>
      <c r="AV42" s="107"/>
      <c r="AW42" s="107"/>
      <c r="AY42" s="109"/>
      <c r="AZ42" s="109"/>
      <c r="BB42" s="107"/>
    </row>
    <row r="43" spans="1:54" ht="27" customHeight="1" x14ac:dyDescent="0.3">
      <c r="A43" s="28" t="s">
        <v>39</v>
      </c>
      <c r="B43" s="38" t="s">
        <v>35</v>
      </c>
      <c r="C43" s="27" t="s">
        <v>0</v>
      </c>
      <c r="D43" s="26">
        <v>4321378893</v>
      </c>
      <c r="E43" s="25">
        <v>4158510</v>
      </c>
      <c r="F43" s="24">
        <f>ROUNDDOWN(E43/(1-F42),-1)</f>
        <v>4158510</v>
      </c>
      <c r="G43" s="110">
        <f>ROUNDDOWN(IF(F43*G42&gt;H42,H42,F43*G42),-1)</f>
        <v>249510</v>
      </c>
      <c r="H43" s="111"/>
      <c r="I43" s="112">
        <f>ROUNDDOWN(IF(F43*I42&gt;J42,J42,F43*I42),-1)</f>
        <v>0</v>
      </c>
      <c r="J43" s="113"/>
      <c r="K43" s="112">
        <f>ROUNDDOWN(IF(F43*K42&gt;L42,L42,F43*K42),-1)</f>
        <v>360000</v>
      </c>
      <c r="L43" s="113"/>
      <c r="M43" s="110">
        <f>ROUNDDOWN(IF(Q43*M42&gt;N42,N42,Q43*M42),-1)</f>
        <v>0</v>
      </c>
      <c r="N43" s="111"/>
      <c r="O43" s="110">
        <f>ROUNDDOWN(IF(F43*O42&gt;P42,P42,F43*O42),-1)</f>
        <v>0</v>
      </c>
      <c r="P43" s="111"/>
      <c r="Q43" s="23">
        <f>F43-G43-I43-K43</f>
        <v>3549000</v>
      </c>
      <c r="R43" s="22">
        <f>F43-G43-I43-K43-M43-O43</f>
        <v>3549000</v>
      </c>
      <c r="S43" s="21"/>
      <c r="T43" s="20">
        <f>F43*T42</f>
        <v>291095.7</v>
      </c>
      <c r="U43" s="20">
        <f>F43*U42</f>
        <v>0</v>
      </c>
      <c r="V43" s="20">
        <f>(F43-I43)*V42</f>
        <v>0</v>
      </c>
      <c r="W43" s="19">
        <f>(F43*F42)*W42</f>
        <v>0</v>
      </c>
      <c r="X43" s="19">
        <f>G43*X42</f>
        <v>0</v>
      </c>
      <c r="Y43" s="19">
        <f>I43*Y42</f>
        <v>0</v>
      </c>
      <c r="Z43" s="19">
        <f>K43*Z42</f>
        <v>309999.95999999996</v>
      </c>
      <c r="AA43" s="19">
        <f>M43*AA42</f>
        <v>0</v>
      </c>
      <c r="AB43" s="19">
        <v>0</v>
      </c>
      <c r="AC43" s="16">
        <v>15000</v>
      </c>
      <c r="AD43" s="18">
        <f>F43-T43-U43-V43-W43-AA43-X43-Y43-Z43-AB43</f>
        <v>3557414.34</v>
      </c>
      <c r="AE43" s="18">
        <f>F43-T43-U43-V43-W43-X43-Y43-Z43-AA43-AB43-AC43</f>
        <v>3542414.34</v>
      </c>
      <c r="AF43" s="17">
        <f>AE43-AG43</f>
        <v>28414.339999999851</v>
      </c>
      <c r="AG43" s="16">
        <v>3514000</v>
      </c>
      <c r="AH43" s="15">
        <f>AF43/AG43</f>
        <v>8.0860387023334798E-3</v>
      </c>
      <c r="AI43" s="14">
        <f>1-R43/(AG43-AM43-AN43-AO43)</f>
        <v>-9.960159362549792E-3</v>
      </c>
      <c r="AJ43" s="114">
        <f>AJ41-AK41</f>
        <v>2.0234026129550831E-3</v>
      </c>
      <c r="AK43" s="115"/>
      <c r="AM43" s="13">
        <v>0</v>
      </c>
      <c r="AN43" s="12">
        <f>X43*AN42</f>
        <v>0</v>
      </c>
      <c r="AO43" s="12">
        <v>0</v>
      </c>
      <c r="AP43" s="12"/>
      <c r="AQ43" s="11">
        <f>AE43-(AG43-AM43-AN43-AO43-AP43)</f>
        <v>28414.339999999851</v>
      </c>
      <c r="AR43" s="8">
        <f>AQ43/AG43</f>
        <v>8.0860387023334798E-3</v>
      </c>
      <c r="AT43" s="10">
        <v>0</v>
      </c>
      <c r="AU43" s="10">
        <v>0</v>
      </c>
      <c r="AV43" s="9">
        <f>AQ43-AT43-AU43</f>
        <v>28414.339999999851</v>
      </c>
      <c r="AW43" s="8">
        <f>AV43/AG43</f>
        <v>8.0860387023334798E-3</v>
      </c>
      <c r="AY43" s="49"/>
      <c r="AZ43" s="50"/>
      <c r="BB43" s="6"/>
    </row>
    <row r="44" spans="1:54" x14ac:dyDescent="0.3">
      <c r="A44" s="43"/>
      <c r="B44" s="43"/>
      <c r="C44" s="43"/>
      <c r="D44" s="43"/>
      <c r="E44" s="5">
        <v>3799000</v>
      </c>
      <c r="F44" s="4">
        <f>ROUNDDOWN(E44/(1-F42),-1)</f>
        <v>3799000</v>
      </c>
      <c r="G44" s="138">
        <f>ROUNDDOWN(IF(F44*G42&gt;H42,H42,F44*G42),-1)</f>
        <v>227940</v>
      </c>
      <c r="H44" s="138"/>
      <c r="J44" s="54">
        <f>F43*4%</f>
        <v>166340.4</v>
      </c>
      <c r="R44" s="4">
        <v>3299000</v>
      </c>
    </row>
    <row r="45" spans="1:54" x14ac:dyDescent="0.3">
      <c r="A45" s="43"/>
      <c r="B45" s="43"/>
      <c r="C45" s="43"/>
      <c r="D45" s="43"/>
      <c r="E45" s="5"/>
      <c r="F45" s="4"/>
      <c r="G45" s="42"/>
      <c r="H45" s="42"/>
      <c r="J45" s="54"/>
      <c r="R45" s="4"/>
    </row>
    <row r="46" spans="1:54" x14ac:dyDescent="0.3">
      <c r="A46" s="43"/>
      <c r="B46" s="43"/>
      <c r="C46" s="43"/>
      <c r="D46" s="43"/>
      <c r="E46" s="5"/>
      <c r="F46" s="4"/>
      <c r="G46" s="42"/>
      <c r="H46" s="42"/>
      <c r="J46" s="54"/>
    </row>
    <row r="47" spans="1:54" x14ac:dyDescent="0.3">
      <c r="A47" s="43"/>
      <c r="B47" s="43"/>
      <c r="C47" s="43"/>
      <c r="D47" s="43"/>
      <c r="E47" s="5"/>
    </row>
    <row r="48" spans="1:54" s="64" customFormat="1" ht="19.5" x14ac:dyDescent="0.3">
      <c r="A48" s="61" t="s">
        <v>41</v>
      </c>
      <c r="B48" s="62"/>
      <c r="C48" s="62"/>
      <c r="D48" s="62"/>
      <c r="E48" s="63"/>
      <c r="AH48" s="65"/>
      <c r="AI48" s="65"/>
      <c r="AJ48" s="65"/>
      <c r="AK48" s="65"/>
    </row>
    <row r="49" spans="1:54" x14ac:dyDescent="0.3">
      <c r="A49" s="43"/>
      <c r="B49" s="43"/>
      <c r="C49" s="43"/>
      <c r="D49" s="43"/>
      <c r="E49" s="5"/>
    </row>
    <row r="50" spans="1:54" ht="27" customHeight="1" x14ac:dyDescent="0.3">
      <c r="A50" s="124" t="s">
        <v>34</v>
      </c>
      <c r="B50" s="127" t="s">
        <v>125</v>
      </c>
      <c r="C50" s="128"/>
      <c r="D50" s="128"/>
      <c r="E50" s="128"/>
      <c r="F50" s="128"/>
      <c r="G50" s="128"/>
      <c r="H50" s="128"/>
      <c r="I50" s="128"/>
      <c r="J50" s="128"/>
      <c r="K50" s="128"/>
      <c r="L50" s="128"/>
      <c r="M50" s="128"/>
      <c r="N50" s="128"/>
      <c r="O50" s="128"/>
      <c r="P50" s="128"/>
      <c r="Q50" s="128"/>
      <c r="R50" s="129"/>
      <c r="T50" s="130" t="s">
        <v>33</v>
      </c>
      <c r="U50" s="131"/>
      <c r="V50" s="131"/>
      <c r="W50" s="131"/>
      <c r="X50" s="131"/>
      <c r="Y50" s="131"/>
      <c r="Z50" s="131"/>
      <c r="AA50" s="131"/>
      <c r="AB50" s="131"/>
      <c r="AC50" s="131"/>
      <c r="AD50" s="131"/>
      <c r="AE50" s="131"/>
      <c r="AF50" s="131"/>
      <c r="AG50" s="131"/>
      <c r="AH50" s="132"/>
      <c r="AI50" s="37"/>
      <c r="AM50" s="130" t="s">
        <v>32</v>
      </c>
      <c r="AN50" s="131"/>
      <c r="AO50" s="131"/>
      <c r="AP50" s="131"/>
      <c r="AQ50" s="131"/>
      <c r="AR50" s="132"/>
      <c r="AT50" s="130" t="s">
        <v>31</v>
      </c>
      <c r="AU50" s="131"/>
      <c r="AV50" s="131"/>
      <c r="AW50" s="132"/>
      <c r="AY50" s="47" t="s">
        <v>36</v>
      </c>
      <c r="AZ50" s="48"/>
      <c r="BB50" s="36"/>
    </row>
    <row r="51" spans="1:54" ht="32.25" customHeight="1" x14ac:dyDescent="0.3">
      <c r="A51" s="125"/>
      <c r="B51" s="133" t="s">
        <v>30</v>
      </c>
      <c r="C51" s="133" t="s">
        <v>29</v>
      </c>
      <c r="D51" s="116" t="s">
        <v>28</v>
      </c>
      <c r="E51" s="116" t="s">
        <v>27</v>
      </c>
      <c r="F51" s="34" t="s">
        <v>26</v>
      </c>
      <c r="G51" s="122" t="s">
        <v>63</v>
      </c>
      <c r="H51" s="123"/>
      <c r="I51" s="122" t="s">
        <v>50</v>
      </c>
      <c r="J51" s="123"/>
      <c r="K51" s="122" t="s">
        <v>62</v>
      </c>
      <c r="L51" s="123"/>
      <c r="M51" s="122" t="s">
        <v>25</v>
      </c>
      <c r="N51" s="123"/>
      <c r="O51" s="122" t="s">
        <v>24</v>
      </c>
      <c r="P51" s="123"/>
      <c r="Q51" s="106" t="s">
        <v>23</v>
      </c>
      <c r="R51" s="106" t="s">
        <v>22</v>
      </c>
      <c r="S51" s="21"/>
      <c r="T51" s="34" t="s">
        <v>21</v>
      </c>
      <c r="U51" s="34" t="s">
        <v>20</v>
      </c>
      <c r="V51" s="34" t="s">
        <v>95</v>
      </c>
      <c r="W51" s="34" t="s">
        <v>19</v>
      </c>
      <c r="X51" s="34" t="s">
        <v>18</v>
      </c>
      <c r="Y51" s="34" t="s">
        <v>48</v>
      </c>
      <c r="Z51" s="34" t="s">
        <v>49</v>
      </c>
      <c r="AA51" s="34" t="s">
        <v>17</v>
      </c>
      <c r="AB51" s="106" t="s">
        <v>16</v>
      </c>
      <c r="AC51" s="106" t="s">
        <v>15</v>
      </c>
      <c r="AD51" s="106" t="s">
        <v>14</v>
      </c>
      <c r="AE51" s="106" t="s">
        <v>13</v>
      </c>
      <c r="AF51" s="106" t="s">
        <v>12</v>
      </c>
      <c r="AG51" s="116" t="s">
        <v>11</v>
      </c>
      <c r="AH51" s="118" t="s">
        <v>10</v>
      </c>
      <c r="AI51" s="120" t="s">
        <v>9</v>
      </c>
      <c r="AJ51" s="35">
        <f>(1-R53/F53)</f>
        <v>0.19100361508004815</v>
      </c>
      <c r="AK51" s="35">
        <f>1-(AD53+AM53)/F53</f>
        <v>0.16227061456360814</v>
      </c>
      <c r="AM51" s="106" t="s">
        <v>8</v>
      </c>
      <c r="AN51" s="106" t="s">
        <v>7</v>
      </c>
      <c r="AO51" s="106" t="s">
        <v>37</v>
      </c>
      <c r="AP51" s="106" t="s">
        <v>38</v>
      </c>
      <c r="AQ51" s="106" t="s">
        <v>6</v>
      </c>
      <c r="AR51" s="106" t="s">
        <v>5</v>
      </c>
      <c r="AT51" s="106" t="s">
        <v>4</v>
      </c>
      <c r="AU51" s="106" t="s">
        <v>3</v>
      </c>
      <c r="AV51" s="106" t="s">
        <v>2</v>
      </c>
      <c r="AW51" s="106" t="s">
        <v>1</v>
      </c>
      <c r="AY51" s="108"/>
      <c r="AZ51" s="108"/>
      <c r="BB51" s="106"/>
    </row>
    <row r="52" spans="1:54" ht="27" customHeight="1" x14ac:dyDescent="0.3">
      <c r="A52" s="126"/>
      <c r="B52" s="134"/>
      <c r="C52" s="134"/>
      <c r="D52" s="117"/>
      <c r="E52" s="117"/>
      <c r="F52" s="31">
        <v>0</v>
      </c>
      <c r="G52" s="33">
        <v>0.06</v>
      </c>
      <c r="H52" s="32">
        <v>1000000</v>
      </c>
      <c r="I52" s="31">
        <v>1</v>
      </c>
      <c r="J52" s="32">
        <v>111000</v>
      </c>
      <c r="K52" s="31">
        <v>1</v>
      </c>
      <c r="L52" s="32">
        <v>500000</v>
      </c>
      <c r="M52" s="31">
        <v>7.0000000000000007E-2</v>
      </c>
      <c r="N52" s="32">
        <v>150000</v>
      </c>
      <c r="O52" s="31">
        <v>0</v>
      </c>
      <c r="P52" s="32">
        <v>0</v>
      </c>
      <c r="Q52" s="107"/>
      <c r="R52" s="107"/>
      <c r="S52" s="21"/>
      <c r="T52" s="31">
        <f>IF(C53="노트북",7%,IF(C53="저장&amp;주변기기",9%,IF(C53="모니터",7%)))</f>
        <v>7.0000000000000007E-2</v>
      </c>
      <c r="U52" s="31">
        <v>0</v>
      </c>
      <c r="V52" s="31">
        <v>0</v>
      </c>
      <c r="W52" s="31">
        <f>IF(G52=0%,20%,0%)</f>
        <v>0</v>
      </c>
      <c r="X52" s="30">
        <v>0</v>
      </c>
      <c r="Y52" s="30">
        <v>1</v>
      </c>
      <c r="Z52" s="53">
        <v>1</v>
      </c>
      <c r="AA52" s="29">
        <v>0.5</v>
      </c>
      <c r="AB52" s="107"/>
      <c r="AC52" s="107"/>
      <c r="AD52" s="107"/>
      <c r="AE52" s="107"/>
      <c r="AF52" s="107"/>
      <c r="AG52" s="117"/>
      <c r="AH52" s="119"/>
      <c r="AI52" s="121"/>
      <c r="AJ52" s="55" t="s">
        <v>52</v>
      </c>
      <c r="AK52" s="56">
        <f>AJ51-AK51</f>
        <v>2.873300051644001E-2</v>
      </c>
      <c r="AM52" s="107"/>
      <c r="AN52" s="107"/>
      <c r="AO52" s="107"/>
      <c r="AP52" s="107"/>
      <c r="AQ52" s="107"/>
      <c r="AR52" s="107"/>
      <c r="AS52" s="39"/>
      <c r="AT52" s="107"/>
      <c r="AU52" s="107"/>
      <c r="AV52" s="107"/>
      <c r="AW52" s="107"/>
      <c r="AY52" s="109"/>
      <c r="AZ52" s="109"/>
      <c r="BB52" s="107"/>
    </row>
    <row r="53" spans="1:54" ht="27" customHeight="1" x14ac:dyDescent="0.3">
      <c r="A53" s="28" t="s">
        <v>42</v>
      </c>
      <c r="B53" s="38" t="s">
        <v>35</v>
      </c>
      <c r="C53" s="27" t="s">
        <v>0</v>
      </c>
      <c r="D53" s="26">
        <v>4334604127</v>
      </c>
      <c r="E53" s="25">
        <v>5809000</v>
      </c>
      <c r="F53" s="24">
        <f>ROUNDDOWN(E53/(1-F52),-1)</f>
        <v>5809000</v>
      </c>
      <c r="G53" s="110">
        <f>ROUNDDOWN(IF(F53*G52&gt;H52,H52,F53*G52),-1)</f>
        <v>348540</v>
      </c>
      <c r="H53" s="111"/>
      <c r="I53" s="112">
        <f>ROUNDDOWN(IF(F53*I52&gt;J52,J52,F53*I52),-1)</f>
        <v>111000</v>
      </c>
      <c r="J53" s="113"/>
      <c r="K53" s="112">
        <f>ROUNDDOWN(IF(F53*K52&gt;L52,L52,F53*K52),-1)</f>
        <v>500000</v>
      </c>
      <c r="L53" s="113"/>
      <c r="M53" s="110">
        <f>ROUNDDOWN(IF(Q53*M52&gt;N52,N52,Q53*M52),-1)</f>
        <v>150000</v>
      </c>
      <c r="N53" s="111"/>
      <c r="O53" s="110">
        <f>ROUNDDOWN(IF(F53*O52&gt;P52,P52,F53*O52),-1)</f>
        <v>0</v>
      </c>
      <c r="P53" s="111"/>
      <c r="Q53" s="23">
        <f>F53-G53-I53-K53</f>
        <v>4849460</v>
      </c>
      <c r="R53" s="22">
        <f>F53-G53-I53-K53-M53-O53</f>
        <v>4699460</v>
      </c>
      <c r="S53" s="21"/>
      <c r="T53" s="20">
        <f>F53*T52</f>
        <v>406630.00000000006</v>
      </c>
      <c r="U53" s="20">
        <f>F53*U52</f>
        <v>0</v>
      </c>
      <c r="V53" s="20">
        <f>(F53-I53)*V52</f>
        <v>0</v>
      </c>
      <c r="W53" s="19">
        <f>(F53*F52)*W52</f>
        <v>0</v>
      </c>
      <c r="X53" s="19">
        <f>G53*X52</f>
        <v>0</v>
      </c>
      <c r="Y53" s="19">
        <f>I53*Y52</f>
        <v>111000</v>
      </c>
      <c r="Z53" s="19">
        <f>K53*Z52</f>
        <v>500000</v>
      </c>
      <c r="AA53" s="19">
        <f>M53*AA52</f>
        <v>75000</v>
      </c>
      <c r="AB53" s="19">
        <v>0</v>
      </c>
      <c r="AC53" s="16">
        <v>15000</v>
      </c>
      <c r="AD53" s="18">
        <f>F53-T53-U53-V53-W53-AA53-X53-Y53-Z53-AB53</f>
        <v>4716370</v>
      </c>
      <c r="AE53" s="18">
        <f>F53-T53-U53-V53-W53-X53-Y53-Z53-AA53-AB53-AC53</f>
        <v>4701370</v>
      </c>
      <c r="AF53" s="17">
        <f>AE53-AG53</f>
        <v>145370</v>
      </c>
      <c r="AG53" s="16">
        <v>4556000</v>
      </c>
      <c r="AH53" s="15">
        <f>AF53/AG53</f>
        <v>3.1907374890254608E-2</v>
      </c>
      <c r="AI53" s="14">
        <f>1-R53/(AG53-AM53-AN53-AO53)</f>
        <v>-6.660463004993189E-2</v>
      </c>
      <c r="AJ53" s="114">
        <f>(1-R53/F53)-(1-(AD53)/F53)</f>
        <v>2.9110001721466272E-3</v>
      </c>
      <c r="AK53" s="115"/>
      <c r="AM53" s="13">
        <v>150000</v>
      </c>
      <c r="AN53" s="12">
        <f>X53*AN52</f>
        <v>0</v>
      </c>
      <c r="AO53" s="12">
        <v>0</v>
      </c>
      <c r="AP53" s="12"/>
      <c r="AQ53" s="11">
        <f>AE53-(AG53-AM53-AN53-AO53-AP53)</f>
        <v>295370</v>
      </c>
      <c r="AR53" s="8">
        <f>AQ53/AG53</f>
        <v>6.4830992098331874E-2</v>
      </c>
      <c r="AT53" s="10">
        <v>0</v>
      </c>
      <c r="AU53" s="10">
        <v>0</v>
      </c>
      <c r="AV53" s="9">
        <f>AQ53-AT53-AU53</f>
        <v>295370</v>
      </c>
      <c r="AW53" s="8">
        <f>AV53/AG53</f>
        <v>6.4830992098331874E-2</v>
      </c>
      <c r="AY53" s="49"/>
      <c r="AZ53" s="50"/>
      <c r="BB53" s="6"/>
    </row>
    <row r="54" spans="1:54" x14ac:dyDescent="0.3">
      <c r="E54" s="5">
        <v>4899000</v>
      </c>
      <c r="F54" s="4">
        <f>ROUNDDOWN(E54/(1-F52),-1)</f>
        <v>4899000</v>
      </c>
      <c r="G54" s="105">
        <f>ROUNDDOWN(IF(F54*G52&gt;H52,H52,F54*G52),-1)</f>
        <v>293940</v>
      </c>
      <c r="H54" s="105"/>
      <c r="J54" s="54">
        <f>F53*4%</f>
        <v>232360</v>
      </c>
      <c r="R54" s="4">
        <v>4779840</v>
      </c>
      <c r="X54" s="3">
        <f>G54*X52</f>
        <v>0</v>
      </c>
      <c r="Y54" s="3"/>
      <c r="Z54" s="3"/>
    </row>
    <row r="55" spans="1:54" ht="27" customHeight="1" x14ac:dyDescent="0.3">
      <c r="A55" s="124" t="s">
        <v>34</v>
      </c>
      <c r="B55" s="135" t="s">
        <v>126</v>
      </c>
      <c r="C55" s="136"/>
      <c r="D55" s="136"/>
      <c r="E55" s="136"/>
      <c r="F55" s="136"/>
      <c r="G55" s="136"/>
      <c r="H55" s="136"/>
      <c r="I55" s="136"/>
      <c r="J55" s="136"/>
      <c r="K55" s="136"/>
      <c r="L55" s="136"/>
      <c r="M55" s="136"/>
      <c r="N55" s="136"/>
      <c r="O55" s="136"/>
      <c r="P55" s="136"/>
      <c r="Q55" s="136"/>
      <c r="R55" s="137"/>
      <c r="T55" s="130" t="s">
        <v>33</v>
      </c>
      <c r="U55" s="131"/>
      <c r="V55" s="131"/>
      <c r="W55" s="131"/>
      <c r="X55" s="131"/>
      <c r="Y55" s="131"/>
      <c r="Z55" s="131"/>
      <c r="AA55" s="131"/>
      <c r="AB55" s="131"/>
      <c r="AC55" s="131"/>
      <c r="AD55" s="131"/>
      <c r="AE55" s="131"/>
      <c r="AF55" s="131"/>
      <c r="AG55" s="131"/>
      <c r="AH55" s="132"/>
      <c r="AI55" s="37"/>
      <c r="AM55" s="130" t="s">
        <v>32</v>
      </c>
      <c r="AN55" s="131"/>
      <c r="AO55" s="131"/>
      <c r="AP55" s="131"/>
      <c r="AQ55" s="131"/>
      <c r="AR55" s="132"/>
      <c r="AT55" s="130" t="s">
        <v>31</v>
      </c>
      <c r="AU55" s="131"/>
      <c r="AV55" s="131"/>
      <c r="AW55" s="132"/>
      <c r="AY55" s="47" t="s">
        <v>36</v>
      </c>
      <c r="AZ55" s="48"/>
      <c r="BB55" s="36"/>
    </row>
    <row r="56" spans="1:54" ht="32.25" customHeight="1" x14ac:dyDescent="0.3">
      <c r="A56" s="125"/>
      <c r="B56" s="133" t="s">
        <v>30</v>
      </c>
      <c r="C56" s="133" t="s">
        <v>29</v>
      </c>
      <c r="D56" s="116" t="s">
        <v>28</v>
      </c>
      <c r="E56" s="116" t="s">
        <v>27</v>
      </c>
      <c r="F56" s="34" t="s">
        <v>26</v>
      </c>
      <c r="G56" s="122" t="s">
        <v>63</v>
      </c>
      <c r="H56" s="123"/>
      <c r="I56" s="122" t="s">
        <v>50</v>
      </c>
      <c r="J56" s="123"/>
      <c r="K56" s="122" t="s">
        <v>62</v>
      </c>
      <c r="L56" s="123"/>
      <c r="M56" s="122" t="s">
        <v>25</v>
      </c>
      <c r="N56" s="123"/>
      <c r="O56" s="122" t="s">
        <v>24</v>
      </c>
      <c r="P56" s="123"/>
      <c r="Q56" s="106" t="s">
        <v>23</v>
      </c>
      <c r="R56" s="106" t="s">
        <v>22</v>
      </c>
      <c r="S56" s="21"/>
      <c r="T56" s="34" t="s">
        <v>21</v>
      </c>
      <c r="U56" s="34" t="s">
        <v>20</v>
      </c>
      <c r="V56" s="34" t="s">
        <v>95</v>
      </c>
      <c r="W56" s="34" t="s">
        <v>19</v>
      </c>
      <c r="X56" s="34" t="s">
        <v>18</v>
      </c>
      <c r="Y56" s="34" t="s">
        <v>48</v>
      </c>
      <c r="Z56" s="34" t="s">
        <v>49</v>
      </c>
      <c r="AA56" s="34" t="s">
        <v>17</v>
      </c>
      <c r="AB56" s="106" t="s">
        <v>16</v>
      </c>
      <c r="AC56" s="106" t="s">
        <v>15</v>
      </c>
      <c r="AD56" s="106" t="s">
        <v>14</v>
      </c>
      <c r="AE56" s="106" t="s">
        <v>13</v>
      </c>
      <c r="AF56" s="106" t="s">
        <v>12</v>
      </c>
      <c r="AG56" s="116" t="s">
        <v>11</v>
      </c>
      <c r="AH56" s="118" t="s">
        <v>10</v>
      </c>
      <c r="AI56" s="120" t="s">
        <v>9</v>
      </c>
      <c r="AJ56" s="35">
        <f>(1-R58/F58)</f>
        <v>0.14869536988911225</v>
      </c>
      <c r="AK56" s="35">
        <f>1-(AD58+AM58)/F58</f>
        <v>0.13208723078533247</v>
      </c>
      <c r="AM56" s="106" t="s">
        <v>8</v>
      </c>
      <c r="AN56" s="106" t="s">
        <v>7</v>
      </c>
      <c r="AO56" s="106" t="s">
        <v>37</v>
      </c>
      <c r="AP56" s="106" t="s">
        <v>38</v>
      </c>
      <c r="AQ56" s="106" t="s">
        <v>6</v>
      </c>
      <c r="AR56" s="106" t="s">
        <v>5</v>
      </c>
      <c r="AT56" s="106" t="s">
        <v>4</v>
      </c>
      <c r="AU56" s="106" t="s">
        <v>3</v>
      </c>
      <c r="AV56" s="106" t="s">
        <v>2</v>
      </c>
      <c r="AW56" s="106" t="s">
        <v>1</v>
      </c>
      <c r="AY56" s="108"/>
      <c r="AZ56" s="108"/>
      <c r="BB56" s="106"/>
    </row>
    <row r="57" spans="1:54" ht="27" customHeight="1" x14ac:dyDescent="0.3">
      <c r="A57" s="126"/>
      <c r="B57" s="134"/>
      <c r="C57" s="134"/>
      <c r="D57" s="117"/>
      <c r="E57" s="117"/>
      <c r="F57" s="31">
        <v>0</v>
      </c>
      <c r="G57" s="33">
        <v>0.06</v>
      </c>
      <c r="H57" s="32">
        <v>1000000</v>
      </c>
      <c r="I57" s="31">
        <v>0</v>
      </c>
      <c r="J57" s="32">
        <v>0</v>
      </c>
      <c r="K57" s="31">
        <v>1</v>
      </c>
      <c r="L57" s="32">
        <v>500000</v>
      </c>
      <c r="M57" s="31">
        <v>0</v>
      </c>
      <c r="N57" s="32">
        <v>0</v>
      </c>
      <c r="O57" s="31">
        <v>0</v>
      </c>
      <c r="P57" s="32">
        <v>0</v>
      </c>
      <c r="Q57" s="107"/>
      <c r="R57" s="107"/>
      <c r="S57" s="21"/>
      <c r="T57" s="31">
        <f>IF(C58="노트북",7%,IF(C58="저장&amp;주변기기",9%,IF(C58="모니터",7%)))</f>
        <v>7.0000000000000007E-2</v>
      </c>
      <c r="U57" s="31">
        <v>0</v>
      </c>
      <c r="V57" s="31">
        <v>0</v>
      </c>
      <c r="W57" s="31">
        <f>IF(G57=0%,20%,0%)</f>
        <v>0</v>
      </c>
      <c r="X57" s="30">
        <v>0</v>
      </c>
      <c r="Y57" s="30">
        <v>1</v>
      </c>
      <c r="Z57" s="53">
        <v>1</v>
      </c>
      <c r="AA57" s="29">
        <v>0.5</v>
      </c>
      <c r="AB57" s="107"/>
      <c r="AC57" s="107"/>
      <c r="AD57" s="107"/>
      <c r="AE57" s="107"/>
      <c r="AF57" s="107"/>
      <c r="AG57" s="117"/>
      <c r="AH57" s="119"/>
      <c r="AI57" s="121"/>
      <c r="AJ57" s="55" t="s">
        <v>52</v>
      </c>
      <c r="AK57" s="56">
        <f>AJ56-AK56</f>
        <v>1.6608139103779784E-2</v>
      </c>
      <c r="AM57" s="107"/>
      <c r="AN57" s="107"/>
      <c r="AO57" s="107"/>
      <c r="AP57" s="107"/>
      <c r="AQ57" s="107"/>
      <c r="AR57" s="107"/>
      <c r="AS57" s="39"/>
      <c r="AT57" s="107"/>
      <c r="AU57" s="107"/>
      <c r="AV57" s="107"/>
      <c r="AW57" s="107"/>
      <c r="AY57" s="109"/>
      <c r="AZ57" s="109"/>
      <c r="BB57" s="107"/>
    </row>
    <row r="58" spans="1:54" ht="27" customHeight="1" x14ac:dyDescent="0.3">
      <c r="A58" s="28" t="s">
        <v>42</v>
      </c>
      <c r="B58" s="38" t="s">
        <v>35</v>
      </c>
      <c r="C58" s="27" t="s">
        <v>0</v>
      </c>
      <c r="D58" s="26">
        <v>4334604127</v>
      </c>
      <c r="E58" s="25">
        <v>5637230</v>
      </c>
      <c r="F58" s="24">
        <f>ROUNDDOWN(E58/(1-F57),-1)</f>
        <v>5637230</v>
      </c>
      <c r="G58" s="110">
        <f>ROUNDDOWN(IF(F58*G57&gt;H57,H57,F58*G57),-1)</f>
        <v>338230</v>
      </c>
      <c r="H58" s="111"/>
      <c r="I58" s="112">
        <f>ROUNDDOWN(IF(F58*I57&gt;J57,J57,F58*I57),-1)</f>
        <v>0</v>
      </c>
      <c r="J58" s="113"/>
      <c r="K58" s="112">
        <f>ROUNDDOWN(IF(F58*K57&gt;L57,L57,F58*K57),-1)</f>
        <v>500000</v>
      </c>
      <c r="L58" s="113"/>
      <c r="M58" s="110">
        <f>ROUNDDOWN(IF(Q58*M57&gt;N57,N57,Q58*M57),-1)</f>
        <v>0</v>
      </c>
      <c r="N58" s="111"/>
      <c r="O58" s="110">
        <f>ROUNDDOWN(IF(F58*O57&gt;P57,P57,F58*O57),-1)</f>
        <v>0</v>
      </c>
      <c r="P58" s="111"/>
      <c r="Q58" s="23">
        <f>F58-G58-I58-K58</f>
        <v>4799000</v>
      </c>
      <c r="R58" s="22">
        <f>F58-G58-I58-K58-M58-O58</f>
        <v>4799000</v>
      </c>
      <c r="S58" s="21"/>
      <c r="T58" s="20">
        <f>F58*T57</f>
        <v>394606.10000000003</v>
      </c>
      <c r="U58" s="20">
        <f>F58*U57</f>
        <v>0</v>
      </c>
      <c r="V58" s="20">
        <f>(F58-I58)*V57</f>
        <v>0</v>
      </c>
      <c r="W58" s="19">
        <f>(F58*F57)*W57</f>
        <v>0</v>
      </c>
      <c r="X58" s="19">
        <f>G58*X57</f>
        <v>0</v>
      </c>
      <c r="Y58" s="19">
        <f>I58*Y57</f>
        <v>0</v>
      </c>
      <c r="Z58" s="19">
        <f>K58*Z57</f>
        <v>500000</v>
      </c>
      <c r="AA58" s="19">
        <f>M58*AA57</f>
        <v>0</v>
      </c>
      <c r="AB58" s="19">
        <v>0</v>
      </c>
      <c r="AC58" s="16">
        <v>15000</v>
      </c>
      <c r="AD58" s="18">
        <f>F58-T58-U58-V58-W58-AA58-X58-Y58-Z58-AB58</f>
        <v>4742623.9000000004</v>
      </c>
      <c r="AE58" s="18">
        <f>F58-T58-U58-V58-W58-X58-Y58-Z58-AA58-AB58-AC58</f>
        <v>4727623.9000000004</v>
      </c>
      <c r="AF58" s="17">
        <f>AE58-AG58</f>
        <v>171623.90000000037</v>
      </c>
      <c r="AG58" s="16">
        <v>4556000</v>
      </c>
      <c r="AH58" s="15">
        <f>AF58/AG58</f>
        <v>3.7669863915715619E-2</v>
      </c>
      <c r="AI58" s="14">
        <f>1-R58/(AG58-AM58-AN58-AO58)</f>
        <v>-8.9196550158874288E-2</v>
      </c>
      <c r="AJ58" s="114">
        <f>(1-R58/F58)-(1-(AD58)/F58)</f>
        <v>-1.0000674089934103E-2</v>
      </c>
      <c r="AK58" s="115"/>
      <c r="AM58" s="13">
        <v>150000</v>
      </c>
      <c r="AN58" s="12">
        <f>X58*AN57</f>
        <v>0</v>
      </c>
      <c r="AO58" s="12">
        <v>0</v>
      </c>
      <c r="AP58" s="12"/>
      <c r="AQ58" s="11">
        <f>AE58-(AG58-AM58-AN58-AO58-AP58)</f>
        <v>321623.90000000037</v>
      </c>
      <c r="AR58" s="8">
        <f>AQ58/AG58</f>
        <v>7.0593481123792878E-2</v>
      </c>
      <c r="AT58" s="10">
        <v>0</v>
      </c>
      <c r="AU58" s="10">
        <v>0</v>
      </c>
      <c r="AV58" s="9">
        <f>AQ58-AT58-AU58</f>
        <v>321623.90000000037</v>
      </c>
      <c r="AW58" s="8">
        <f>AV58/AG58</f>
        <v>7.0593481123792878E-2</v>
      </c>
      <c r="AY58" s="49"/>
      <c r="AZ58" s="50"/>
      <c r="BB58" s="6"/>
    </row>
    <row r="59" spans="1:54" x14ac:dyDescent="0.3">
      <c r="E59" s="5">
        <v>4899000</v>
      </c>
      <c r="F59" s="4">
        <f>ROUNDDOWN(E59/(1-F57),-1)</f>
        <v>4899000</v>
      </c>
      <c r="G59" s="105">
        <f>ROUNDDOWN(IF(F59*G57&gt;H57,H57,F59*G57),-1)</f>
        <v>293940</v>
      </c>
      <c r="H59" s="105"/>
      <c r="J59" s="54">
        <f>F58*4%</f>
        <v>225489.2</v>
      </c>
      <c r="R59" s="4">
        <v>4779840</v>
      </c>
      <c r="X59" s="3">
        <f>G59*X57</f>
        <v>0</v>
      </c>
      <c r="Y59" s="3"/>
      <c r="Z59" s="3"/>
    </row>
    <row r="60" spans="1:54" x14ac:dyDescent="0.3">
      <c r="E60" s="5"/>
      <c r="F60" s="4"/>
      <c r="G60" s="42"/>
      <c r="H60" s="42"/>
      <c r="J60" s="54"/>
      <c r="R60" s="4"/>
      <c r="X60" s="3"/>
      <c r="Y60" s="3"/>
      <c r="Z60" s="3"/>
    </row>
    <row r="61" spans="1:54" x14ac:dyDescent="0.3">
      <c r="E61" s="5"/>
      <c r="F61" s="4"/>
      <c r="G61" s="42"/>
      <c r="H61" s="42"/>
      <c r="J61" s="54"/>
      <c r="R61" s="4"/>
      <c r="X61" s="3"/>
      <c r="Y61" s="3"/>
      <c r="Z61" s="3"/>
    </row>
    <row r="62" spans="1:54" x14ac:dyDescent="0.3">
      <c r="E62" s="5"/>
      <c r="F62" s="4"/>
      <c r="G62" s="42"/>
      <c r="H62" s="42"/>
      <c r="J62" s="54"/>
      <c r="X62" s="3"/>
      <c r="Y62" s="3"/>
      <c r="Z62" s="3"/>
    </row>
    <row r="63" spans="1:54" s="93" customFormat="1" ht="19.5" x14ac:dyDescent="0.3">
      <c r="A63" s="90" t="s">
        <v>101</v>
      </c>
      <c r="B63" s="91"/>
      <c r="C63" s="91"/>
      <c r="D63" s="91"/>
      <c r="E63" s="92"/>
      <c r="AH63" s="94"/>
      <c r="AI63" s="94"/>
      <c r="AJ63" s="94"/>
      <c r="AK63" s="94"/>
    </row>
    <row r="64" spans="1:54" x14ac:dyDescent="0.3">
      <c r="A64" s="43"/>
      <c r="B64" s="43"/>
      <c r="C64" s="43"/>
      <c r="D64" s="43"/>
      <c r="E64" s="5"/>
    </row>
    <row r="65" spans="1:54" ht="27" customHeight="1" x14ac:dyDescent="0.3">
      <c r="A65" s="124" t="s">
        <v>34</v>
      </c>
      <c r="B65" s="127" t="s">
        <v>125</v>
      </c>
      <c r="C65" s="128"/>
      <c r="D65" s="128"/>
      <c r="E65" s="128"/>
      <c r="F65" s="128"/>
      <c r="G65" s="128"/>
      <c r="H65" s="128"/>
      <c r="I65" s="128"/>
      <c r="J65" s="128"/>
      <c r="K65" s="128"/>
      <c r="L65" s="128"/>
      <c r="M65" s="128"/>
      <c r="N65" s="128"/>
      <c r="O65" s="128"/>
      <c r="P65" s="128"/>
      <c r="Q65" s="128"/>
      <c r="R65" s="129"/>
      <c r="T65" s="130" t="s">
        <v>33</v>
      </c>
      <c r="U65" s="131"/>
      <c r="V65" s="131"/>
      <c r="W65" s="131"/>
      <c r="X65" s="131"/>
      <c r="Y65" s="131"/>
      <c r="Z65" s="131"/>
      <c r="AA65" s="131"/>
      <c r="AB65" s="131"/>
      <c r="AC65" s="131"/>
      <c r="AD65" s="131"/>
      <c r="AE65" s="131"/>
      <c r="AF65" s="131"/>
      <c r="AG65" s="131"/>
      <c r="AH65" s="132"/>
      <c r="AI65" s="37"/>
      <c r="AM65" s="130" t="s">
        <v>32</v>
      </c>
      <c r="AN65" s="131"/>
      <c r="AO65" s="131"/>
      <c r="AP65" s="131"/>
      <c r="AQ65" s="131"/>
      <c r="AR65" s="132"/>
      <c r="AT65" s="130" t="s">
        <v>31</v>
      </c>
      <c r="AU65" s="131"/>
      <c r="AV65" s="131"/>
      <c r="AW65" s="132"/>
      <c r="AY65" s="47" t="s">
        <v>36</v>
      </c>
      <c r="AZ65" s="48"/>
      <c r="BB65" s="36"/>
    </row>
    <row r="66" spans="1:54" ht="32.25" customHeight="1" x14ac:dyDescent="0.3">
      <c r="A66" s="125"/>
      <c r="B66" s="133" t="s">
        <v>30</v>
      </c>
      <c r="C66" s="133" t="s">
        <v>29</v>
      </c>
      <c r="D66" s="116" t="s">
        <v>28</v>
      </c>
      <c r="E66" s="116" t="s">
        <v>27</v>
      </c>
      <c r="F66" s="34" t="s">
        <v>26</v>
      </c>
      <c r="G66" s="122" t="s">
        <v>63</v>
      </c>
      <c r="H66" s="123"/>
      <c r="I66" s="122" t="s">
        <v>50</v>
      </c>
      <c r="J66" s="123"/>
      <c r="K66" s="122" t="s">
        <v>62</v>
      </c>
      <c r="L66" s="123"/>
      <c r="M66" s="122" t="s">
        <v>25</v>
      </c>
      <c r="N66" s="123"/>
      <c r="O66" s="122" t="s">
        <v>24</v>
      </c>
      <c r="P66" s="123"/>
      <c r="Q66" s="106" t="s">
        <v>23</v>
      </c>
      <c r="R66" s="106" t="s">
        <v>22</v>
      </c>
      <c r="S66" s="21"/>
      <c r="T66" s="34" t="s">
        <v>21</v>
      </c>
      <c r="U66" s="34" t="s">
        <v>20</v>
      </c>
      <c r="V66" s="34" t="s">
        <v>95</v>
      </c>
      <c r="W66" s="34" t="s">
        <v>19</v>
      </c>
      <c r="X66" s="34" t="s">
        <v>18</v>
      </c>
      <c r="Y66" s="34" t="s">
        <v>48</v>
      </c>
      <c r="Z66" s="34" t="s">
        <v>49</v>
      </c>
      <c r="AA66" s="34" t="s">
        <v>17</v>
      </c>
      <c r="AB66" s="106" t="s">
        <v>16</v>
      </c>
      <c r="AC66" s="106" t="s">
        <v>15</v>
      </c>
      <c r="AD66" s="106" t="s">
        <v>14</v>
      </c>
      <c r="AE66" s="106" t="s">
        <v>13</v>
      </c>
      <c r="AF66" s="106" t="s">
        <v>12</v>
      </c>
      <c r="AG66" s="116" t="s">
        <v>11</v>
      </c>
      <c r="AH66" s="118" t="s">
        <v>10</v>
      </c>
      <c r="AI66" s="120" t="s">
        <v>9</v>
      </c>
      <c r="AJ66" s="35">
        <f>(1-R68/F68)</f>
        <v>0.1594347006812582</v>
      </c>
      <c r="AK66" s="35">
        <f>1-(AD68+AM68)/F68</f>
        <v>0.15131611827801139</v>
      </c>
      <c r="AM66" s="106" t="s">
        <v>8</v>
      </c>
      <c r="AN66" s="106" t="s">
        <v>7</v>
      </c>
      <c r="AO66" s="106" t="s">
        <v>37</v>
      </c>
      <c r="AP66" s="106" t="s">
        <v>38</v>
      </c>
      <c r="AQ66" s="106" t="s">
        <v>6</v>
      </c>
      <c r="AR66" s="106" t="s">
        <v>5</v>
      </c>
      <c r="AT66" s="106" t="s">
        <v>4</v>
      </c>
      <c r="AU66" s="106" t="s">
        <v>3</v>
      </c>
      <c r="AV66" s="106" t="s">
        <v>2</v>
      </c>
      <c r="AW66" s="106" t="s">
        <v>1</v>
      </c>
      <c r="AY66" s="108"/>
      <c r="AZ66" s="108"/>
      <c r="BB66" s="106"/>
    </row>
    <row r="67" spans="1:54" ht="27" customHeight="1" x14ac:dyDescent="0.3">
      <c r="A67" s="126"/>
      <c r="B67" s="134"/>
      <c r="C67" s="134"/>
      <c r="D67" s="117"/>
      <c r="E67" s="117"/>
      <c r="F67" s="31">
        <v>0</v>
      </c>
      <c r="G67" s="33">
        <v>0.06</v>
      </c>
      <c r="H67" s="32">
        <v>1000000</v>
      </c>
      <c r="I67" s="31">
        <v>1</v>
      </c>
      <c r="J67" s="32">
        <v>236000</v>
      </c>
      <c r="K67" s="31">
        <v>1</v>
      </c>
      <c r="L67" s="32">
        <v>300000</v>
      </c>
      <c r="M67" s="31">
        <v>7.0000000000000007E-2</v>
      </c>
      <c r="N67" s="32">
        <v>150000</v>
      </c>
      <c r="O67" s="31">
        <v>0</v>
      </c>
      <c r="P67" s="32">
        <v>0</v>
      </c>
      <c r="Q67" s="107"/>
      <c r="R67" s="107"/>
      <c r="S67" s="21"/>
      <c r="T67" s="31">
        <f>IF(C68="노트북",7%,IF(C68="저장&amp;주변기기",9%,IF(C68="모니터",7%)))</f>
        <v>7.0000000000000007E-2</v>
      </c>
      <c r="U67" s="31">
        <v>0</v>
      </c>
      <c r="V67" s="31">
        <v>0</v>
      </c>
      <c r="W67" s="31">
        <f>IF(G67=0%,20%,0%)</f>
        <v>0</v>
      </c>
      <c r="X67" s="30">
        <v>0</v>
      </c>
      <c r="Y67" s="30">
        <v>1</v>
      </c>
      <c r="Z67" s="53">
        <v>0.83333299999999999</v>
      </c>
      <c r="AA67" s="29">
        <v>0.5</v>
      </c>
      <c r="AB67" s="107"/>
      <c r="AC67" s="107"/>
      <c r="AD67" s="107"/>
      <c r="AE67" s="107"/>
      <c r="AF67" s="107"/>
      <c r="AG67" s="117"/>
      <c r="AH67" s="119"/>
      <c r="AI67" s="121"/>
      <c r="AJ67" s="55" t="s">
        <v>52</v>
      </c>
      <c r="AK67" s="56">
        <f>AJ66-AK66</f>
        <v>8.1185824032468101E-3</v>
      </c>
      <c r="AM67" s="107"/>
      <c r="AN67" s="107"/>
      <c r="AO67" s="107"/>
      <c r="AP67" s="107"/>
      <c r="AQ67" s="107"/>
      <c r="AR67" s="107"/>
      <c r="AS67" s="39"/>
      <c r="AT67" s="107"/>
      <c r="AU67" s="117"/>
      <c r="AV67" s="107"/>
      <c r="AW67" s="107"/>
      <c r="AY67" s="109"/>
      <c r="AZ67" s="109"/>
      <c r="BB67" s="107"/>
    </row>
    <row r="68" spans="1:54" ht="27" customHeight="1" x14ac:dyDescent="0.3">
      <c r="A68" s="28" t="s">
        <v>93</v>
      </c>
      <c r="B68" s="38" t="s">
        <v>35</v>
      </c>
      <c r="C68" s="27" t="s">
        <v>0</v>
      </c>
      <c r="D68" s="26">
        <v>4660412701</v>
      </c>
      <c r="E68" s="25">
        <v>6899000</v>
      </c>
      <c r="F68" s="24">
        <f>ROUNDDOWN(E68/(1-F67),-1)</f>
        <v>6899000</v>
      </c>
      <c r="G68" s="110">
        <f>ROUNDDOWN(IF(F68*G67&gt;H67,H67,F68*G67),-1)</f>
        <v>413940</v>
      </c>
      <c r="H68" s="111"/>
      <c r="I68" s="112">
        <f>ROUNDDOWN(IF(F68*I67&gt;J67,J67,F68*I67),-1)</f>
        <v>236000</v>
      </c>
      <c r="J68" s="113"/>
      <c r="K68" s="112">
        <f>ROUNDDOWN(IF(F68*K67&gt;L67,L67,F68*K67),-1)</f>
        <v>300000</v>
      </c>
      <c r="L68" s="113"/>
      <c r="M68" s="110">
        <f>ROUNDDOWN(IF(Q68*M67&gt;N67,N67,Q68*M67),-1)</f>
        <v>150000</v>
      </c>
      <c r="N68" s="111"/>
      <c r="O68" s="110">
        <f>ROUNDDOWN(IF(F68*O67&gt;P67,P67,F68*O67),-1)</f>
        <v>0</v>
      </c>
      <c r="P68" s="111"/>
      <c r="Q68" s="23">
        <f>F68-G68-I68-K68</f>
        <v>5949060</v>
      </c>
      <c r="R68" s="22">
        <f>F68-G68-I68-K68-M68-O68</f>
        <v>5799060</v>
      </c>
      <c r="S68" s="21"/>
      <c r="T68" s="20">
        <f>F68*T67</f>
        <v>482930.00000000006</v>
      </c>
      <c r="U68" s="20">
        <f>F68*U67</f>
        <v>0</v>
      </c>
      <c r="V68" s="20">
        <f>(F68-I68)*V67</f>
        <v>0</v>
      </c>
      <c r="W68" s="19">
        <f>(F68*F67)*W67</f>
        <v>0</v>
      </c>
      <c r="X68" s="19">
        <f>G68*X67</f>
        <v>0</v>
      </c>
      <c r="Y68" s="19">
        <f>I68*Y67</f>
        <v>236000</v>
      </c>
      <c r="Z68" s="19">
        <f>K68*Z67</f>
        <v>249999.9</v>
      </c>
      <c r="AA68" s="19">
        <f>M68*AA67</f>
        <v>75000</v>
      </c>
      <c r="AB68" s="19">
        <v>0</v>
      </c>
      <c r="AC68" s="16">
        <v>15000</v>
      </c>
      <c r="AD68" s="18">
        <f>F68-T68-U68-V68-W68-AA68-X68-Y68-Z68-AB68</f>
        <v>5855070.0999999996</v>
      </c>
      <c r="AE68" s="18">
        <f>F68-T68-U68-V68-W68-X68-Y68-Z68-AA68-AB68-AC68</f>
        <v>5840070.0999999996</v>
      </c>
      <c r="AF68" s="17">
        <f>AE68-AG68</f>
        <v>346070.09999999963</v>
      </c>
      <c r="AG68" s="16">
        <v>5494000</v>
      </c>
      <c r="AH68" s="15">
        <f>AF68/AG68</f>
        <v>6.2990553330906376E-2</v>
      </c>
      <c r="AI68" s="14">
        <f>1-R68/(AG68-AM68-AN68-AO68)</f>
        <v>-5.5526028394612403E-2</v>
      </c>
      <c r="AJ68" s="114">
        <f>(1-R68/F68)-(1-(AD68)/F68)</f>
        <v>8.1185824032468101E-3</v>
      </c>
      <c r="AK68" s="115"/>
      <c r="AM68" s="13">
        <v>0</v>
      </c>
      <c r="AN68" s="12">
        <f>X68*AN67</f>
        <v>0</v>
      </c>
      <c r="AO68" s="12">
        <v>0</v>
      </c>
      <c r="AP68" s="12"/>
      <c r="AQ68" s="11">
        <f>AE68-(AG68-AM68-AN68-AO68-AP68)</f>
        <v>346070.09999999963</v>
      </c>
      <c r="AR68" s="8">
        <f>AQ68/AG68</f>
        <v>6.2990553330906376E-2</v>
      </c>
      <c r="AT68" s="10">
        <v>0</v>
      </c>
      <c r="AU68" s="10">
        <v>0</v>
      </c>
      <c r="AV68" s="9">
        <f>AQ68-AT68-AU68</f>
        <v>346070.09999999963</v>
      </c>
      <c r="AW68" s="8">
        <f>AV68/AG68</f>
        <v>6.2990553330906376E-2</v>
      </c>
      <c r="AY68" s="49"/>
      <c r="AZ68" s="50"/>
      <c r="BB68" s="6"/>
    </row>
    <row r="69" spans="1:54" x14ac:dyDescent="0.3">
      <c r="E69" s="5">
        <v>5999000</v>
      </c>
      <c r="F69" s="4">
        <f>ROUNDDOWN(E69/(1-F67),-1)</f>
        <v>5999000</v>
      </c>
      <c r="G69" s="138">
        <f>ROUNDDOWN(IF(F69*G67&gt;H67,H67,F69*G67),-1)</f>
        <v>359940</v>
      </c>
      <c r="H69" s="138"/>
      <c r="J69" s="54">
        <f>F68*4%</f>
        <v>275960</v>
      </c>
      <c r="R69" s="4">
        <v>4779840</v>
      </c>
      <c r="X69" s="3">
        <f>G69*X67</f>
        <v>0</v>
      </c>
      <c r="Y69" s="3"/>
      <c r="Z69" s="3"/>
    </row>
    <row r="70" spans="1:54" ht="27" customHeight="1" x14ac:dyDescent="0.3">
      <c r="A70" s="124" t="s">
        <v>34</v>
      </c>
      <c r="B70" s="135" t="s">
        <v>126</v>
      </c>
      <c r="C70" s="136"/>
      <c r="D70" s="136"/>
      <c r="E70" s="136"/>
      <c r="F70" s="136"/>
      <c r="G70" s="136"/>
      <c r="H70" s="136"/>
      <c r="I70" s="136"/>
      <c r="J70" s="136"/>
      <c r="K70" s="136"/>
      <c r="L70" s="136"/>
      <c r="M70" s="136"/>
      <c r="N70" s="136"/>
      <c r="O70" s="136"/>
      <c r="P70" s="136"/>
      <c r="Q70" s="136"/>
      <c r="R70" s="137"/>
      <c r="T70" s="130" t="s">
        <v>33</v>
      </c>
      <c r="U70" s="131"/>
      <c r="V70" s="131"/>
      <c r="W70" s="131"/>
      <c r="X70" s="131"/>
      <c r="Y70" s="131"/>
      <c r="Z70" s="131"/>
      <c r="AA70" s="131"/>
      <c r="AB70" s="131"/>
      <c r="AC70" s="131"/>
      <c r="AD70" s="131"/>
      <c r="AE70" s="131"/>
      <c r="AF70" s="131"/>
      <c r="AG70" s="131"/>
      <c r="AH70" s="132"/>
      <c r="AI70" s="37"/>
      <c r="AM70" s="130" t="s">
        <v>32</v>
      </c>
      <c r="AN70" s="131"/>
      <c r="AO70" s="131"/>
      <c r="AP70" s="131"/>
      <c r="AQ70" s="131"/>
      <c r="AR70" s="132"/>
      <c r="AT70" s="130" t="s">
        <v>31</v>
      </c>
      <c r="AU70" s="131"/>
      <c r="AV70" s="131"/>
      <c r="AW70" s="132"/>
      <c r="AY70" s="47" t="s">
        <v>36</v>
      </c>
      <c r="AZ70" s="48"/>
      <c r="BB70" s="36"/>
    </row>
    <row r="71" spans="1:54" ht="32.25" customHeight="1" x14ac:dyDescent="0.3">
      <c r="A71" s="125"/>
      <c r="B71" s="133" t="s">
        <v>30</v>
      </c>
      <c r="C71" s="133" t="s">
        <v>29</v>
      </c>
      <c r="D71" s="116" t="s">
        <v>28</v>
      </c>
      <c r="E71" s="116" t="s">
        <v>27</v>
      </c>
      <c r="F71" s="34" t="s">
        <v>26</v>
      </c>
      <c r="G71" s="122" t="s">
        <v>63</v>
      </c>
      <c r="H71" s="123"/>
      <c r="I71" s="122" t="s">
        <v>50</v>
      </c>
      <c r="J71" s="123"/>
      <c r="K71" s="122" t="s">
        <v>62</v>
      </c>
      <c r="L71" s="123"/>
      <c r="M71" s="122" t="s">
        <v>25</v>
      </c>
      <c r="N71" s="123"/>
      <c r="O71" s="122" t="s">
        <v>24</v>
      </c>
      <c r="P71" s="123"/>
      <c r="Q71" s="106" t="s">
        <v>23</v>
      </c>
      <c r="R71" s="106" t="s">
        <v>22</v>
      </c>
      <c r="S71" s="21"/>
      <c r="T71" s="34" t="s">
        <v>21</v>
      </c>
      <c r="U71" s="34" t="s">
        <v>20</v>
      </c>
      <c r="V71" s="34" t="s">
        <v>95</v>
      </c>
      <c r="W71" s="34" t="s">
        <v>19</v>
      </c>
      <c r="X71" s="34" t="s">
        <v>18</v>
      </c>
      <c r="Y71" s="34" t="s">
        <v>48</v>
      </c>
      <c r="Z71" s="34" t="s">
        <v>49</v>
      </c>
      <c r="AA71" s="34" t="s">
        <v>17</v>
      </c>
      <c r="AB71" s="106" t="s">
        <v>16</v>
      </c>
      <c r="AC71" s="106" t="s">
        <v>15</v>
      </c>
      <c r="AD71" s="106" t="s">
        <v>14</v>
      </c>
      <c r="AE71" s="106" t="s">
        <v>13</v>
      </c>
      <c r="AF71" s="106" t="s">
        <v>12</v>
      </c>
      <c r="AG71" s="116" t="s">
        <v>11</v>
      </c>
      <c r="AH71" s="118" t="s">
        <v>10</v>
      </c>
      <c r="AI71" s="120" t="s">
        <v>9</v>
      </c>
      <c r="AJ71" s="35">
        <f>(1-R73/F73)</f>
        <v>0.10549109282027336</v>
      </c>
      <c r="AK71" s="35">
        <f>1-(AD73+AM73)/F73</f>
        <v>0.10790932994474334</v>
      </c>
      <c r="AM71" s="106" t="s">
        <v>8</v>
      </c>
      <c r="AN71" s="106" t="s">
        <v>7</v>
      </c>
      <c r="AO71" s="106" t="s">
        <v>37</v>
      </c>
      <c r="AP71" s="106" t="s">
        <v>38</v>
      </c>
      <c r="AQ71" s="106" t="s">
        <v>6</v>
      </c>
      <c r="AR71" s="106" t="s">
        <v>5</v>
      </c>
      <c r="AT71" s="106" t="s">
        <v>4</v>
      </c>
      <c r="AU71" s="106" t="s">
        <v>3</v>
      </c>
      <c r="AV71" s="106" t="s">
        <v>2</v>
      </c>
      <c r="AW71" s="106" t="s">
        <v>1</v>
      </c>
      <c r="AY71" s="108"/>
      <c r="AZ71" s="108"/>
      <c r="BB71" s="106"/>
    </row>
    <row r="72" spans="1:54" ht="27" customHeight="1" x14ac:dyDescent="0.3">
      <c r="A72" s="126"/>
      <c r="B72" s="134"/>
      <c r="C72" s="134"/>
      <c r="D72" s="117"/>
      <c r="E72" s="117"/>
      <c r="F72" s="31">
        <v>0</v>
      </c>
      <c r="G72" s="33">
        <v>0.06</v>
      </c>
      <c r="H72" s="32">
        <v>1000000</v>
      </c>
      <c r="I72" s="31">
        <v>0</v>
      </c>
      <c r="J72" s="32">
        <v>0</v>
      </c>
      <c r="K72" s="31">
        <v>1</v>
      </c>
      <c r="L72" s="32">
        <v>300000</v>
      </c>
      <c r="M72" s="31">
        <v>0</v>
      </c>
      <c r="N72" s="32">
        <v>0</v>
      </c>
      <c r="O72" s="31">
        <v>0</v>
      </c>
      <c r="P72" s="32">
        <v>0</v>
      </c>
      <c r="Q72" s="107"/>
      <c r="R72" s="107"/>
      <c r="S72" s="21"/>
      <c r="T72" s="31">
        <f>IF(C73="노트북",7%,IF(C73="저장&amp;주변기기",9%,IF(C73="모니터",7%)))</f>
        <v>7.0000000000000007E-2</v>
      </c>
      <c r="U72" s="31">
        <v>0</v>
      </c>
      <c r="V72" s="31">
        <v>0</v>
      </c>
      <c r="W72" s="31">
        <f>IF(G72=0%,20%,0%)</f>
        <v>0</v>
      </c>
      <c r="X72" s="30">
        <v>0</v>
      </c>
      <c r="Y72" s="30">
        <v>1</v>
      </c>
      <c r="Z72" s="53">
        <v>0.83333299999999999</v>
      </c>
      <c r="AA72" s="29">
        <v>0.5</v>
      </c>
      <c r="AB72" s="107"/>
      <c r="AC72" s="107"/>
      <c r="AD72" s="107"/>
      <c r="AE72" s="107"/>
      <c r="AF72" s="107"/>
      <c r="AG72" s="117"/>
      <c r="AH72" s="119"/>
      <c r="AI72" s="121"/>
      <c r="AJ72" s="55" t="s">
        <v>52</v>
      </c>
      <c r="AK72" s="56">
        <f>AJ71-AK71</f>
        <v>-2.4182371244699796E-3</v>
      </c>
      <c r="AM72" s="107"/>
      <c r="AN72" s="107"/>
      <c r="AO72" s="107"/>
      <c r="AP72" s="107"/>
      <c r="AQ72" s="107"/>
      <c r="AR72" s="107"/>
      <c r="AS72" s="39"/>
      <c r="AT72" s="107"/>
      <c r="AU72" s="117"/>
      <c r="AV72" s="107"/>
      <c r="AW72" s="107"/>
      <c r="AY72" s="109"/>
      <c r="AZ72" s="109"/>
      <c r="BB72" s="107"/>
    </row>
    <row r="73" spans="1:54" ht="27" customHeight="1" x14ac:dyDescent="0.3">
      <c r="A73" s="28" t="s">
        <v>93</v>
      </c>
      <c r="B73" s="38" t="s">
        <v>35</v>
      </c>
      <c r="C73" s="27" t="s">
        <v>0</v>
      </c>
      <c r="D73" s="26">
        <v>4660412701</v>
      </c>
      <c r="E73" s="25">
        <v>6594680</v>
      </c>
      <c r="F73" s="24">
        <f>ROUNDDOWN(E73/(1-F72),-1)</f>
        <v>6594680</v>
      </c>
      <c r="G73" s="110">
        <f>ROUNDDOWN(IF(F73*G72&gt;H72,H72,F73*G72),-1)</f>
        <v>395680</v>
      </c>
      <c r="H73" s="111"/>
      <c r="I73" s="112">
        <f>ROUNDDOWN(IF(F73*I72&gt;J72,J72,F73*I72),-1)</f>
        <v>0</v>
      </c>
      <c r="J73" s="113"/>
      <c r="K73" s="112">
        <f>ROUNDDOWN(IF(F73*K72&gt;L72,L72,F73*K72),-1)</f>
        <v>300000</v>
      </c>
      <c r="L73" s="113"/>
      <c r="M73" s="110">
        <f>ROUNDDOWN(IF(Q73*M72&gt;N72,N72,Q73*M72),-1)</f>
        <v>0</v>
      </c>
      <c r="N73" s="111"/>
      <c r="O73" s="110">
        <f>ROUNDDOWN(IF(F73*O72&gt;P72,P72,F73*O72),-1)</f>
        <v>0</v>
      </c>
      <c r="P73" s="111"/>
      <c r="Q73" s="23">
        <f>F73-G73-I73-K73</f>
        <v>5899000</v>
      </c>
      <c r="R73" s="22">
        <f>F73-G73-I73-K73-M73-O73</f>
        <v>5899000</v>
      </c>
      <c r="S73" s="21"/>
      <c r="T73" s="20">
        <f>F73*T72</f>
        <v>461627.60000000003</v>
      </c>
      <c r="U73" s="20">
        <f>F73*U72</f>
        <v>0</v>
      </c>
      <c r="V73" s="20">
        <f>(F73-I73)*V72</f>
        <v>0</v>
      </c>
      <c r="W73" s="19">
        <f>(F73*F72)*W72</f>
        <v>0</v>
      </c>
      <c r="X73" s="19">
        <f>G73*X72</f>
        <v>0</v>
      </c>
      <c r="Y73" s="19">
        <f>I73*Y72</f>
        <v>0</v>
      </c>
      <c r="Z73" s="19">
        <f>K73*Z72</f>
        <v>249999.9</v>
      </c>
      <c r="AA73" s="19">
        <f>M73*AA72</f>
        <v>0</v>
      </c>
      <c r="AB73" s="19">
        <v>0</v>
      </c>
      <c r="AC73" s="16">
        <v>15000</v>
      </c>
      <c r="AD73" s="18">
        <f>F73-T73-U73-V73-W73-AA73-X73-Y73-Z73-AB73</f>
        <v>5883052.5</v>
      </c>
      <c r="AE73" s="18">
        <f>F73-T73-U73-V73-W73-X73-Y73-Z73-AA73-AB73-AC73</f>
        <v>5868052.5</v>
      </c>
      <c r="AF73" s="17">
        <f>AE73-AG73</f>
        <v>374052.5</v>
      </c>
      <c r="AG73" s="16">
        <v>5494000</v>
      </c>
      <c r="AH73" s="15">
        <f>AF73/AG73</f>
        <v>6.8083818711321437E-2</v>
      </c>
      <c r="AI73" s="14">
        <f>1-R73/(AG73-AM73-AN73-AO73)</f>
        <v>-7.3716781943938825E-2</v>
      </c>
      <c r="AJ73" s="114">
        <f>(1-R73/F73)-(1-(AD73)/F73)</f>
        <v>-2.4182371244699796E-3</v>
      </c>
      <c r="AK73" s="115"/>
      <c r="AM73" s="13">
        <v>0</v>
      </c>
      <c r="AN73" s="12">
        <f>X73*AN72</f>
        <v>0</v>
      </c>
      <c r="AO73" s="12">
        <v>0</v>
      </c>
      <c r="AP73" s="12"/>
      <c r="AQ73" s="11">
        <f>AE73-(AG73-AM73-AN73-AO73-AP73)</f>
        <v>374052.5</v>
      </c>
      <c r="AR73" s="8">
        <f>AQ73/AG73</f>
        <v>6.8083818711321437E-2</v>
      </c>
      <c r="AT73" s="10">
        <v>0</v>
      </c>
      <c r="AU73" s="10">
        <v>0</v>
      </c>
      <c r="AV73" s="9">
        <f>AQ73-AT73-AU73</f>
        <v>374052.5</v>
      </c>
      <c r="AW73" s="8">
        <f>AV73/AG73</f>
        <v>6.8083818711321437E-2</v>
      </c>
      <c r="AY73" s="49"/>
      <c r="AZ73" s="50"/>
      <c r="BB73" s="6"/>
    </row>
    <row r="74" spans="1:54" x14ac:dyDescent="0.3">
      <c r="E74" s="5">
        <v>5999000</v>
      </c>
      <c r="F74" s="4">
        <f>ROUNDDOWN(E74/(1-F72),-1)</f>
        <v>5999000</v>
      </c>
      <c r="G74" s="138">
        <f>ROUNDDOWN(IF(F74*G72&gt;H72,H72,F74*G72),-1)</f>
        <v>359940</v>
      </c>
      <c r="H74" s="138"/>
      <c r="J74" s="54">
        <f>F73*4%</f>
        <v>263787.2</v>
      </c>
      <c r="R74" s="4">
        <v>4779840</v>
      </c>
      <c r="X74" s="3">
        <f>G74*X72</f>
        <v>0</v>
      </c>
      <c r="Y74" s="3"/>
      <c r="Z74" s="3"/>
    </row>
    <row r="75" spans="1:54" x14ac:dyDescent="0.3">
      <c r="E75" s="5"/>
      <c r="F75" s="4"/>
      <c r="G75" s="89"/>
      <c r="H75" s="89"/>
      <c r="J75" s="54"/>
      <c r="R75" s="4"/>
      <c r="X75" s="3"/>
      <c r="Y75" s="3"/>
      <c r="Z75" s="3"/>
    </row>
    <row r="76" spans="1:54" x14ac:dyDescent="0.3">
      <c r="E76" s="5"/>
      <c r="F76" s="4"/>
      <c r="G76" s="54"/>
      <c r="H76" s="54"/>
      <c r="J76" s="54"/>
      <c r="R76" s="4"/>
      <c r="X76" s="3"/>
      <c r="Y76" s="3"/>
      <c r="Z76" s="3"/>
    </row>
    <row r="77" spans="1:54" ht="27" customHeight="1" x14ac:dyDescent="0.3">
      <c r="A77" s="124" t="s">
        <v>34</v>
      </c>
      <c r="B77" s="127" t="s">
        <v>125</v>
      </c>
      <c r="C77" s="128"/>
      <c r="D77" s="128"/>
      <c r="E77" s="128"/>
      <c r="F77" s="128"/>
      <c r="G77" s="128"/>
      <c r="H77" s="128"/>
      <c r="I77" s="128"/>
      <c r="J77" s="128"/>
      <c r="K77" s="128"/>
      <c r="L77" s="128"/>
      <c r="M77" s="128"/>
      <c r="N77" s="128"/>
      <c r="O77" s="128"/>
      <c r="P77" s="128"/>
      <c r="Q77" s="128"/>
      <c r="R77" s="129"/>
      <c r="T77" s="130" t="s">
        <v>33</v>
      </c>
      <c r="U77" s="131"/>
      <c r="V77" s="131"/>
      <c r="W77" s="131"/>
      <c r="X77" s="131"/>
      <c r="Y77" s="131"/>
      <c r="Z77" s="131"/>
      <c r="AA77" s="131"/>
      <c r="AB77" s="131"/>
      <c r="AC77" s="131"/>
      <c r="AD77" s="131"/>
      <c r="AE77" s="131"/>
      <c r="AF77" s="131"/>
      <c r="AG77" s="131"/>
      <c r="AH77" s="132"/>
      <c r="AI77" s="37"/>
      <c r="AM77" s="130" t="s">
        <v>32</v>
      </c>
      <c r="AN77" s="131"/>
      <c r="AO77" s="131"/>
      <c r="AP77" s="131"/>
      <c r="AQ77" s="131"/>
      <c r="AR77" s="132"/>
      <c r="AT77" s="130" t="s">
        <v>31</v>
      </c>
      <c r="AU77" s="131"/>
      <c r="AV77" s="131"/>
      <c r="AW77" s="132"/>
      <c r="AY77" s="47" t="s">
        <v>36</v>
      </c>
      <c r="AZ77" s="48"/>
      <c r="BB77" s="36"/>
    </row>
    <row r="78" spans="1:54" ht="32.25" customHeight="1" x14ac:dyDescent="0.3">
      <c r="A78" s="125"/>
      <c r="B78" s="133" t="s">
        <v>30</v>
      </c>
      <c r="C78" s="133" t="s">
        <v>29</v>
      </c>
      <c r="D78" s="116" t="s">
        <v>28</v>
      </c>
      <c r="E78" s="116" t="s">
        <v>27</v>
      </c>
      <c r="F78" s="34" t="s">
        <v>26</v>
      </c>
      <c r="G78" s="122" t="s">
        <v>63</v>
      </c>
      <c r="H78" s="123"/>
      <c r="I78" s="122" t="s">
        <v>50</v>
      </c>
      <c r="J78" s="123"/>
      <c r="K78" s="122" t="s">
        <v>62</v>
      </c>
      <c r="L78" s="123"/>
      <c r="M78" s="122" t="s">
        <v>25</v>
      </c>
      <c r="N78" s="123"/>
      <c r="O78" s="122" t="s">
        <v>24</v>
      </c>
      <c r="P78" s="123"/>
      <c r="Q78" s="106" t="s">
        <v>23</v>
      </c>
      <c r="R78" s="106" t="s">
        <v>22</v>
      </c>
      <c r="S78" s="21"/>
      <c r="T78" s="34" t="s">
        <v>21</v>
      </c>
      <c r="U78" s="34" t="s">
        <v>20</v>
      </c>
      <c r="V78" s="34" t="s">
        <v>95</v>
      </c>
      <c r="W78" s="34" t="s">
        <v>19</v>
      </c>
      <c r="X78" s="34" t="s">
        <v>18</v>
      </c>
      <c r="Y78" s="34" t="s">
        <v>48</v>
      </c>
      <c r="Z78" s="34" t="s">
        <v>49</v>
      </c>
      <c r="AA78" s="34" t="s">
        <v>17</v>
      </c>
      <c r="AB78" s="106" t="s">
        <v>16</v>
      </c>
      <c r="AC78" s="106" t="s">
        <v>15</v>
      </c>
      <c r="AD78" s="106" t="s">
        <v>14</v>
      </c>
      <c r="AE78" s="106" t="s">
        <v>13</v>
      </c>
      <c r="AF78" s="106" t="s">
        <v>12</v>
      </c>
      <c r="AG78" s="116" t="s">
        <v>11</v>
      </c>
      <c r="AH78" s="118" t="s">
        <v>10</v>
      </c>
      <c r="AI78" s="120" t="s">
        <v>9</v>
      </c>
      <c r="AJ78" s="35">
        <f>(1-R80/F80)</f>
        <v>0.15776654024441639</v>
      </c>
      <c r="AK78" s="35">
        <f>1-(AD80+AM80)/F80</f>
        <v>0.15020788032026977</v>
      </c>
      <c r="AM78" s="106" t="s">
        <v>8</v>
      </c>
      <c r="AN78" s="106" t="s">
        <v>7</v>
      </c>
      <c r="AO78" s="106" t="s">
        <v>37</v>
      </c>
      <c r="AP78" s="106" t="s">
        <v>38</v>
      </c>
      <c r="AQ78" s="106" t="s">
        <v>6</v>
      </c>
      <c r="AR78" s="106" t="s">
        <v>5</v>
      </c>
      <c r="AT78" s="106" t="s">
        <v>4</v>
      </c>
      <c r="AU78" s="106" t="s">
        <v>3</v>
      </c>
      <c r="AV78" s="106" t="s">
        <v>2</v>
      </c>
      <c r="AW78" s="106" t="s">
        <v>1</v>
      </c>
      <c r="AY78" s="108"/>
      <c r="AZ78" s="108"/>
      <c r="BB78" s="106"/>
    </row>
    <row r="79" spans="1:54" ht="27" customHeight="1" x14ac:dyDescent="0.3">
      <c r="A79" s="126"/>
      <c r="B79" s="134"/>
      <c r="C79" s="134"/>
      <c r="D79" s="117"/>
      <c r="E79" s="117"/>
      <c r="F79" s="31">
        <v>0</v>
      </c>
      <c r="G79" s="33">
        <v>0.06</v>
      </c>
      <c r="H79" s="32">
        <v>1000000</v>
      </c>
      <c r="I79" s="31">
        <v>1</v>
      </c>
      <c r="J79" s="32">
        <v>246000</v>
      </c>
      <c r="K79" s="31">
        <v>1</v>
      </c>
      <c r="L79" s="32">
        <v>300000</v>
      </c>
      <c r="M79" s="31">
        <v>7.0000000000000007E-2</v>
      </c>
      <c r="N79" s="32">
        <v>150000</v>
      </c>
      <c r="O79" s="31">
        <v>0</v>
      </c>
      <c r="P79" s="32">
        <v>0</v>
      </c>
      <c r="Q79" s="107"/>
      <c r="R79" s="107"/>
      <c r="S79" s="21"/>
      <c r="T79" s="31">
        <f>IF(C80="노트북",7%,IF(C80="저장&amp;주변기기",9%,IF(C80="모니터",7%)))</f>
        <v>7.0000000000000007E-2</v>
      </c>
      <c r="U79" s="31">
        <v>0</v>
      </c>
      <c r="V79" s="31">
        <v>0</v>
      </c>
      <c r="W79" s="31">
        <f>IF(G79=0%,20%,0%)</f>
        <v>0</v>
      </c>
      <c r="X79" s="30">
        <v>0</v>
      </c>
      <c r="Y79" s="30">
        <v>1</v>
      </c>
      <c r="Z79" s="53">
        <v>0.83333299999999999</v>
      </c>
      <c r="AA79" s="29">
        <v>0.5</v>
      </c>
      <c r="AB79" s="107"/>
      <c r="AC79" s="107"/>
      <c r="AD79" s="107"/>
      <c r="AE79" s="107"/>
      <c r="AF79" s="107"/>
      <c r="AG79" s="117"/>
      <c r="AH79" s="119"/>
      <c r="AI79" s="121"/>
      <c r="AJ79" s="55" t="s">
        <v>52</v>
      </c>
      <c r="AK79" s="56">
        <f>AJ78-AK78</f>
        <v>7.5586599241466157E-3</v>
      </c>
      <c r="AM79" s="107"/>
      <c r="AN79" s="107"/>
      <c r="AO79" s="107"/>
      <c r="AP79" s="107"/>
      <c r="AQ79" s="107"/>
      <c r="AR79" s="107"/>
      <c r="AS79" s="39"/>
      <c r="AT79" s="107"/>
      <c r="AU79" s="117"/>
      <c r="AV79" s="107"/>
      <c r="AW79" s="107"/>
      <c r="AY79" s="109"/>
      <c r="AZ79" s="109"/>
      <c r="BB79" s="107"/>
    </row>
    <row r="80" spans="1:54" ht="27" customHeight="1" x14ac:dyDescent="0.3">
      <c r="A80" s="28" t="s">
        <v>94</v>
      </c>
      <c r="B80" s="38" t="s">
        <v>35</v>
      </c>
      <c r="C80" s="27" t="s">
        <v>0</v>
      </c>
      <c r="D80" s="26">
        <v>4660417885</v>
      </c>
      <c r="E80" s="25">
        <v>7119000</v>
      </c>
      <c r="F80" s="24">
        <f>ROUNDDOWN(E80/(1-F79),-1)</f>
        <v>7119000</v>
      </c>
      <c r="G80" s="110">
        <f>ROUNDDOWN(IF(F80*G79&gt;H79,H79,F80*G79),-1)</f>
        <v>427140</v>
      </c>
      <c r="H80" s="111"/>
      <c r="I80" s="112">
        <f>ROUNDDOWN(IF(F80*I79&gt;J79,J79,F80*I79),-1)</f>
        <v>246000</v>
      </c>
      <c r="J80" s="113"/>
      <c r="K80" s="112">
        <f>ROUNDDOWN(IF(F80*K79&gt;L79,L79,F80*K79),-1)</f>
        <v>300000</v>
      </c>
      <c r="L80" s="113"/>
      <c r="M80" s="110">
        <f>ROUNDDOWN(IF(Q80*M79&gt;N79,N79,Q80*M79),-1)</f>
        <v>150000</v>
      </c>
      <c r="N80" s="111"/>
      <c r="O80" s="110">
        <f>ROUNDDOWN(IF(F80*O79&gt;P79,P79,F80*O79),-1)</f>
        <v>0</v>
      </c>
      <c r="P80" s="111"/>
      <c r="Q80" s="23">
        <f>F80-G80-I80-K80</f>
        <v>6145860</v>
      </c>
      <c r="R80" s="22">
        <f>F80-G80-I80-K80-M80-O80</f>
        <v>5995860</v>
      </c>
      <c r="S80" s="21"/>
      <c r="T80" s="20">
        <f>F80*T79</f>
        <v>498330.00000000006</v>
      </c>
      <c r="U80" s="20">
        <f>F80*U79</f>
        <v>0</v>
      </c>
      <c r="V80" s="20">
        <f>(F80-I80)*V79</f>
        <v>0</v>
      </c>
      <c r="W80" s="19">
        <f>(F80*F79)*W79</f>
        <v>0</v>
      </c>
      <c r="X80" s="19">
        <f>G80*X79</f>
        <v>0</v>
      </c>
      <c r="Y80" s="19">
        <f>I80*Y79</f>
        <v>246000</v>
      </c>
      <c r="Z80" s="19">
        <f>K80*Z79</f>
        <v>249999.9</v>
      </c>
      <c r="AA80" s="19">
        <f>M80*AA79</f>
        <v>75000</v>
      </c>
      <c r="AB80" s="19">
        <v>0</v>
      </c>
      <c r="AC80" s="16">
        <v>15000</v>
      </c>
      <c r="AD80" s="18">
        <f>F80-T80-U80-V80-W80-AA80-X80-Y80-Z80-AB80</f>
        <v>6049670.0999999996</v>
      </c>
      <c r="AE80" s="18">
        <f>F80-T80-U80-V80-W80-X80-Y80-Z80-AA80-AB80-AC80</f>
        <v>6034670.0999999996</v>
      </c>
      <c r="AF80" s="17">
        <f>AE80-AG80</f>
        <v>1780670.0999999996</v>
      </c>
      <c r="AG80" s="16">
        <v>4254000</v>
      </c>
      <c r="AH80" s="15">
        <f>AF80/AG80</f>
        <v>0.41858723554301824</v>
      </c>
      <c r="AI80" s="14">
        <f>1-R80/(AG80-AM80-AN80-AO80)</f>
        <v>-0.40946403385049357</v>
      </c>
      <c r="AJ80" s="114">
        <f>(1-R80/F80)-(1-(AD80)/F80)</f>
        <v>7.5586599241466157E-3</v>
      </c>
      <c r="AK80" s="115"/>
      <c r="AM80" s="13">
        <v>0</v>
      </c>
      <c r="AN80" s="12">
        <f>X80*AN79</f>
        <v>0</v>
      </c>
      <c r="AO80" s="12">
        <v>0</v>
      </c>
      <c r="AP80" s="12"/>
      <c r="AQ80" s="11">
        <f>AE80-(AG80-AM80-AN80-AO80-AP80)</f>
        <v>1780670.0999999996</v>
      </c>
      <c r="AR80" s="8">
        <f>AQ80/AG80</f>
        <v>0.41858723554301824</v>
      </c>
      <c r="AT80" s="10">
        <v>0</v>
      </c>
      <c r="AU80" s="10">
        <v>0</v>
      </c>
      <c r="AV80" s="9">
        <f>AQ80-AT80-AU80</f>
        <v>1780670.0999999996</v>
      </c>
      <c r="AW80" s="8">
        <f>AV80/AG80</f>
        <v>0.41858723554301824</v>
      </c>
      <c r="AY80" s="49"/>
      <c r="AZ80" s="50"/>
      <c r="BB80" s="6"/>
    </row>
    <row r="81" spans="1:54" x14ac:dyDescent="0.3">
      <c r="E81" s="5">
        <v>6299000</v>
      </c>
      <c r="F81" s="4">
        <f>ROUNDDOWN(E81/(1-F79),-1)</f>
        <v>6299000</v>
      </c>
      <c r="G81" s="138">
        <f>ROUNDDOWN(IF(F81*G79&gt;H79,H79,F81*G79),-1)</f>
        <v>377940</v>
      </c>
      <c r="H81" s="138"/>
      <c r="J81" s="54">
        <f>F80*4%</f>
        <v>284760</v>
      </c>
      <c r="R81" s="4">
        <v>4779840</v>
      </c>
      <c r="X81" s="3">
        <f>G81*X79</f>
        <v>0</v>
      </c>
      <c r="Y81" s="3"/>
      <c r="Z81" s="3"/>
    </row>
    <row r="82" spans="1:54" ht="27" customHeight="1" x14ac:dyDescent="0.3">
      <c r="A82" s="124" t="s">
        <v>34</v>
      </c>
      <c r="B82" s="135" t="s">
        <v>126</v>
      </c>
      <c r="C82" s="136"/>
      <c r="D82" s="136"/>
      <c r="E82" s="136"/>
      <c r="F82" s="136"/>
      <c r="G82" s="136"/>
      <c r="H82" s="136"/>
      <c r="I82" s="136"/>
      <c r="J82" s="136"/>
      <c r="K82" s="136"/>
      <c r="L82" s="136"/>
      <c r="M82" s="136"/>
      <c r="N82" s="136"/>
      <c r="O82" s="136"/>
      <c r="P82" s="136"/>
      <c r="Q82" s="136"/>
      <c r="R82" s="137"/>
      <c r="T82" s="130" t="s">
        <v>33</v>
      </c>
      <c r="U82" s="131"/>
      <c r="V82" s="131"/>
      <c r="W82" s="131"/>
      <c r="X82" s="131"/>
      <c r="Y82" s="131"/>
      <c r="Z82" s="131"/>
      <c r="AA82" s="131"/>
      <c r="AB82" s="131"/>
      <c r="AC82" s="131"/>
      <c r="AD82" s="131"/>
      <c r="AE82" s="131"/>
      <c r="AF82" s="131"/>
      <c r="AG82" s="131"/>
      <c r="AH82" s="132"/>
      <c r="AI82" s="37"/>
      <c r="AM82" s="130" t="s">
        <v>32</v>
      </c>
      <c r="AN82" s="131"/>
      <c r="AO82" s="131"/>
      <c r="AP82" s="131"/>
      <c r="AQ82" s="131"/>
      <c r="AR82" s="132"/>
      <c r="AT82" s="130" t="s">
        <v>31</v>
      </c>
      <c r="AU82" s="131"/>
      <c r="AV82" s="131"/>
      <c r="AW82" s="132"/>
      <c r="AY82" s="47" t="s">
        <v>36</v>
      </c>
      <c r="AZ82" s="48"/>
      <c r="BB82" s="36"/>
    </row>
    <row r="83" spans="1:54" ht="32.25" customHeight="1" x14ac:dyDescent="0.3">
      <c r="A83" s="125"/>
      <c r="B83" s="133" t="s">
        <v>30</v>
      </c>
      <c r="C83" s="133" t="s">
        <v>29</v>
      </c>
      <c r="D83" s="116" t="s">
        <v>28</v>
      </c>
      <c r="E83" s="116" t="s">
        <v>27</v>
      </c>
      <c r="F83" s="34" t="s">
        <v>26</v>
      </c>
      <c r="G83" s="122" t="s">
        <v>63</v>
      </c>
      <c r="H83" s="123"/>
      <c r="I83" s="122" t="s">
        <v>50</v>
      </c>
      <c r="J83" s="123"/>
      <c r="K83" s="122" t="s">
        <v>62</v>
      </c>
      <c r="L83" s="123"/>
      <c r="M83" s="122" t="s">
        <v>25</v>
      </c>
      <c r="N83" s="123"/>
      <c r="O83" s="122" t="s">
        <v>24</v>
      </c>
      <c r="P83" s="123"/>
      <c r="Q83" s="106" t="s">
        <v>23</v>
      </c>
      <c r="R83" s="106" t="s">
        <v>22</v>
      </c>
      <c r="S83" s="21"/>
      <c r="T83" s="34" t="s">
        <v>21</v>
      </c>
      <c r="U83" s="34" t="s">
        <v>20</v>
      </c>
      <c r="V83" s="34" t="s">
        <v>95</v>
      </c>
      <c r="W83" s="34" t="s">
        <v>19</v>
      </c>
      <c r="X83" s="34" t="s">
        <v>18</v>
      </c>
      <c r="Y83" s="34" t="s">
        <v>48</v>
      </c>
      <c r="Z83" s="34" t="s">
        <v>49</v>
      </c>
      <c r="AA83" s="34" t="s">
        <v>17</v>
      </c>
      <c r="AB83" s="106" t="s">
        <v>16</v>
      </c>
      <c r="AC83" s="106" t="s">
        <v>15</v>
      </c>
      <c r="AD83" s="106" t="s">
        <v>14</v>
      </c>
      <c r="AE83" s="106" t="s">
        <v>13</v>
      </c>
      <c r="AF83" s="106" t="s">
        <v>12</v>
      </c>
      <c r="AG83" s="116" t="s">
        <v>11</v>
      </c>
      <c r="AH83" s="118" t="s">
        <v>10</v>
      </c>
      <c r="AI83" s="120" t="s">
        <v>9</v>
      </c>
      <c r="AJ83" s="35">
        <f>(1-R85/F85)</f>
        <v>0.10406848977001637</v>
      </c>
      <c r="AK83" s="35">
        <f>1-(AD85+AM85)/F85</f>
        <v>0.10672451024173557</v>
      </c>
      <c r="AM83" s="106" t="s">
        <v>8</v>
      </c>
      <c r="AN83" s="106" t="s">
        <v>7</v>
      </c>
      <c r="AO83" s="106" t="s">
        <v>37</v>
      </c>
      <c r="AP83" s="106" t="s">
        <v>38</v>
      </c>
      <c r="AQ83" s="106" t="s">
        <v>6</v>
      </c>
      <c r="AR83" s="106" t="s">
        <v>5</v>
      </c>
      <c r="AT83" s="106" t="s">
        <v>4</v>
      </c>
      <c r="AU83" s="106" t="s">
        <v>3</v>
      </c>
      <c r="AV83" s="106" t="s">
        <v>2</v>
      </c>
      <c r="AW83" s="106" t="s">
        <v>1</v>
      </c>
      <c r="AY83" s="108"/>
      <c r="AZ83" s="108"/>
      <c r="BB83" s="106"/>
    </row>
    <row r="84" spans="1:54" ht="27" customHeight="1" x14ac:dyDescent="0.3">
      <c r="A84" s="126"/>
      <c r="B84" s="134"/>
      <c r="C84" s="134"/>
      <c r="D84" s="117"/>
      <c r="E84" s="117"/>
      <c r="F84" s="31">
        <v>0</v>
      </c>
      <c r="G84" s="33">
        <v>0.06</v>
      </c>
      <c r="H84" s="32">
        <v>1000000</v>
      </c>
      <c r="I84" s="31">
        <v>0</v>
      </c>
      <c r="J84" s="32">
        <v>0</v>
      </c>
      <c r="K84" s="31">
        <v>1</v>
      </c>
      <c r="L84" s="32">
        <v>300000</v>
      </c>
      <c r="M84" s="31">
        <v>0</v>
      </c>
      <c r="N84" s="32">
        <v>0</v>
      </c>
      <c r="O84" s="31">
        <v>0</v>
      </c>
      <c r="P84" s="32">
        <v>0</v>
      </c>
      <c r="Q84" s="107"/>
      <c r="R84" s="107"/>
      <c r="S84" s="21"/>
      <c r="T84" s="31">
        <f>IF(C85="노트북",7%,IF(C85="저장&amp;주변기기",9%,IF(C85="모니터",7%)))</f>
        <v>7.0000000000000007E-2</v>
      </c>
      <c r="U84" s="31">
        <v>0</v>
      </c>
      <c r="V84" s="31">
        <v>0</v>
      </c>
      <c r="W84" s="31">
        <f>IF(G84=0%,20%,0%)</f>
        <v>0</v>
      </c>
      <c r="X84" s="30">
        <v>0</v>
      </c>
      <c r="Y84" s="30">
        <v>1</v>
      </c>
      <c r="Z84" s="53">
        <v>0.83333299999999999</v>
      </c>
      <c r="AA84" s="29">
        <v>0.5</v>
      </c>
      <c r="AB84" s="107"/>
      <c r="AC84" s="107"/>
      <c r="AD84" s="107"/>
      <c r="AE84" s="107"/>
      <c r="AF84" s="107"/>
      <c r="AG84" s="117"/>
      <c r="AH84" s="119"/>
      <c r="AI84" s="121"/>
      <c r="AJ84" s="55" t="s">
        <v>52</v>
      </c>
      <c r="AK84" s="56">
        <f>AJ83-AK83</f>
        <v>-2.6560204717192004E-3</v>
      </c>
      <c r="AM84" s="107"/>
      <c r="AN84" s="107"/>
      <c r="AO84" s="107"/>
      <c r="AP84" s="107"/>
      <c r="AQ84" s="107"/>
      <c r="AR84" s="107"/>
      <c r="AS84" s="39"/>
      <c r="AT84" s="107"/>
      <c r="AU84" s="117"/>
      <c r="AV84" s="107"/>
      <c r="AW84" s="107"/>
      <c r="AY84" s="109"/>
      <c r="AZ84" s="109"/>
      <c r="BB84" s="107"/>
    </row>
    <row r="85" spans="1:54" ht="27" customHeight="1" x14ac:dyDescent="0.3">
      <c r="A85" s="28" t="s">
        <v>94</v>
      </c>
      <c r="B85" s="38" t="s">
        <v>35</v>
      </c>
      <c r="C85" s="27" t="s">
        <v>0</v>
      </c>
      <c r="D85" s="26">
        <v>4660417885</v>
      </c>
      <c r="E85" s="25">
        <v>6807440</v>
      </c>
      <c r="F85" s="24">
        <f>ROUNDDOWN(E85/(1-F84),-1)</f>
        <v>6807440</v>
      </c>
      <c r="G85" s="110">
        <f>ROUNDDOWN(IF(F85*G84&gt;H84,H84,F85*G84),-1)</f>
        <v>408440</v>
      </c>
      <c r="H85" s="111"/>
      <c r="I85" s="112">
        <f>ROUNDDOWN(IF(F85*I84&gt;J84,J84,F85*I84),-1)</f>
        <v>0</v>
      </c>
      <c r="J85" s="113"/>
      <c r="K85" s="112">
        <f>ROUNDDOWN(IF(F85*K84&gt;L84,L84,F85*K84),-1)</f>
        <v>300000</v>
      </c>
      <c r="L85" s="113"/>
      <c r="M85" s="110">
        <f>ROUNDDOWN(IF(Q85*M84&gt;N84,N84,Q85*M84),-1)</f>
        <v>0</v>
      </c>
      <c r="N85" s="111"/>
      <c r="O85" s="110">
        <f>ROUNDDOWN(IF(F85*O84&gt;P84,P84,F85*O84),-1)</f>
        <v>0</v>
      </c>
      <c r="P85" s="111"/>
      <c r="Q85" s="23">
        <f>F85-G85-I85-K85</f>
        <v>6099000</v>
      </c>
      <c r="R85" s="22">
        <f>F85-G85-I85-K85-M85-O85</f>
        <v>6099000</v>
      </c>
      <c r="S85" s="21"/>
      <c r="T85" s="20">
        <f>F85*T84</f>
        <v>476520.80000000005</v>
      </c>
      <c r="U85" s="20">
        <f>F85*U84</f>
        <v>0</v>
      </c>
      <c r="V85" s="20">
        <f>(F85-I85)*V84</f>
        <v>0</v>
      </c>
      <c r="W85" s="19">
        <f>(F85*F84)*W84</f>
        <v>0</v>
      </c>
      <c r="X85" s="19">
        <f>G85*X84</f>
        <v>0</v>
      </c>
      <c r="Y85" s="19">
        <f>I85*Y84</f>
        <v>0</v>
      </c>
      <c r="Z85" s="19">
        <f>K85*Z84</f>
        <v>249999.9</v>
      </c>
      <c r="AA85" s="19">
        <f>M85*AA84</f>
        <v>0</v>
      </c>
      <c r="AB85" s="19">
        <v>0</v>
      </c>
      <c r="AC85" s="16">
        <v>15000</v>
      </c>
      <c r="AD85" s="18">
        <f>F85-T85-U85-V85-W85-AA85-X85-Y85-Z85-AB85</f>
        <v>6080919.2999999998</v>
      </c>
      <c r="AE85" s="18">
        <f>F85-T85-U85-V85-W85-X85-Y85-Z85-AA85-AB85-AC85</f>
        <v>6065919.2999999998</v>
      </c>
      <c r="AF85" s="17">
        <f>AE85-AG85</f>
        <v>1811919.2999999998</v>
      </c>
      <c r="AG85" s="16">
        <v>4254000</v>
      </c>
      <c r="AH85" s="15">
        <f>AF85/AG85</f>
        <v>0.42593307475317344</v>
      </c>
      <c r="AI85" s="14">
        <f>1-R85/(AG85-AM85-AN85-AO85)</f>
        <v>-0.43370944992947824</v>
      </c>
      <c r="AJ85" s="114">
        <f>(1-R85/F85)-(1-(AD85)/F85)</f>
        <v>-2.6560204717192004E-3</v>
      </c>
      <c r="AK85" s="115"/>
      <c r="AM85" s="13">
        <v>0</v>
      </c>
      <c r="AN85" s="12">
        <f>X85*AN84</f>
        <v>0</v>
      </c>
      <c r="AO85" s="12">
        <v>0</v>
      </c>
      <c r="AP85" s="12"/>
      <c r="AQ85" s="11">
        <f>AE85-(AG85-AM85-AN85-AO85-AP85)</f>
        <v>1811919.2999999998</v>
      </c>
      <c r="AR85" s="8">
        <f>AQ85/AG85</f>
        <v>0.42593307475317344</v>
      </c>
      <c r="AT85" s="10">
        <v>0</v>
      </c>
      <c r="AU85" s="10">
        <v>0</v>
      </c>
      <c r="AV85" s="9">
        <f>AQ85-AT85-AU85</f>
        <v>1811919.2999999998</v>
      </c>
      <c r="AW85" s="8">
        <f>AV85/AG85</f>
        <v>0.42593307475317344</v>
      </c>
      <c r="AY85" s="49"/>
      <c r="AZ85" s="50"/>
      <c r="BB85" s="6"/>
    </row>
    <row r="86" spans="1:54" x14ac:dyDescent="0.3">
      <c r="E86" s="5">
        <v>6299000</v>
      </c>
      <c r="F86" s="4">
        <f>ROUNDDOWN(E86/(1-F84),-1)</f>
        <v>6299000</v>
      </c>
      <c r="G86" s="138">
        <f>ROUNDDOWN(IF(F86*G84&gt;H84,H84,F86*G84),-1)</f>
        <v>377940</v>
      </c>
      <c r="H86" s="138"/>
      <c r="J86" s="54">
        <f>F85*4%</f>
        <v>272297.59999999998</v>
      </c>
      <c r="R86" s="4">
        <v>4779840</v>
      </c>
      <c r="X86" s="3">
        <f>G86*X84</f>
        <v>0</v>
      </c>
      <c r="Y86" s="3"/>
      <c r="Z86" s="3"/>
    </row>
    <row r="87" spans="1:54" x14ac:dyDescent="0.3">
      <c r="E87" s="5"/>
      <c r="F87" s="4"/>
      <c r="G87" s="42"/>
      <c r="H87" s="42"/>
      <c r="J87" s="54"/>
      <c r="R87" s="4"/>
      <c r="X87" s="3"/>
      <c r="Y87" s="3"/>
      <c r="Z87" s="3"/>
    </row>
    <row r="88" spans="1:54" x14ac:dyDescent="0.3">
      <c r="E88" s="5"/>
      <c r="F88" s="4"/>
      <c r="G88" s="42"/>
      <c r="H88" s="42"/>
      <c r="J88" s="54"/>
      <c r="R88" s="4"/>
      <c r="X88" s="3"/>
      <c r="Y88" s="3"/>
      <c r="Z88" s="3"/>
    </row>
    <row r="89" spans="1:54" x14ac:dyDescent="0.3">
      <c r="E89" s="5"/>
      <c r="F89" s="4"/>
      <c r="G89" s="42"/>
      <c r="H89" s="42"/>
      <c r="J89" s="54"/>
      <c r="R89" s="4"/>
      <c r="X89" s="3"/>
      <c r="Y89" s="3"/>
      <c r="Z89" s="3"/>
    </row>
    <row r="90" spans="1:54" s="96" customFormat="1" ht="19.5" x14ac:dyDescent="0.3">
      <c r="A90" s="95" t="s">
        <v>122</v>
      </c>
      <c r="D90" s="97"/>
      <c r="E90" s="98"/>
      <c r="F90" s="99"/>
      <c r="G90" s="99"/>
      <c r="U90" s="100"/>
      <c r="AD90" s="101"/>
      <c r="AE90" s="101"/>
      <c r="AF90" s="101"/>
      <c r="AG90" s="101"/>
      <c r="AV90" s="102"/>
      <c r="AW90" s="102"/>
      <c r="AX90" s="102"/>
      <c r="AY90" s="102"/>
      <c r="AZ90" s="102"/>
    </row>
    <row r="91" spans="1:54" x14ac:dyDescent="0.3">
      <c r="E91" s="5"/>
      <c r="F91" s="4"/>
      <c r="G91" s="42"/>
      <c r="H91" s="42"/>
      <c r="J91" s="54"/>
      <c r="R91" s="4"/>
      <c r="X91" s="3"/>
      <c r="Y91" s="3"/>
      <c r="Z91" s="3"/>
    </row>
    <row r="92" spans="1:54" ht="27" customHeight="1" x14ac:dyDescent="0.3">
      <c r="A92" s="124" t="s">
        <v>34</v>
      </c>
      <c r="B92" s="127" t="s">
        <v>125</v>
      </c>
      <c r="C92" s="128"/>
      <c r="D92" s="128"/>
      <c r="E92" s="128"/>
      <c r="F92" s="128"/>
      <c r="G92" s="128"/>
      <c r="H92" s="128"/>
      <c r="I92" s="128"/>
      <c r="J92" s="128"/>
      <c r="K92" s="128"/>
      <c r="L92" s="128"/>
      <c r="M92" s="128"/>
      <c r="N92" s="128"/>
      <c r="O92" s="128"/>
      <c r="P92" s="128"/>
      <c r="Q92" s="128"/>
      <c r="R92" s="129"/>
      <c r="T92" s="130" t="s">
        <v>33</v>
      </c>
      <c r="U92" s="131"/>
      <c r="V92" s="131"/>
      <c r="W92" s="131"/>
      <c r="X92" s="131"/>
      <c r="Y92" s="131"/>
      <c r="Z92" s="131"/>
      <c r="AA92" s="131"/>
      <c r="AB92" s="131"/>
      <c r="AC92" s="131"/>
      <c r="AD92" s="131"/>
      <c r="AE92" s="131"/>
      <c r="AF92" s="131"/>
      <c r="AG92" s="131"/>
      <c r="AH92" s="132"/>
      <c r="AI92" s="37"/>
      <c r="AM92" s="130" t="s">
        <v>32</v>
      </c>
      <c r="AN92" s="131"/>
      <c r="AO92" s="131"/>
      <c r="AP92" s="131"/>
      <c r="AQ92" s="131"/>
      <c r="AR92" s="132"/>
      <c r="AT92" s="130" t="s">
        <v>31</v>
      </c>
      <c r="AU92" s="131"/>
      <c r="AV92" s="131"/>
      <c r="AW92" s="132"/>
      <c r="AY92" s="47" t="s">
        <v>36</v>
      </c>
      <c r="AZ92" s="48"/>
      <c r="BB92" s="36"/>
    </row>
    <row r="93" spans="1:54" ht="32.25" customHeight="1" x14ac:dyDescent="0.3">
      <c r="A93" s="125"/>
      <c r="B93" s="133" t="s">
        <v>30</v>
      </c>
      <c r="C93" s="133" t="s">
        <v>29</v>
      </c>
      <c r="D93" s="116" t="s">
        <v>28</v>
      </c>
      <c r="E93" s="116" t="s">
        <v>27</v>
      </c>
      <c r="F93" s="34" t="s">
        <v>26</v>
      </c>
      <c r="G93" s="122" t="s">
        <v>63</v>
      </c>
      <c r="H93" s="123"/>
      <c r="I93" s="122" t="s">
        <v>50</v>
      </c>
      <c r="J93" s="123"/>
      <c r="K93" s="122" t="s">
        <v>62</v>
      </c>
      <c r="L93" s="123"/>
      <c r="M93" s="122" t="s">
        <v>25</v>
      </c>
      <c r="N93" s="123"/>
      <c r="O93" s="122" t="s">
        <v>24</v>
      </c>
      <c r="P93" s="123"/>
      <c r="Q93" s="106" t="s">
        <v>23</v>
      </c>
      <c r="R93" s="106" t="s">
        <v>22</v>
      </c>
      <c r="S93" s="21"/>
      <c r="T93" s="34" t="s">
        <v>21</v>
      </c>
      <c r="U93" s="34" t="s">
        <v>20</v>
      </c>
      <c r="V93" s="34" t="s">
        <v>95</v>
      </c>
      <c r="W93" s="34" t="s">
        <v>19</v>
      </c>
      <c r="X93" s="34" t="s">
        <v>18</v>
      </c>
      <c r="Y93" s="34" t="s">
        <v>48</v>
      </c>
      <c r="Z93" s="34" t="s">
        <v>49</v>
      </c>
      <c r="AA93" s="34" t="s">
        <v>17</v>
      </c>
      <c r="AB93" s="106" t="s">
        <v>16</v>
      </c>
      <c r="AC93" s="106" t="s">
        <v>15</v>
      </c>
      <c r="AD93" s="106" t="s">
        <v>14</v>
      </c>
      <c r="AE93" s="106" t="s">
        <v>13</v>
      </c>
      <c r="AF93" s="106" t="s">
        <v>12</v>
      </c>
      <c r="AG93" s="116" t="s">
        <v>11</v>
      </c>
      <c r="AH93" s="118" t="s">
        <v>10</v>
      </c>
      <c r="AI93" s="120" t="s">
        <v>9</v>
      </c>
      <c r="AJ93" s="35">
        <f>(1-R95/F95)</f>
        <v>0.23314246762099522</v>
      </c>
      <c r="AK93" s="35">
        <f>1-(AD95+AM95)/F95</f>
        <v>0.14941376959781871</v>
      </c>
      <c r="AM93" s="106" t="s">
        <v>8</v>
      </c>
      <c r="AN93" s="106" t="s">
        <v>7</v>
      </c>
      <c r="AO93" s="106" t="s">
        <v>37</v>
      </c>
      <c r="AP93" s="106" t="s">
        <v>38</v>
      </c>
      <c r="AQ93" s="106" t="s">
        <v>6</v>
      </c>
      <c r="AR93" s="106" t="s">
        <v>5</v>
      </c>
      <c r="AT93" s="106" t="s">
        <v>4</v>
      </c>
      <c r="AU93" s="106" t="s">
        <v>3</v>
      </c>
      <c r="AV93" s="106" t="s">
        <v>2</v>
      </c>
      <c r="AW93" s="106" t="s">
        <v>1</v>
      </c>
      <c r="AY93" s="108"/>
      <c r="AZ93" s="108"/>
      <c r="BB93" s="106"/>
    </row>
    <row r="94" spans="1:54" ht="27" customHeight="1" x14ac:dyDescent="0.3">
      <c r="A94" s="126"/>
      <c r="B94" s="134"/>
      <c r="C94" s="134"/>
      <c r="D94" s="117"/>
      <c r="E94" s="117"/>
      <c r="F94" s="31">
        <v>0</v>
      </c>
      <c r="G94" s="33">
        <v>0.06</v>
      </c>
      <c r="H94" s="32">
        <v>1000000</v>
      </c>
      <c r="I94" s="31">
        <v>1</v>
      </c>
      <c r="J94" s="32">
        <v>58000</v>
      </c>
      <c r="K94" s="31">
        <v>1</v>
      </c>
      <c r="L94" s="32">
        <v>300000</v>
      </c>
      <c r="M94" s="31">
        <v>7.0000000000000007E-2</v>
      </c>
      <c r="N94" s="32">
        <v>150000</v>
      </c>
      <c r="O94" s="31">
        <v>0</v>
      </c>
      <c r="P94" s="32">
        <v>0</v>
      </c>
      <c r="Q94" s="107"/>
      <c r="R94" s="107"/>
      <c r="S94" s="21"/>
      <c r="T94" s="31">
        <f>IF(C95="노트북",7%,IF(C95="저장&amp;주변기기",9%,IF(C95="모니터",7%)))</f>
        <v>7.0000000000000007E-2</v>
      </c>
      <c r="U94" s="31">
        <v>0</v>
      </c>
      <c r="V94" s="31">
        <v>0</v>
      </c>
      <c r="W94" s="31">
        <v>0</v>
      </c>
      <c r="X94" s="30">
        <v>0</v>
      </c>
      <c r="Y94" s="30">
        <v>1</v>
      </c>
      <c r="Z94" s="53">
        <v>1</v>
      </c>
      <c r="AA94" s="29">
        <v>0.5</v>
      </c>
      <c r="AB94" s="107"/>
      <c r="AC94" s="107"/>
      <c r="AD94" s="107"/>
      <c r="AE94" s="107"/>
      <c r="AF94" s="107"/>
      <c r="AG94" s="117"/>
      <c r="AH94" s="119"/>
      <c r="AI94" s="121"/>
      <c r="AJ94" s="55" t="s">
        <v>52</v>
      </c>
      <c r="AK94" s="56">
        <f>AJ93-AK93</f>
        <v>8.3728698023176507E-2</v>
      </c>
      <c r="AM94" s="107"/>
      <c r="AN94" s="107"/>
      <c r="AO94" s="107"/>
      <c r="AP94" s="107"/>
      <c r="AQ94" s="107"/>
      <c r="AR94" s="107"/>
      <c r="AS94" s="39"/>
      <c r="AT94" s="107"/>
      <c r="AU94" s="117"/>
      <c r="AV94" s="107"/>
      <c r="AW94" s="107"/>
      <c r="AY94" s="109"/>
      <c r="AZ94" s="109"/>
      <c r="BB94" s="107"/>
    </row>
    <row r="95" spans="1:54" ht="27" customHeight="1" x14ac:dyDescent="0.3">
      <c r="A95" s="28" t="s">
        <v>123</v>
      </c>
      <c r="B95" s="38" t="s">
        <v>35</v>
      </c>
      <c r="C95" s="27" t="s">
        <v>0</v>
      </c>
      <c r="D95" s="26">
        <v>4714573992</v>
      </c>
      <c r="E95" s="25">
        <v>2934000</v>
      </c>
      <c r="F95" s="24">
        <f>ROUNDDOWN(E95/(1-F94),-1)</f>
        <v>2934000</v>
      </c>
      <c r="G95" s="110">
        <f>ROUNDDOWN(IF(F95*G94&gt;H94,H94,F95*G94),-1)</f>
        <v>176040</v>
      </c>
      <c r="H95" s="111"/>
      <c r="I95" s="112">
        <f>ROUNDDOWN(IF(F95*I94&gt;J94,J94,F95*I94),-1)</f>
        <v>58000</v>
      </c>
      <c r="J95" s="113"/>
      <c r="K95" s="112">
        <f>ROUNDDOWN(IF(F95*K94&gt;L94,L94,F95*K94),-1)</f>
        <v>300000</v>
      </c>
      <c r="L95" s="113"/>
      <c r="M95" s="110">
        <f>ROUNDDOWN(IF(Q95*M94&gt;N94,N94,Q95*M94),-1)</f>
        <v>150000</v>
      </c>
      <c r="N95" s="111"/>
      <c r="O95" s="110">
        <f>ROUNDDOWN(IF(F95*O94&gt;P94,P94,F95*O94),-1)</f>
        <v>0</v>
      </c>
      <c r="P95" s="111"/>
      <c r="Q95" s="23">
        <f>F95-G95-I95-K95</f>
        <v>2399960</v>
      </c>
      <c r="R95" s="22">
        <f>F95-G95-I95-K95-M95-O95</f>
        <v>2249960</v>
      </c>
      <c r="S95" s="21"/>
      <c r="T95" s="20">
        <f>F95*T94</f>
        <v>205380.00000000003</v>
      </c>
      <c r="U95" s="20">
        <f>F95*U94</f>
        <v>0</v>
      </c>
      <c r="V95" s="20">
        <f>(F95-I95)*V94</f>
        <v>0</v>
      </c>
      <c r="W95" s="19">
        <f>(F95*F94)*W94</f>
        <v>0</v>
      </c>
      <c r="X95" s="19">
        <f>G95*X94</f>
        <v>0</v>
      </c>
      <c r="Y95" s="19">
        <f>I95*Y94</f>
        <v>58000</v>
      </c>
      <c r="Z95" s="19">
        <f>K95*Z94</f>
        <v>300000</v>
      </c>
      <c r="AA95" s="19">
        <f>M95*AA94</f>
        <v>75000</v>
      </c>
      <c r="AB95" s="19">
        <v>0</v>
      </c>
      <c r="AC95" s="16">
        <v>8000</v>
      </c>
      <c r="AD95" s="18">
        <f>F95-T95-U95-V95-W95-AA95-X95-Y95-Z95-AB95</f>
        <v>2295620</v>
      </c>
      <c r="AE95" s="18">
        <f>F95-T95-U95-V95-W95-X95-Y95-Z95-AA95-AB95-AC95</f>
        <v>2287620</v>
      </c>
      <c r="AF95" s="17">
        <f>AE95-AG95</f>
        <v>-61380</v>
      </c>
      <c r="AG95" s="16">
        <v>2349000</v>
      </c>
      <c r="AH95" s="15">
        <f>AF95/AG95</f>
        <v>-2.6130268199233718E-2</v>
      </c>
      <c r="AI95" s="14">
        <f>1-R95/(AG95-AM95-AN95-AO95)</f>
        <v>-4.6979990693345686E-2</v>
      </c>
      <c r="AJ95" s="114">
        <f>(1-R95/F95)-(1-(AD95)/F95)</f>
        <v>1.5562372188139051E-2</v>
      </c>
      <c r="AK95" s="115"/>
      <c r="AM95" s="13">
        <v>200000</v>
      </c>
      <c r="AN95" s="12"/>
      <c r="AO95" s="12">
        <v>0</v>
      </c>
      <c r="AP95" s="12"/>
      <c r="AQ95" s="11">
        <f>AE95-(AG95-AM95-AN95-AO95-AP95)</f>
        <v>138620</v>
      </c>
      <c r="AR95" s="8">
        <f>AQ95/AG95</f>
        <v>5.9012345679012347E-2</v>
      </c>
      <c r="AT95" s="10">
        <v>0</v>
      </c>
      <c r="AU95" s="10">
        <v>0</v>
      </c>
      <c r="AV95" s="9">
        <f>AQ95-AT95-AU95</f>
        <v>138620</v>
      </c>
      <c r="AW95" s="8">
        <f>AV95/AG95</f>
        <v>5.9012345679012347E-2</v>
      </c>
      <c r="AY95" s="49"/>
      <c r="AZ95" s="50"/>
      <c r="BB95" s="6"/>
    </row>
    <row r="96" spans="1:54" x14ac:dyDescent="0.3">
      <c r="E96" s="5">
        <v>2499000</v>
      </c>
      <c r="F96" s="4">
        <f>ROUNDDOWN(E96/(1-F94),-1)</f>
        <v>2499000</v>
      </c>
      <c r="G96" s="138">
        <f>ROUNDDOWN(IF(F96*G94&gt;H94,H94,F96*G94),-1)</f>
        <v>149940</v>
      </c>
      <c r="H96" s="138"/>
      <c r="J96" s="54">
        <f>F95*4%</f>
        <v>117360</v>
      </c>
      <c r="R96" s="4">
        <v>1014950</v>
      </c>
      <c r="X96" s="3">
        <f>G96*X94</f>
        <v>0</v>
      </c>
      <c r="Y96" s="3"/>
      <c r="Z96" s="3"/>
    </row>
    <row r="97" spans="1:54" x14ac:dyDescent="0.3">
      <c r="E97" s="5">
        <v>2599000</v>
      </c>
      <c r="F97" s="4"/>
      <c r="G97" s="42"/>
      <c r="H97" s="42"/>
      <c r="J97" s="54"/>
      <c r="R97" s="4"/>
      <c r="X97" s="3"/>
      <c r="Y97" s="3"/>
      <c r="Z97" s="3"/>
    </row>
    <row r="98" spans="1:54" ht="27" customHeight="1" x14ac:dyDescent="0.3">
      <c r="A98" s="124" t="s">
        <v>34</v>
      </c>
      <c r="B98" s="135" t="s">
        <v>126</v>
      </c>
      <c r="C98" s="136"/>
      <c r="D98" s="136"/>
      <c r="E98" s="136"/>
      <c r="F98" s="136"/>
      <c r="G98" s="136"/>
      <c r="H98" s="136"/>
      <c r="I98" s="136"/>
      <c r="J98" s="136"/>
      <c r="K98" s="136"/>
      <c r="L98" s="136"/>
      <c r="M98" s="136"/>
      <c r="N98" s="136"/>
      <c r="O98" s="136"/>
      <c r="P98" s="136"/>
      <c r="Q98" s="136"/>
      <c r="R98" s="137"/>
      <c r="T98" s="130" t="s">
        <v>33</v>
      </c>
      <c r="U98" s="131"/>
      <c r="V98" s="131"/>
      <c r="W98" s="131"/>
      <c r="X98" s="131"/>
      <c r="Y98" s="131"/>
      <c r="Z98" s="131"/>
      <c r="AA98" s="131"/>
      <c r="AB98" s="131"/>
      <c r="AC98" s="131"/>
      <c r="AD98" s="131"/>
      <c r="AE98" s="131"/>
      <c r="AF98" s="131"/>
      <c r="AG98" s="131"/>
      <c r="AH98" s="132"/>
      <c r="AI98" s="37"/>
      <c r="AM98" s="130" t="s">
        <v>32</v>
      </c>
      <c r="AN98" s="131"/>
      <c r="AO98" s="131"/>
      <c r="AP98" s="131"/>
      <c r="AQ98" s="131"/>
      <c r="AR98" s="132"/>
      <c r="AT98" s="130" t="s">
        <v>31</v>
      </c>
      <c r="AU98" s="131"/>
      <c r="AV98" s="131"/>
      <c r="AW98" s="132"/>
      <c r="AY98" s="47" t="s">
        <v>36</v>
      </c>
      <c r="AZ98" s="48"/>
      <c r="BB98" s="36"/>
    </row>
    <row r="99" spans="1:54" ht="32.25" customHeight="1" x14ac:dyDescent="0.3">
      <c r="A99" s="125"/>
      <c r="B99" s="133" t="s">
        <v>30</v>
      </c>
      <c r="C99" s="133" t="s">
        <v>29</v>
      </c>
      <c r="D99" s="116" t="s">
        <v>28</v>
      </c>
      <c r="E99" s="116" t="s">
        <v>27</v>
      </c>
      <c r="F99" s="34" t="s">
        <v>26</v>
      </c>
      <c r="G99" s="122" t="s">
        <v>63</v>
      </c>
      <c r="H99" s="123"/>
      <c r="I99" s="122" t="s">
        <v>50</v>
      </c>
      <c r="J99" s="123"/>
      <c r="K99" s="122" t="s">
        <v>62</v>
      </c>
      <c r="L99" s="123"/>
      <c r="M99" s="122" t="s">
        <v>25</v>
      </c>
      <c r="N99" s="123"/>
      <c r="O99" s="122" t="s">
        <v>24</v>
      </c>
      <c r="P99" s="123"/>
      <c r="Q99" s="106" t="s">
        <v>23</v>
      </c>
      <c r="R99" s="106" t="s">
        <v>22</v>
      </c>
      <c r="S99" s="21"/>
      <c r="T99" s="34" t="s">
        <v>21</v>
      </c>
      <c r="U99" s="34" t="s">
        <v>20</v>
      </c>
      <c r="V99" s="34" t="s">
        <v>95</v>
      </c>
      <c r="W99" s="34" t="s">
        <v>19</v>
      </c>
      <c r="X99" s="34" t="s">
        <v>18</v>
      </c>
      <c r="Y99" s="34" t="s">
        <v>48</v>
      </c>
      <c r="Z99" s="34" t="s">
        <v>49</v>
      </c>
      <c r="AA99" s="34" t="s">
        <v>17</v>
      </c>
      <c r="AB99" s="106" t="s">
        <v>16</v>
      </c>
      <c r="AC99" s="106" t="s">
        <v>15</v>
      </c>
      <c r="AD99" s="106" t="s">
        <v>14</v>
      </c>
      <c r="AE99" s="106" t="s">
        <v>13</v>
      </c>
      <c r="AF99" s="106" t="s">
        <v>12</v>
      </c>
      <c r="AG99" s="116" t="s">
        <v>11</v>
      </c>
      <c r="AH99" s="118" t="s">
        <v>10</v>
      </c>
      <c r="AI99" s="120" t="s">
        <v>9</v>
      </c>
      <c r="AJ99" s="35">
        <f>(1-R101/F101)</f>
        <v>0.16850218272698014</v>
      </c>
      <c r="AK99" s="35">
        <f>1-(AD101+AM101)/F101</f>
        <v>0.10616780414410698</v>
      </c>
      <c r="AM99" s="106" t="s">
        <v>8</v>
      </c>
      <c r="AN99" s="106" t="s">
        <v>7</v>
      </c>
      <c r="AO99" s="106" t="s">
        <v>37</v>
      </c>
      <c r="AP99" s="106" t="s">
        <v>38</v>
      </c>
      <c r="AQ99" s="106" t="s">
        <v>6</v>
      </c>
      <c r="AR99" s="106" t="s">
        <v>5</v>
      </c>
      <c r="AT99" s="106" t="s">
        <v>4</v>
      </c>
      <c r="AU99" s="106" t="s">
        <v>3</v>
      </c>
      <c r="AV99" s="106" t="s">
        <v>2</v>
      </c>
      <c r="AW99" s="106" t="s">
        <v>1</v>
      </c>
      <c r="AY99" s="108"/>
      <c r="AZ99" s="108"/>
      <c r="BB99" s="106"/>
    </row>
    <row r="100" spans="1:54" ht="27" customHeight="1" x14ac:dyDescent="0.3">
      <c r="A100" s="126"/>
      <c r="B100" s="134"/>
      <c r="C100" s="134"/>
      <c r="D100" s="117"/>
      <c r="E100" s="117"/>
      <c r="F100" s="31">
        <v>0</v>
      </c>
      <c r="G100" s="33">
        <v>0.06</v>
      </c>
      <c r="H100" s="32">
        <v>1000000</v>
      </c>
      <c r="I100" s="31">
        <v>0</v>
      </c>
      <c r="J100" s="32">
        <v>0</v>
      </c>
      <c r="K100" s="31">
        <v>1</v>
      </c>
      <c r="L100" s="32">
        <v>300000</v>
      </c>
      <c r="M100" s="31">
        <v>0</v>
      </c>
      <c r="N100" s="32">
        <v>0</v>
      </c>
      <c r="O100" s="31">
        <v>0</v>
      </c>
      <c r="P100" s="32">
        <v>0</v>
      </c>
      <c r="Q100" s="107"/>
      <c r="R100" s="107"/>
      <c r="S100" s="21"/>
      <c r="T100" s="31">
        <f>IF(C101="노트북",7%,IF(C101="저장&amp;주변기기",9%,IF(C101="모니터",7%)))</f>
        <v>7.0000000000000007E-2</v>
      </c>
      <c r="U100" s="31">
        <v>0</v>
      </c>
      <c r="V100" s="31">
        <v>0</v>
      </c>
      <c r="W100" s="31">
        <v>0</v>
      </c>
      <c r="X100" s="30">
        <v>0</v>
      </c>
      <c r="Y100" s="30">
        <v>1</v>
      </c>
      <c r="Z100" s="53">
        <v>1</v>
      </c>
      <c r="AA100" s="29">
        <v>0.5</v>
      </c>
      <c r="AB100" s="107"/>
      <c r="AC100" s="107"/>
      <c r="AD100" s="107"/>
      <c r="AE100" s="107"/>
      <c r="AF100" s="107"/>
      <c r="AG100" s="117"/>
      <c r="AH100" s="119"/>
      <c r="AI100" s="121"/>
      <c r="AJ100" s="55" t="s">
        <v>52</v>
      </c>
      <c r="AK100" s="56">
        <f>AJ99-AK99</f>
        <v>6.2334378582873162E-2</v>
      </c>
      <c r="AM100" s="107"/>
      <c r="AN100" s="107"/>
      <c r="AO100" s="107"/>
      <c r="AP100" s="107"/>
      <c r="AQ100" s="107"/>
      <c r="AR100" s="107"/>
      <c r="AS100" s="39"/>
      <c r="AT100" s="107"/>
      <c r="AU100" s="117"/>
      <c r="AV100" s="107"/>
      <c r="AW100" s="107"/>
      <c r="AY100" s="109"/>
      <c r="AZ100" s="109"/>
      <c r="BB100" s="107"/>
    </row>
    <row r="101" spans="1:54" ht="27" customHeight="1" x14ac:dyDescent="0.3">
      <c r="A101" s="28" t="s">
        <v>123</v>
      </c>
      <c r="B101" s="38" t="s">
        <v>35</v>
      </c>
      <c r="C101" s="27" t="s">
        <v>0</v>
      </c>
      <c r="D101" s="26">
        <v>4714573992</v>
      </c>
      <c r="E101" s="25">
        <v>2764890</v>
      </c>
      <c r="F101" s="24">
        <f>ROUNDDOWN(E101/(1-F100),-1)</f>
        <v>2764890</v>
      </c>
      <c r="G101" s="110">
        <f>ROUNDDOWN(IF(F101*G100&gt;H100,H100,F101*G100),-1)</f>
        <v>165890</v>
      </c>
      <c r="H101" s="111"/>
      <c r="I101" s="112">
        <f>ROUNDDOWN(IF(F101*I100&gt;J100,J100,F101*I100),-1)</f>
        <v>0</v>
      </c>
      <c r="J101" s="113"/>
      <c r="K101" s="112">
        <f>ROUNDDOWN(IF(F101*K100&gt;L100,L100,F101*K100),-1)</f>
        <v>300000</v>
      </c>
      <c r="L101" s="113"/>
      <c r="M101" s="110">
        <f>ROUNDDOWN(IF(Q101*M100&gt;N100,N100,Q101*M100),-1)</f>
        <v>0</v>
      </c>
      <c r="N101" s="111"/>
      <c r="O101" s="110">
        <f>ROUNDDOWN(IF(F101*O100&gt;P100,P100,F101*O100),-1)</f>
        <v>0</v>
      </c>
      <c r="P101" s="111"/>
      <c r="Q101" s="23">
        <f>F101-G101-I101-K101</f>
        <v>2299000</v>
      </c>
      <c r="R101" s="22">
        <f>F101-G101-I101-K101-M101-O101</f>
        <v>2299000</v>
      </c>
      <c r="S101" s="21"/>
      <c r="T101" s="20">
        <f>F101*T100</f>
        <v>193542.30000000002</v>
      </c>
      <c r="U101" s="20">
        <f>F101*U100</f>
        <v>0</v>
      </c>
      <c r="V101" s="20">
        <f>(F101-I101)*V100</f>
        <v>0</v>
      </c>
      <c r="W101" s="19">
        <f>(F101*F100)*W100</f>
        <v>0</v>
      </c>
      <c r="X101" s="19">
        <f>G101*X100</f>
        <v>0</v>
      </c>
      <c r="Y101" s="19">
        <f>I101*Y100</f>
        <v>0</v>
      </c>
      <c r="Z101" s="19">
        <f>K101*Z100</f>
        <v>300000</v>
      </c>
      <c r="AA101" s="19">
        <f>M101*AA100</f>
        <v>0</v>
      </c>
      <c r="AB101" s="19">
        <v>0</v>
      </c>
      <c r="AC101" s="16">
        <v>8000</v>
      </c>
      <c r="AD101" s="18">
        <f>F101-T101-U101-V101-W101-AA101-X101-Y101-Z101-AB101</f>
        <v>2271347.7000000002</v>
      </c>
      <c r="AE101" s="18">
        <f>F101-T101-U101-V101-W101-X101-Y101-Z101-AA101-AB101-AC101</f>
        <v>2263347.7000000002</v>
      </c>
      <c r="AF101" s="17">
        <f>AE101-AG101</f>
        <v>-85652.299999999814</v>
      </c>
      <c r="AG101" s="16">
        <v>2349000</v>
      </c>
      <c r="AH101" s="15">
        <f>AF101/AG101</f>
        <v>-3.6463303533418395E-2</v>
      </c>
      <c r="AI101" s="14">
        <f>1-R101/(AG101-AM101-AN101-AO101)</f>
        <v>-6.979990693345739E-2</v>
      </c>
      <c r="AJ101" s="114">
        <f>(1-R101/F101)-(1-(AD101)/F101)</f>
        <v>-1.0001229705340786E-2</v>
      </c>
      <c r="AK101" s="115"/>
      <c r="AM101" s="13">
        <v>200000</v>
      </c>
      <c r="AN101" s="12"/>
      <c r="AO101" s="12">
        <v>0</v>
      </c>
      <c r="AP101" s="12"/>
      <c r="AQ101" s="11">
        <f>AE101-(AG101-AM101-AN101-AO101-AP101)</f>
        <v>114347.70000000019</v>
      </c>
      <c r="AR101" s="8">
        <f>AQ101/AG101</f>
        <v>4.8679310344827663E-2</v>
      </c>
      <c r="AT101" s="10">
        <v>0</v>
      </c>
      <c r="AU101" s="10">
        <v>0</v>
      </c>
      <c r="AV101" s="9">
        <f>AQ101-AT101-AU101</f>
        <v>114347.70000000019</v>
      </c>
      <c r="AW101" s="8">
        <f>AV101/AG101</f>
        <v>4.8679310344827663E-2</v>
      </c>
      <c r="AY101" s="49"/>
      <c r="AZ101" s="50"/>
      <c r="BB101" s="6"/>
    </row>
    <row r="102" spans="1:54" x14ac:dyDescent="0.3">
      <c r="E102" s="5">
        <v>2499000</v>
      </c>
      <c r="F102" s="4">
        <f>ROUNDDOWN(E102/(1-F100),-1)</f>
        <v>2499000</v>
      </c>
      <c r="G102" s="138">
        <f>ROUNDDOWN(IF(F102*G100&gt;H100,H100,F102*G100),-1)</f>
        <v>149940</v>
      </c>
      <c r="H102" s="138"/>
      <c r="J102" s="54">
        <f>F101*4%</f>
        <v>110595.6</v>
      </c>
      <c r="R102" s="4">
        <v>1014950</v>
      </c>
      <c r="X102" s="3">
        <f>G102*X100</f>
        <v>0</v>
      </c>
      <c r="Y102" s="3"/>
      <c r="Z102" s="3"/>
    </row>
    <row r="103" spans="1:54" x14ac:dyDescent="0.3">
      <c r="E103" s="5">
        <v>2599000</v>
      </c>
      <c r="F103" s="4"/>
      <c r="G103" s="42"/>
      <c r="H103" s="42"/>
      <c r="J103" s="54"/>
      <c r="R103" s="4"/>
      <c r="X103" s="3"/>
      <c r="Y103" s="3"/>
      <c r="Z103" s="3"/>
    </row>
    <row r="104" spans="1:54" x14ac:dyDescent="0.3">
      <c r="E104" s="5"/>
      <c r="F104" s="4"/>
      <c r="G104" s="42"/>
      <c r="H104" s="42"/>
      <c r="J104" s="54"/>
      <c r="X104" s="3"/>
      <c r="Y104" s="3"/>
      <c r="Z104" s="3"/>
    </row>
    <row r="105" spans="1:54" x14ac:dyDescent="0.3">
      <c r="A105" s="43"/>
      <c r="B105" s="43"/>
      <c r="C105" s="43"/>
      <c r="D105" s="43"/>
      <c r="E105" s="5"/>
    </row>
    <row r="106" spans="1:54" s="77" customFormat="1" ht="19.5" x14ac:dyDescent="0.3">
      <c r="A106" s="76" t="s">
        <v>78</v>
      </c>
      <c r="D106" s="78"/>
      <c r="E106" s="79"/>
      <c r="F106" s="80"/>
      <c r="G106" s="80"/>
      <c r="U106" s="81"/>
      <c r="AD106" s="82"/>
      <c r="AE106" s="82"/>
      <c r="AF106" s="82"/>
      <c r="AG106" s="82"/>
      <c r="AV106" s="83"/>
      <c r="AW106" s="83"/>
      <c r="AX106" s="83"/>
      <c r="AY106" s="83"/>
      <c r="AZ106" s="83"/>
    </row>
    <row r="107" spans="1:54" x14ac:dyDescent="0.3">
      <c r="A107" s="43"/>
      <c r="B107" s="43"/>
      <c r="C107" s="43"/>
      <c r="D107" s="43"/>
      <c r="E107" s="5"/>
    </row>
    <row r="108" spans="1:54" ht="27" customHeight="1" x14ac:dyDescent="0.3">
      <c r="A108" s="124" t="s">
        <v>34</v>
      </c>
      <c r="B108" s="127" t="s">
        <v>125</v>
      </c>
      <c r="C108" s="128"/>
      <c r="D108" s="128"/>
      <c r="E108" s="128"/>
      <c r="F108" s="128"/>
      <c r="G108" s="128"/>
      <c r="H108" s="128"/>
      <c r="I108" s="128"/>
      <c r="J108" s="128"/>
      <c r="K108" s="128"/>
      <c r="L108" s="128"/>
      <c r="M108" s="128"/>
      <c r="N108" s="128"/>
      <c r="O108" s="128"/>
      <c r="P108" s="128"/>
      <c r="Q108" s="128"/>
      <c r="R108" s="129"/>
      <c r="T108" s="130" t="s">
        <v>33</v>
      </c>
      <c r="U108" s="131"/>
      <c r="V108" s="131"/>
      <c r="W108" s="131"/>
      <c r="X108" s="131"/>
      <c r="Y108" s="131"/>
      <c r="Z108" s="131"/>
      <c r="AA108" s="131"/>
      <c r="AB108" s="131"/>
      <c r="AC108" s="131"/>
      <c r="AD108" s="131"/>
      <c r="AE108" s="131"/>
      <c r="AF108" s="131"/>
      <c r="AG108" s="131"/>
      <c r="AH108" s="132"/>
      <c r="AI108" s="37"/>
      <c r="AM108" s="130" t="s">
        <v>32</v>
      </c>
      <c r="AN108" s="131"/>
      <c r="AO108" s="131"/>
      <c r="AP108" s="131"/>
      <c r="AQ108" s="131"/>
      <c r="AR108" s="132"/>
      <c r="AT108" s="130" t="s">
        <v>31</v>
      </c>
      <c r="AU108" s="131"/>
      <c r="AV108" s="131"/>
      <c r="AW108" s="132"/>
      <c r="AY108" s="47" t="s">
        <v>36</v>
      </c>
      <c r="AZ108" s="48"/>
      <c r="BB108" s="36"/>
    </row>
    <row r="109" spans="1:54" ht="32.25" customHeight="1" x14ac:dyDescent="0.3">
      <c r="A109" s="125"/>
      <c r="B109" s="133" t="s">
        <v>30</v>
      </c>
      <c r="C109" s="133" t="s">
        <v>29</v>
      </c>
      <c r="D109" s="116" t="s">
        <v>28</v>
      </c>
      <c r="E109" s="116" t="s">
        <v>27</v>
      </c>
      <c r="F109" s="34" t="s">
        <v>26</v>
      </c>
      <c r="G109" s="122" t="s">
        <v>63</v>
      </c>
      <c r="H109" s="123"/>
      <c r="I109" s="122" t="s">
        <v>50</v>
      </c>
      <c r="J109" s="123"/>
      <c r="K109" s="122" t="s">
        <v>62</v>
      </c>
      <c r="L109" s="123"/>
      <c r="M109" s="122" t="s">
        <v>25</v>
      </c>
      <c r="N109" s="123"/>
      <c r="O109" s="122" t="s">
        <v>24</v>
      </c>
      <c r="P109" s="123"/>
      <c r="Q109" s="106" t="s">
        <v>23</v>
      </c>
      <c r="R109" s="106" t="s">
        <v>22</v>
      </c>
      <c r="S109" s="21"/>
      <c r="T109" s="34" t="s">
        <v>21</v>
      </c>
      <c r="U109" s="34" t="s">
        <v>20</v>
      </c>
      <c r="V109" s="34" t="s">
        <v>95</v>
      </c>
      <c r="W109" s="34" t="s">
        <v>19</v>
      </c>
      <c r="X109" s="34" t="s">
        <v>18</v>
      </c>
      <c r="Y109" s="34" t="s">
        <v>48</v>
      </c>
      <c r="Z109" s="34" t="s">
        <v>49</v>
      </c>
      <c r="AA109" s="34" t="s">
        <v>17</v>
      </c>
      <c r="AB109" s="106" t="s">
        <v>16</v>
      </c>
      <c r="AC109" s="106" t="s">
        <v>15</v>
      </c>
      <c r="AD109" s="106" t="s">
        <v>14</v>
      </c>
      <c r="AE109" s="106" t="s">
        <v>13</v>
      </c>
      <c r="AF109" s="106" t="s">
        <v>12</v>
      </c>
      <c r="AG109" s="116" t="s">
        <v>11</v>
      </c>
      <c r="AH109" s="118" t="s">
        <v>10</v>
      </c>
      <c r="AI109" s="120" t="s">
        <v>9</v>
      </c>
      <c r="AJ109" s="35">
        <f>(1-R111/F111)</f>
        <v>0.32490066225165559</v>
      </c>
      <c r="AK109" s="35">
        <f>1-(AD111+AM111)/F111</f>
        <v>0.1792715231788079</v>
      </c>
      <c r="AM109" s="106" t="s">
        <v>8</v>
      </c>
      <c r="AN109" s="106" t="s">
        <v>7</v>
      </c>
      <c r="AO109" s="106" t="s">
        <v>37</v>
      </c>
      <c r="AP109" s="106" t="s">
        <v>38</v>
      </c>
      <c r="AQ109" s="106" t="s">
        <v>6</v>
      </c>
      <c r="AR109" s="106" t="s">
        <v>5</v>
      </c>
      <c r="AT109" s="106" t="s">
        <v>4</v>
      </c>
      <c r="AU109" s="106" t="s">
        <v>3</v>
      </c>
      <c r="AV109" s="106" t="s">
        <v>2</v>
      </c>
      <c r="AW109" s="106" t="s">
        <v>1</v>
      </c>
      <c r="AY109" s="108"/>
      <c r="AZ109" s="108"/>
      <c r="BB109" s="106"/>
    </row>
    <row r="110" spans="1:54" ht="27" customHeight="1" x14ac:dyDescent="0.3">
      <c r="A110" s="126"/>
      <c r="B110" s="134"/>
      <c r="C110" s="134"/>
      <c r="D110" s="117"/>
      <c r="E110" s="117"/>
      <c r="F110" s="31">
        <v>0</v>
      </c>
      <c r="G110" s="33">
        <v>0.06</v>
      </c>
      <c r="H110" s="32">
        <v>1000000</v>
      </c>
      <c r="I110" s="31">
        <v>1</v>
      </c>
      <c r="J110" s="32">
        <v>30000</v>
      </c>
      <c r="K110" s="31">
        <v>1</v>
      </c>
      <c r="L110" s="32">
        <v>300000</v>
      </c>
      <c r="M110" s="31">
        <v>7.0000000000000007E-2</v>
      </c>
      <c r="N110" s="32">
        <v>70000</v>
      </c>
      <c r="O110" s="31">
        <v>0</v>
      </c>
      <c r="P110" s="32">
        <v>0</v>
      </c>
      <c r="Q110" s="107"/>
      <c r="R110" s="107"/>
      <c r="S110" s="21"/>
      <c r="T110" s="31">
        <f>IF(C111="노트북",7%,IF(C111="저장&amp;주변기기",9%,IF(C111="모니터",7%)))</f>
        <v>7.0000000000000007E-2</v>
      </c>
      <c r="U110" s="31">
        <v>0</v>
      </c>
      <c r="V110" s="31">
        <v>0</v>
      </c>
      <c r="W110" s="31">
        <v>0</v>
      </c>
      <c r="X110" s="30">
        <v>0</v>
      </c>
      <c r="Y110" s="30">
        <v>1</v>
      </c>
      <c r="Z110" s="53">
        <v>1</v>
      </c>
      <c r="AA110" s="29">
        <v>0.5</v>
      </c>
      <c r="AB110" s="107"/>
      <c r="AC110" s="107"/>
      <c r="AD110" s="107"/>
      <c r="AE110" s="107"/>
      <c r="AF110" s="107"/>
      <c r="AG110" s="117"/>
      <c r="AH110" s="119"/>
      <c r="AI110" s="121"/>
      <c r="AJ110" s="55" t="s">
        <v>52</v>
      </c>
      <c r="AK110" s="56">
        <f>AJ109-AK109</f>
        <v>0.14562913907284769</v>
      </c>
      <c r="AM110" s="107"/>
      <c r="AN110" s="107"/>
      <c r="AO110" s="107"/>
      <c r="AP110" s="107"/>
      <c r="AQ110" s="107"/>
      <c r="AR110" s="107"/>
      <c r="AS110" s="39"/>
      <c r="AT110" s="107"/>
      <c r="AU110" s="117"/>
      <c r="AV110" s="107"/>
      <c r="AW110" s="107"/>
      <c r="AY110" s="109"/>
      <c r="AZ110" s="109"/>
      <c r="BB110" s="107"/>
    </row>
    <row r="111" spans="1:54" ht="27" customHeight="1" x14ac:dyDescent="0.3">
      <c r="A111" s="28" t="s">
        <v>55</v>
      </c>
      <c r="B111" s="38" t="s">
        <v>35</v>
      </c>
      <c r="C111" s="27" t="s">
        <v>0</v>
      </c>
      <c r="D111" s="26">
        <v>4514791229</v>
      </c>
      <c r="E111" s="25">
        <v>1510000</v>
      </c>
      <c r="F111" s="24">
        <f>ROUNDDOWN(E111/(1-F110),-1)</f>
        <v>1510000</v>
      </c>
      <c r="G111" s="110">
        <f>ROUNDDOWN(IF(F111*G110&gt;H110,H110,F111*G110),-1)</f>
        <v>90600</v>
      </c>
      <c r="H111" s="111"/>
      <c r="I111" s="112">
        <f>ROUNDDOWN(IF(F111*I110&gt;J110,J110,F111*I110),-1)</f>
        <v>30000</v>
      </c>
      <c r="J111" s="113"/>
      <c r="K111" s="112">
        <f>ROUNDDOWN(IF(F111*K110&gt;L110,L110,F111*K110),-1)</f>
        <v>300000</v>
      </c>
      <c r="L111" s="113"/>
      <c r="M111" s="110">
        <f>ROUNDDOWN(IF(Q111*M110&gt;N110,N110,Q111*M110),-1)</f>
        <v>70000</v>
      </c>
      <c r="N111" s="111"/>
      <c r="O111" s="110">
        <f>ROUNDDOWN(IF(F111*O110&gt;P110,P110,F111*O110),-1)</f>
        <v>0</v>
      </c>
      <c r="P111" s="111"/>
      <c r="Q111" s="23">
        <f>F111-G111-I111-K111</f>
        <v>1089400</v>
      </c>
      <c r="R111" s="22">
        <f>F111-G111-I111-K111-M111-O111</f>
        <v>1019400</v>
      </c>
      <c r="S111" s="21"/>
      <c r="T111" s="20">
        <f>F111*T110</f>
        <v>105700.00000000001</v>
      </c>
      <c r="U111" s="20">
        <f>F111*U110</f>
        <v>0</v>
      </c>
      <c r="V111" s="20">
        <f>(F111-I111)*V110</f>
        <v>0</v>
      </c>
      <c r="W111" s="19">
        <f>(F111*F110)*W110</f>
        <v>0</v>
      </c>
      <c r="X111" s="19">
        <f>G111*X110</f>
        <v>0</v>
      </c>
      <c r="Y111" s="19">
        <f>I111*Y110</f>
        <v>30000</v>
      </c>
      <c r="Z111" s="19">
        <f>K111*Z110</f>
        <v>300000</v>
      </c>
      <c r="AA111" s="19">
        <f>M111*AA110</f>
        <v>35000</v>
      </c>
      <c r="AB111" s="19">
        <v>0</v>
      </c>
      <c r="AC111" s="16">
        <v>8000</v>
      </c>
      <c r="AD111" s="18">
        <f>F111-T111-U111-V111-W111-AA111-X111-Y111-Z111-AB111</f>
        <v>1039300</v>
      </c>
      <c r="AE111" s="18">
        <f>F111-T111-U111-V111-W111-X111-Y111-Z111-AA111-AB111-AC111</f>
        <v>1031300</v>
      </c>
      <c r="AF111" s="17">
        <f>AE111-AG111</f>
        <v>-176700</v>
      </c>
      <c r="AG111" s="16">
        <v>1208000</v>
      </c>
      <c r="AH111" s="15">
        <f>AF111/AG111</f>
        <v>-0.14627483443708608</v>
      </c>
      <c r="AI111" s="14">
        <f>1-R111/(AG111-AM111-AN111-AO111)</f>
        <v>-1.1309523809523769E-2</v>
      </c>
      <c r="AJ111" s="114">
        <f>(1-R111/F111)-(1-(AD111)/F111)</f>
        <v>1.3178807947019866E-2</v>
      </c>
      <c r="AK111" s="115"/>
      <c r="AM111" s="13">
        <v>200000</v>
      </c>
      <c r="AN111" s="12"/>
      <c r="AO111" s="12">
        <v>0</v>
      </c>
      <c r="AP111" s="12"/>
      <c r="AQ111" s="11">
        <f>AE111-(AG111-AM111-AN111-AO111-AP111)</f>
        <v>23300</v>
      </c>
      <c r="AR111" s="8">
        <f>AQ111/AG111</f>
        <v>1.9288079470198675E-2</v>
      </c>
      <c r="AT111" s="10">
        <v>0</v>
      </c>
      <c r="AU111" s="10">
        <v>0</v>
      </c>
      <c r="AV111" s="9">
        <f>AQ111-AT111-AU111</f>
        <v>23300</v>
      </c>
      <c r="AW111" s="8">
        <f>AV111/AG111</f>
        <v>1.9288079470198675E-2</v>
      </c>
      <c r="AY111" s="49"/>
      <c r="AZ111" s="50"/>
      <c r="BB111" s="6"/>
    </row>
    <row r="112" spans="1:54" x14ac:dyDescent="0.3">
      <c r="E112" s="5">
        <v>1299000</v>
      </c>
      <c r="F112" s="4">
        <f>ROUNDDOWN(E112/(1-F110),-1)</f>
        <v>1299000</v>
      </c>
      <c r="G112" s="138">
        <f>ROUNDDOWN(IF(F112*G110&gt;H110,H110,F112*G110),-1)</f>
        <v>77940</v>
      </c>
      <c r="H112" s="138"/>
      <c r="J112" s="54">
        <f>F111*4%</f>
        <v>60400</v>
      </c>
      <c r="R112" s="4">
        <v>1014950</v>
      </c>
      <c r="X112" s="3">
        <f>G112*X110</f>
        <v>0</v>
      </c>
      <c r="Y112" s="3"/>
      <c r="Z112" s="3"/>
    </row>
    <row r="113" spans="1:54" ht="27" customHeight="1" x14ac:dyDescent="0.3">
      <c r="A113" s="124" t="s">
        <v>34</v>
      </c>
      <c r="B113" s="135" t="s">
        <v>126</v>
      </c>
      <c r="C113" s="136"/>
      <c r="D113" s="136"/>
      <c r="E113" s="136"/>
      <c r="F113" s="136"/>
      <c r="G113" s="136"/>
      <c r="H113" s="136"/>
      <c r="I113" s="136"/>
      <c r="J113" s="136"/>
      <c r="K113" s="136"/>
      <c r="L113" s="136"/>
      <c r="M113" s="136"/>
      <c r="N113" s="136"/>
      <c r="O113" s="136"/>
      <c r="P113" s="136"/>
      <c r="Q113" s="136"/>
      <c r="R113" s="137"/>
      <c r="T113" s="130" t="s">
        <v>33</v>
      </c>
      <c r="U113" s="131"/>
      <c r="V113" s="131"/>
      <c r="W113" s="131"/>
      <c r="X113" s="131"/>
      <c r="Y113" s="131"/>
      <c r="Z113" s="131"/>
      <c r="AA113" s="131"/>
      <c r="AB113" s="131"/>
      <c r="AC113" s="131"/>
      <c r="AD113" s="131"/>
      <c r="AE113" s="131"/>
      <c r="AF113" s="131"/>
      <c r="AG113" s="131"/>
      <c r="AH113" s="132"/>
      <c r="AI113" s="37"/>
      <c r="AM113" s="130" t="s">
        <v>32</v>
      </c>
      <c r="AN113" s="131"/>
      <c r="AO113" s="131"/>
      <c r="AP113" s="131"/>
      <c r="AQ113" s="131"/>
      <c r="AR113" s="132"/>
      <c r="AT113" s="130" t="s">
        <v>31</v>
      </c>
      <c r="AU113" s="131"/>
      <c r="AV113" s="131"/>
      <c r="AW113" s="132"/>
      <c r="AY113" s="47" t="s">
        <v>36</v>
      </c>
      <c r="AZ113" s="48"/>
      <c r="BB113" s="36"/>
    </row>
    <row r="114" spans="1:54" ht="32.25" customHeight="1" x14ac:dyDescent="0.3">
      <c r="A114" s="125"/>
      <c r="B114" s="133" t="s">
        <v>30</v>
      </c>
      <c r="C114" s="133" t="s">
        <v>29</v>
      </c>
      <c r="D114" s="116" t="s">
        <v>28</v>
      </c>
      <c r="E114" s="116" t="s">
        <v>27</v>
      </c>
      <c r="F114" s="34" t="s">
        <v>26</v>
      </c>
      <c r="G114" s="122" t="s">
        <v>63</v>
      </c>
      <c r="H114" s="123"/>
      <c r="I114" s="122" t="s">
        <v>50</v>
      </c>
      <c r="J114" s="123"/>
      <c r="K114" s="122" t="s">
        <v>62</v>
      </c>
      <c r="L114" s="123"/>
      <c r="M114" s="122" t="s">
        <v>25</v>
      </c>
      <c r="N114" s="123"/>
      <c r="O114" s="122" t="s">
        <v>24</v>
      </c>
      <c r="P114" s="123"/>
      <c r="Q114" s="106" t="s">
        <v>23</v>
      </c>
      <c r="R114" s="106" t="s">
        <v>22</v>
      </c>
      <c r="S114" s="21"/>
      <c r="T114" s="34" t="s">
        <v>21</v>
      </c>
      <c r="U114" s="34" t="s">
        <v>20</v>
      </c>
      <c r="V114" s="34" t="s">
        <v>95</v>
      </c>
      <c r="W114" s="34" t="s">
        <v>19</v>
      </c>
      <c r="X114" s="34" t="s">
        <v>18</v>
      </c>
      <c r="Y114" s="34" t="s">
        <v>48</v>
      </c>
      <c r="Z114" s="34" t="s">
        <v>49</v>
      </c>
      <c r="AA114" s="34" t="s">
        <v>17</v>
      </c>
      <c r="AB114" s="106" t="s">
        <v>16</v>
      </c>
      <c r="AC114" s="106" t="s">
        <v>15</v>
      </c>
      <c r="AD114" s="106" t="s">
        <v>14</v>
      </c>
      <c r="AE114" s="106" t="s">
        <v>13</v>
      </c>
      <c r="AF114" s="106" t="s">
        <v>12</v>
      </c>
      <c r="AG114" s="116" t="s">
        <v>11</v>
      </c>
      <c r="AH114" s="118" t="s">
        <v>10</v>
      </c>
      <c r="AI114" s="120" t="s">
        <v>9</v>
      </c>
      <c r="AJ114" s="35">
        <f>(1-R116/F116)</f>
        <v>0.26904048498362487</v>
      </c>
      <c r="AK114" s="35">
        <f>1-(AD116+AM116)/F116</f>
        <v>0.13968155529231407</v>
      </c>
      <c r="AM114" s="106" t="s">
        <v>8</v>
      </c>
      <c r="AN114" s="106" t="s">
        <v>7</v>
      </c>
      <c r="AO114" s="106" t="s">
        <v>37</v>
      </c>
      <c r="AP114" s="106" t="s">
        <v>38</v>
      </c>
      <c r="AQ114" s="106" t="s">
        <v>6</v>
      </c>
      <c r="AR114" s="106" t="s">
        <v>5</v>
      </c>
      <c r="AT114" s="106" t="s">
        <v>4</v>
      </c>
      <c r="AU114" s="106" t="s">
        <v>3</v>
      </c>
      <c r="AV114" s="106" t="s">
        <v>2</v>
      </c>
      <c r="AW114" s="106" t="s">
        <v>1</v>
      </c>
      <c r="AY114" s="108"/>
      <c r="AZ114" s="108"/>
      <c r="BB114" s="106"/>
    </row>
    <row r="115" spans="1:54" ht="27" customHeight="1" x14ac:dyDescent="0.3">
      <c r="A115" s="126"/>
      <c r="B115" s="134"/>
      <c r="C115" s="134"/>
      <c r="D115" s="117"/>
      <c r="E115" s="117"/>
      <c r="F115" s="31">
        <v>0</v>
      </c>
      <c r="G115" s="33">
        <v>0.06</v>
      </c>
      <c r="H115" s="32">
        <v>1000000</v>
      </c>
      <c r="I115" s="31">
        <v>0</v>
      </c>
      <c r="J115" s="32">
        <v>0</v>
      </c>
      <c r="K115" s="31">
        <v>1</v>
      </c>
      <c r="L115" s="32">
        <v>300000</v>
      </c>
      <c r="M115" s="31">
        <v>0</v>
      </c>
      <c r="N115" s="32">
        <v>0</v>
      </c>
      <c r="O115" s="31">
        <v>0</v>
      </c>
      <c r="P115" s="32">
        <v>0</v>
      </c>
      <c r="Q115" s="107"/>
      <c r="R115" s="107"/>
      <c r="S115" s="21"/>
      <c r="T115" s="31">
        <f>IF(C116="노트북",7%,IF(C116="저장&amp;주변기기",9%,IF(C116="모니터",7%)))</f>
        <v>7.0000000000000007E-2</v>
      </c>
      <c r="U115" s="31">
        <v>0</v>
      </c>
      <c r="V115" s="31">
        <v>0</v>
      </c>
      <c r="W115" s="31">
        <v>0</v>
      </c>
      <c r="X115" s="30">
        <v>0</v>
      </c>
      <c r="Y115" s="30">
        <v>1</v>
      </c>
      <c r="Z115" s="53">
        <v>1</v>
      </c>
      <c r="AA115" s="29">
        <v>0.5</v>
      </c>
      <c r="AB115" s="107"/>
      <c r="AC115" s="107"/>
      <c r="AD115" s="107"/>
      <c r="AE115" s="107"/>
      <c r="AF115" s="107"/>
      <c r="AG115" s="117"/>
      <c r="AH115" s="119"/>
      <c r="AI115" s="121"/>
      <c r="AJ115" s="55" t="s">
        <v>52</v>
      </c>
      <c r="AK115" s="56">
        <f>AJ114-AK114</f>
        <v>0.1293589296913108</v>
      </c>
      <c r="AM115" s="107"/>
      <c r="AN115" s="107"/>
      <c r="AO115" s="107"/>
      <c r="AP115" s="107"/>
      <c r="AQ115" s="107"/>
      <c r="AR115" s="107"/>
      <c r="AS115" s="39"/>
      <c r="AT115" s="107"/>
      <c r="AU115" s="117"/>
      <c r="AV115" s="107"/>
      <c r="AW115" s="107"/>
      <c r="AY115" s="109"/>
      <c r="AZ115" s="109"/>
      <c r="BB115" s="107"/>
    </row>
    <row r="116" spans="1:54" ht="27" customHeight="1" x14ac:dyDescent="0.3">
      <c r="A116" s="28" t="s">
        <v>55</v>
      </c>
      <c r="B116" s="38" t="s">
        <v>35</v>
      </c>
      <c r="C116" s="27" t="s">
        <v>0</v>
      </c>
      <c r="D116" s="26">
        <v>4514791229</v>
      </c>
      <c r="E116" s="25">
        <v>1435100</v>
      </c>
      <c r="F116" s="24">
        <f>ROUNDDOWN(E116/(1-F115),-1)</f>
        <v>1435100</v>
      </c>
      <c r="G116" s="110">
        <f>ROUNDDOWN(IF(F116*G115&gt;H115,H115,F116*G115),-1)</f>
        <v>86100</v>
      </c>
      <c r="H116" s="111"/>
      <c r="I116" s="112">
        <f>ROUNDDOWN(IF(F116*I115&gt;J115,J115,F116*I115),-1)</f>
        <v>0</v>
      </c>
      <c r="J116" s="113"/>
      <c r="K116" s="112">
        <f>ROUNDDOWN(IF(F116*K115&gt;L115,L115,F116*K115),-1)</f>
        <v>300000</v>
      </c>
      <c r="L116" s="113"/>
      <c r="M116" s="110">
        <f>ROUNDDOWN(IF(Q116*M115&gt;N115,N115,Q116*M115),-1)</f>
        <v>0</v>
      </c>
      <c r="N116" s="111"/>
      <c r="O116" s="110">
        <f>ROUNDDOWN(IF(F116*O115&gt;P115,P115,F116*O115),-1)</f>
        <v>0</v>
      </c>
      <c r="P116" s="111"/>
      <c r="Q116" s="23">
        <f>F116-G116-I116-K116</f>
        <v>1049000</v>
      </c>
      <c r="R116" s="22">
        <f>F116-G116-I116-K116-M116-O116</f>
        <v>1049000</v>
      </c>
      <c r="S116" s="21"/>
      <c r="T116" s="20">
        <f>F116*T115</f>
        <v>100457.00000000001</v>
      </c>
      <c r="U116" s="20">
        <f>F116*U115</f>
        <v>0</v>
      </c>
      <c r="V116" s="20">
        <f>(F116-I116)*V115</f>
        <v>0</v>
      </c>
      <c r="W116" s="19">
        <f>(F116*F115)*W115</f>
        <v>0</v>
      </c>
      <c r="X116" s="19">
        <f>G116*X115</f>
        <v>0</v>
      </c>
      <c r="Y116" s="19">
        <f>I116*Y115</f>
        <v>0</v>
      </c>
      <c r="Z116" s="19">
        <f>K116*Z115</f>
        <v>300000</v>
      </c>
      <c r="AA116" s="19">
        <f>M116*AA115</f>
        <v>0</v>
      </c>
      <c r="AB116" s="19">
        <v>0</v>
      </c>
      <c r="AC116" s="16">
        <v>8000</v>
      </c>
      <c r="AD116" s="18">
        <f>F116-T116-U116-V116-W116-AA116-X116-Y116-Z116-AB116</f>
        <v>1034643</v>
      </c>
      <c r="AE116" s="18">
        <f>F116-T116-U116-V116-W116-X116-Y116-Z116-AA116-AB116-AC116</f>
        <v>1026643</v>
      </c>
      <c r="AF116" s="17">
        <f>AE116-AG116</f>
        <v>-181357</v>
      </c>
      <c r="AG116" s="16">
        <v>1208000</v>
      </c>
      <c r="AH116" s="15">
        <f>AF116/AG116</f>
        <v>-0.15012996688741723</v>
      </c>
      <c r="AI116" s="14">
        <f>1-R116/(AG116-AM116-AN116-AO116)</f>
        <v>-4.0674603174603252E-2</v>
      </c>
      <c r="AJ116" s="114">
        <f>(1-R116/F116)-(1-(AD116)/F116)</f>
        <v>-1.0004180893317449E-2</v>
      </c>
      <c r="AK116" s="115"/>
      <c r="AM116" s="13">
        <v>200000</v>
      </c>
      <c r="AN116" s="12"/>
      <c r="AO116" s="12">
        <v>0</v>
      </c>
      <c r="AP116" s="12"/>
      <c r="AQ116" s="11">
        <f>AE116-(AG116-AM116-AN116-AO116-AP116)</f>
        <v>18643</v>
      </c>
      <c r="AR116" s="8">
        <f>AQ116/AG116</f>
        <v>1.5432947019867549E-2</v>
      </c>
      <c r="AT116" s="10">
        <v>0</v>
      </c>
      <c r="AU116" s="10">
        <v>0</v>
      </c>
      <c r="AV116" s="9">
        <f>AQ116-AT116-AU116</f>
        <v>18643</v>
      </c>
      <c r="AW116" s="8">
        <f>AV116/AG116</f>
        <v>1.5432947019867549E-2</v>
      </c>
      <c r="AY116" s="49"/>
      <c r="AZ116" s="50"/>
      <c r="BB116" s="6"/>
    </row>
    <row r="117" spans="1:54" x14ac:dyDescent="0.3">
      <c r="E117" s="5">
        <v>1299000</v>
      </c>
      <c r="F117" s="4">
        <f>ROUNDDOWN(E117/(1-F115),-1)</f>
        <v>1299000</v>
      </c>
      <c r="G117" s="138">
        <f>ROUNDDOWN(IF(F117*G115&gt;H115,H115,F117*G115),-1)</f>
        <v>77940</v>
      </c>
      <c r="H117" s="138"/>
      <c r="J117" s="54">
        <f>F116*4%</f>
        <v>57404</v>
      </c>
      <c r="R117" s="4">
        <v>1014950</v>
      </c>
      <c r="X117" s="3">
        <f>G117*X115</f>
        <v>0</v>
      </c>
      <c r="Y117" s="3"/>
      <c r="Z117" s="3"/>
    </row>
    <row r="118" spans="1:54" x14ac:dyDescent="0.3">
      <c r="A118" s="43"/>
      <c r="B118" s="43"/>
      <c r="C118" s="43"/>
      <c r="D118" s="43"/>
      <c r="E118" s="5"/>
    </row>
    <row r="119" spans="1:54" x14ac:dyDescent="0.3">
      <c r="A119" s="43"/>
      <c r="B119" s="43"/>
      <c r="C119" s="43"/>
      <c r="D119" s="43"/>
      <c r="E119" s="5"/>
    </row>
    <row r="120" spans="1:54" ht="27" customHeight="1" x14ac:dyDescent="0.3">
      <c r="A120" s="124" t="s">
        <v>34</v>
      </c>
      <c r="B120" s="127" t="s">
        <v>125</v>
      </c>
      <c r="C120" s="128"/>
      <c r="D120" s="128"/>
      <c r="E120" s="128"/>
      <c r="F120" s="128"/>
      <c r="G120" s="128"/>
      <c r="H120" s="128"/>
      <c r="I120" s="128"/>
      <c r="J120" s="128"/>
      <c r="K120" s="128"/>
      <c r="L120" s="128"/>
      <c r="M120" s="128"/>
      <c r="N120" s="128"/>
      <c r="O120" s="128"/>
      <c r="P120" s="128"/>
      <c r="Q120" s="128"/>
      <c r="R120" s="129"/>
      <c r="T120" s="130" t="s">
        <v>33</v>
      </c>
      <c r="U120" s="131"/>
      <c r="V120" s="131"/>
      <c r="W120" s="131"/>
      <c r="X120" s="131"/>
      <c r="Y120" s="131"/>
      <c r="Z120" s="131"/>
      <c r="AA120" s="131"/>
      <c r="AB120" s="131"/>
      <c r="AC120" s="131"/>
      <c r="AD120" s="131"/>
      <c r="AE120" s="131"/>
      <c r="AF120" s="131"/>
      <c r="AG120" s="131"/>
      <c r="AH120" s="132"/>
      <c r="AI120" s="37"/>
      <c r="AM120" s="130" t="s">
        <v>32</v>
      </c>
      <c r="AN120" s="131"/>
      <c r="AO120" s="131"/>
      <c r="AP120" s="131"/>
      <c r="AQ120" s="131"/>
      <c r="AR120" s="132"/>
      <c r="AT120" s="130" t="s">
        <v>31</v>
      </c>
      <c r="AU120" s="131"/>
      <c r="AV120" s="131"/>
      <c r="AW120" s="132"/>
      <c r="AY120" s="47" t="s">
        <v>36</v>
      </c>
      <c r="AZ120" s="48"/>
      <c r="BB120" s="36"/>
    </row>
    <row r="121" spans="1:54" ht="32.25" customHeight="1" x14ac:dyDescent="0.3">
      <c r="A121" s="125"/>
      <c r="B121" s="133" t="s">
        <v>30</v>
      </c>
      <c r="C121" s="133" t="s">
        <v>29</v>
      </c>
      <c r="D121" s="116" t="s">
        <v>28</v>
      </c>
      <c r="E121" s="116" t="s">
        <v>27</v>
      </c>
      <c r="F121" s="34" t="s">
        <v>26</v>
      </c>
      <c r="G121" s="122" t="s">
        <v>63</v>
      </c>
      <c r="H121" s="123"/>
      <c r="I121" s="122" t="s">
        <v>50</v>
      </c>
      <c r="J121" s="123"/>
      <c r="K121" s="122" t="s">
        <v>62</v>
      </c>
      <c r="L121" s="123"/>
      <c r="M121" s="122" t="s">
        <v>25</v>
      </c>
      <c r="N121" s="123"/>
      <c r="O121" s="122" t="s">
        <v>24</v>
      </c>
      <c r="P121" s="123"/>
      <c r="Q121" s="106" t="s">
        <v>23</v>
      </c>
      <c r="R121" s="106" t="s">
        <v>22</v>
      </c>
      <c r="S121" s="21"/>
      <c r="T121" s="34" t="s">
        <v>21</v>
      </c>
      <c r="U121" s="34" t="s">
        <v>20</v>
      </c>
      <c r="V121" s="34" t="s">
        <v>95</v>
      </c>
      <c r="W121" s="34" t="s">
        <v>19</v>
      </c>
      <c r="X121" s="34" t="s">
        <v>18</v>
      </c>
      <c r="Y121" s="34" t="s">
        <v>48</v>
      </c>
      <c r="Z121" s="34" t="s">
        <v>49</v>
      </c>
      <c r="AA121" s="34" t="s">
        <v>17</v>
      </c>
      <c r="AB121" s="106" t="s">
        <v>16</v>
      </c>
      <c r="AC121" s="106" t="s">
        <v>15</v>
      </c>
      <c r="AD121" s="106" t="s">
        <v>14</v>
      </c>
      <c r="AE121" s="106" t="s">
        <v>13</v>
      </c>
      <c r="AF121" s="106" t="s">
        <v>12</v>
      </c>
      <c r="AG121" s="116" t="s">
        <v>11</v>
      </c>
      <c r="AH121" s="118" t="s">
        <v>10</v>
      </c>
      <c r="AI121" s="120" t="s">
        <v>9</v>
      </c>
      <c r="AJ121" s="35">
        <f>(1-R123/F123)</f>
        <v>0.30527808676307011</v>
      </c>
      <c r="AK121" s="35">
        <f>1-(AD123+AM123)/F123</f>
        <v>0.26132647385984431</v>
      </c>
      <c r="AM121" s="106" t="s">
        <v>8</v>
      </c>
      <c r="AN121" s="106" t="s">
        <v>7</v>
      </c>
      <c r="AO121" s="106" t="s">
        <v>37</v>
      </c>
      <c r="AP121" s="106" t="s">
        <v>38</v>
      </c>
      <c r="AQ121" s="106" t="s">
        <v>6</v>
      </c>
      <c r="AR121" s="106" t="s">
        <v>5</v>
      </c>
      <c r="AT121" s="106" t="s">
        <v>4</v>
      </c>
      <c r="AU121" s="106" t="s">
        <v>3</v>
      </c>
      <c r="AV121" s="106" t="s">
        <v>2</v>
      </c>
      <c r="AW121" s="106" t="s">
        <v>1</v>
      </c>
      <c r="AY121" s="108"/>
      <c r="AZ121" s="108"/>
      <c r="BB121" s="106"/>
    </row>
    <row r="122" spans="1:54" ht="27" customHeight="1" x14ac:dyDescent="0.3">
      <c r="A122" s="126"/>
      <c r="B122" s="134"/>
      <c r="C122" s="134"/>
      <c r="D122" s="117"/>
      <c r="E122" s="117"/>
      <c r="F122" s="31">
        <v>0</v>
      </c>
      <c r="G122" s="33">
        <v>0.06</v>
      </c>
      <c r="H122" s="32">
        <v>1000000</v>
      </c>
      <c r="I122" s="31">
        <v>1</v>
      </c>
      <c r="J122" s="32">
        <v>47000</v>
      </c>
      <c r="K122" s="31">
        <v>1</v>
      </c>
      <c r="L122" s="32">
        <v>300000</v>
      </c>
      <c r="M122" s="31">
        <v>7.0000000000000007E-2</v>
      </c>
      <c r="N122" s="32">
        <v>150000</v>
      </c>
      <c r="O122" s="31">
        <v>0</v>
      </c>
      <c r="P122" s="32">
        <v>0</v>
      </c>
      <c r="Q122" s="107"/>
      <c r="R122" s="107"/>
      <c r="S122" s="21"/>
      <c r="T122" s="31">
        <f>IF(C123="노트북",7%,IF(C123="저장&amp;주변기기",9%,IF(C123="모니터",7%)))</f>
        <v>7.0000000000000007E-2</v>
      </c>
      <c r="U122" s="31">
        <v>0</v>
      </c>
      <c r="V122" s="31">
        <v>0</v>
      </c>
      <c r="W122" s="31">
        <v>0</v>
      </c>
      <c r="X122" s="30">
        <v>0</v>
      </c>
      <c r="Y122" s="30">
        <v>1</v>
      </c>
      <c r="Z122" s="53">
        <v>1</v>
      </c>
      <c r="AA122" s="29">
        <v>0.5</v>
      </c>
      <c r="AB122" s="107"/>
      <c r="AC122" s="107"/>
      <c r="AD122" s="107"/>
      <c r="AE122" s="107"/>
      <c r="AF122" s="107"/>
      <c r="AG122" s="117"/>
      <c r="AH122" s="119"/>
      <c r="AI122" s="121"/>
      <c r="AJ122" s="55" t="s">
        <v>52</v>
      </c>
      <c r="AK122" s="56">
        <f>AJ121-AK121</f>
        <v>4.3951612903225801E-2</v>
      </c>
      <c r="AM122" s="107"/>
      <c r="AN122" s="107"/>
      <c r="AO122" s="107"/>
      <c r="AP122" s="107"/>
      <c r="AQ122" s="107"/>
      <c r="AR122" s="107"/>
      <c r="AS122" s="39"/>
      <c r="AT122" s="107"/>
      <c r="AU122" s="117"/>
      <c r="AV122" s="107"/>
      <c r="AW122" s="107"/>
      <c r="AY122" s="109"/>
      <c r="AZ122" s="109"/>
      <c r="BB122" s="107"/>
    </row>
    <row r="123" spans="1:54" ht="27" customHeight="1" x14ac:dyDescent="0.3">
      <c r="A123" s="28" t="s">
        <v>56</v>
      </c>
      <c r="B123" s="38" t="s">
        <v>35</v>
      </c>
      <c r="C123" s="27" t="s">
        <v>0</v>
      </c>
      <c r="D123" s="26">
        <v>4514843899</v>
      </c>
      <c r="E123" s="25">
        <v>1798000</v>
      </c>
      <c r="F123" s="24">
        <f>ROUNDDOWN(E123/(1-F122),-1)</f>
        <v>1798000</v>
      </c>
      <c r="G123" s="110">
        <f>ROUNDDOWN(IF(F123*G122&gt;H122,H122,F123*G122),-1)</f>
        <v>107880</v>
      </c>
      <c r="H123" s="111"/>
      <c r="I123" s="112">
        <f>ROUNDDOWN(IF(F123*I122&gt;J122,J122,F123*I122),-1)</f>
        <v>47000</v>
      </c>
      <c r="J123" s="113"/>
      <c r="K123" s="112">
        <f>ROUNDDOWN(IF(F123*K122&gt;L122,L122,F123*K122),-1)</f>
        <v>300000</v>
      </c>
      <c r="L123" s="113"/>
      <c r="M123" s="110">
        <f>ROUNDDOWN(IF(Q123*M122&gt;N122,N122,Q123*M122),-1)</f>
        <v>94010</v>
      </c>
      <c r="N123" s="111"/>
      <c r="O123" s="110">
        <f>ROUNDDOWN(IF(F123*O122&gt;P122,P122,F123*O122),-1)</f>
        <v>0</v>
      </c>
      <c r="P123" s="111"/>
      <c r="Q123" s="23">
        <f>F123-G123-I123-K123</f>
        <v>1343120</v>
      </c>
      <c r="R123" s="22">
        <f>F123-G123-I123-K123-M123-O123</f>
        <v>1249110</v>
      </c>
      <c r="S123" s="21"/>
      <c r="T123" s="20">
        <f>F123*T122</f>
        <v>125860.00000000001</v>
      </c>
      <c r="U123" s="20">
        <f>F123*U122</f>
        <v>0</v>
      </c>
      <c r="V123" s="20">
        <f>(F123-I123)*V122</f>
        <v>0</v>
      </c>
      <c r="W123" s="19">
        <f>(F123*F122)*W122</f>
        <v>0</v>
      </c>
      <c r="X123" s="19">
        <f>G123*X122</f>
        <v>0</v>
      </c>
      <c r="Y123" s="19">
        <f>I123*Y122</f>
        <v>47000</v>
      </c>
      <c r="Z123" s="19">
        <f>K123*Z122</f>
        <v>300000</v>
      </c>
      <c r="AA123" s="19">
        <f>M123*AA122</f>
        <v>47005</v>
      </c>
      <c r="AB123" s="19">
        <v>0</v>
      </c>
      <c r="AC123" s="16">
        <v>8000</v>
      </c>
      <c r="AD123" s="18">
        <f>F123-T123-U123-V123-W123-AA123-X123-Y123-Z123-AB123</f>
        <v>1278135</v>
      </c>
      <c r="AE123" s="18">
        <f>F123-T123-U123-V123-W123-X123-Y123-Z123-AA123-AB123-AC123</f>
        <v>1270135</v>
      </c>
      <c r="AF123" s="17">
        <f>AE123-AG123</f>
        <v>-37865</v>
      </c>
      <c r="AG123" s="16">
        <v>1308000</v>
      </c>
      <c r="AH123" s="15">
        <f>AF123/AG123</f>
        <v>-2.8948776758409785E-2</v>
      </c>
      <c r="AI123" s="14">
        <f>1-R123/(AG123-AM123-AN123-AO123)</f>
        <v>7.0667726550079912E-3</v>
      </c>
      <c r="AJ123" s="114">
        <f>(1-R123/F123)-(1-(AD123)/F123)</f>
        <v>1.6142936596218016E-2</v>
      </c>
      <c r="AK123" s="115"/>
      <c r="AM123" s="13">
        <v>50000</v>
      </c>
      <c r="AN123" s="12"/>
      <c r="AO123" s="12">
        <v>0</v>
      </c>
      <c r="AP123" s="12"/>
      <c r="AQ123" s="11">
        <f>AE123-(AG123-AM123-AN123-AO123-AP123)</f>
        <v>12135</v>
      </c>
      <c r="AR123" s="8">
        <f>AQ123/AG123</f>
        <v>9.2775229357798163E-3</v>
      </c>
      <c r="AT123" s="10">
        <v>0</v>
      </c>
      <c r="AU123" s="10">
        <v>0</v>
      </c>
      <c r="AV123" s="9">
        <f>AQ123-AT123-AU123</f>
        <v>12135</v>
      </c>
      <c r="AW123" s="8">
        <f>AV123/AG123</f>
        <v>9.2775229357798163E-3</v>
      </c>
      <c r="AY123" s="49"/>
      <c r="AZ123" s="50"/>
      <c r="BB123" s="6"/>
    </row>
    <row r="124" spans="1:54" x14ac:dyDescent="0.3">
      <c r="E124" s="5">
        <v>1399000</v>
      </c>
      <c r="F124" s="4">
        <f>ROUNDDOWN(E124/(1-F122),-1)</f>
        <v>1399000</v>
      </c>
      <c r="G124" s="138">
        <f>ROUNDDOWN(IF(F124*G122&gt;H122,H122,F124*G122),-1)</f>
        <v>83940</v>
      </c>
      <c r="H124" s="138"/>
      <c r="J124" s="54">
        <f>F123*4%</f>
        <v>71920</v>
      </c>
      <c r="R124" s="4">
        <v>1153020</v>
      </c>
      <c r="X124" s="3">
        <f>G124*X122</f>
        <v>0</v>
      </c>
      <c r="Y124" s="3"/>
      <c r="Z124" s="3"/>
    </row>
    <row r="125" spans="1:54" ht="27" customHeight="1" x14ac:dyDescent="0.3">
      <c r="A125" s="124" t="s">
        <v>34</v>
      </c>
      <c r="B125" s="135" t="s">
        <v>126</v>
      </c>
      <c r="C125" s="136"/>
      <c r="D125" s="136"/>
      <c r="E125" s="136"/>
      <c r="F125" s="136"/>
      <c r="G125" s="136"/>
      <c r="H125" s="136"/>
      <c r="I125" s="136"/>
      <c r="J125" s="136"/>
      <c r="K125" s="136"/>
      <c r="L125" s="136"/>
      <c r="M125" s="136"/>
      <c r="N125" s="136"/>
      <c r="O125" s="136"/>
      <c r="P125" s="136"/>
      <c r="Q125" s="136"/>
      <c r="R125" s="137"/>
      <c r="T125" s="130" t="s">
        <v>33</v>
      </c>
      <c r="U125" s="131"/>
      <c r="V125" s="131"/>
      <c r="W125" s="131"/>
      <c r="X125" s="131"/>
      <c r="Y125" s="131"/>
      <c r="Z125" s="131"/>
      <c r="AA125" s="131"/>
      <c r="AB125" s="131"/>
      <c r="AC125" s="131"/>
      <c r="AD125" s="131"/>
      <c r="AE125" s="131"/>
      <c r="AF125" s="131"/>
      <c r="AG125" s="131"/>
      <c r="AH125" s="132"/>
      <c r="AI125" s="37"/>
      <c r="AM125" s="130" t="s">
        <v>32</v>
      </c>
      <c r="AN125" s="131"/>
      <c r="AO125" s="131"/>
      <c r="AP125" s="131"/>
      <c r="AQ125" s="131"/>
      <c r="AR125" s="132"/>
      <c r="AT125" s="130" t="s">
        <v>31</v>
      </c>
      <c r="AU125" s="131"/>
      <c r="AV125" s="131"/>
      <c r="AW125" s="132"/>
      <c r="AY125" s="47" t="s">
        <v>36</v>
      </c>
      <c r="AZ125" s="48"/>
      <c r="BB125" s="36"/>
    </row>
    <row r="126" spans="1:54" ht="32.25" customHeight="1" x14ac:dyDescent="0.3">
      <c r="A126" s="125"/>
      <c r="B126" s="133" t="s">
        <v>30</v>
      </c>
      <c r="C126" s="133" t="s">
        <v>29</v>
      </c>
      <c r="D126" s="116" t="s">
        <v>28</v>
      </c>
      <c r="E126" s="116" t="s">
        <v>27</v>
      </c>
      <c r="F126" s="34" t="s">
        <v>26</v>
      </c>
      <c r="G126" s="122" t="s">
        <v>63</v>
      </c>
      <c r="H126" s="123"/>
      <c r="I126" s="122" t="s">
        <v>50</v>
      </c>
      <c r="J126" s="123"/>
      <c r="K126" s="122" t="s">
        <v>62</v>
      </c>
      <c r="L126" s="123"/>
      <c r="M126" s="122" t="s">
        <v>25</v>
      </c>
      <c r="N126" s="123"/>
      <c r="O126" s="122" t="s">
        <v>24</v>
      </c>
      <c r="P126" s="123"/>
      <c r="Q126" s="106" t="s">
        <v>23</v>
      </c>
      <c r="R126" s="106" t="s">
        <v>22</v>
      </c>
      <c r="S126" s="21"/>
      <c r="T126" s="34" t="s">
        <v>21</v>
      </c>
      <c r="U126" s="34" t="s">
        <v>20</v>
      </c>
      <c r="V126" s="34" t="s">
        <v>95</v>
      </c>
      <c r="W126" s="34" t="s">
        <v>19</v>
      </c>
      <c r="X126" s="34" t="s">
        <v>18</v>
      </c>
      <c r="Y126" s="34" t="s">
        <v>48</v>
      </c>
      <c r="Z126" s="34" t="s">
        <v>49</v>
      </c>
      <c r="AA126" s="34" t="s">
        <v>17</v>
      </c>
      <c r="AB126" s="106" t="s">
        <v>16</v>
      </c>
      <c r="AC126" s="106" t="s">
        <v>15</v>
      </c>
      <c r="AD126" s="106" t="s">
        <v>14</v>
      </c>
      <c r="AE126" s="106" t="s">
        <v>13</v>
      </c>
      <c r="AF126" s="106" t="s">
        <v>12</v>
      </c>
      <c r="AG126" s="116" t="s">
        <v>11</v>
      </c>
      <c r="AH126" s="118" t="s">
        <v>10</v>
      </c>
      <c r="AI126" s="120" t="s">
        <v>9</v>
      </c>
      <c r="AJ126" s="35">
        <f>(1-R128/F128)</f>
        <v>0.23635850587280871</v>
      </c>
      <c r="AK126" s="35">
        <f>1-(AD128+AM128)/F128</f>
        <v>0.21696718516689595</v>
      </c>
      <c r="AM126" s="106" t="s">
        <v>8</v>
      </c>
      <c r="AN126" s="106" t="s">
        <v>7</v>
      </c>
      <c r="AO126" s="106" t="s">
        <v>37</v>
      </c>
      <c r="AP126" s="106" t="s">
        <v>38</v>
      </c>
      <c r="AQ126" s="106" t="s">
        <v>6</v>
      </c>
      <c r="AR126" s="106" t="s">
        <v>5</v>
      </c>
      <c r="AT126" s="106" t="s">
        <v>4</v>
      </c>
      <c r="AU126" s="106" t="s">
        <v>3</v>
      </c>
      <c r="AV126" s="106" t="s">
        <v>2</v>
      </c>
      <c r="AW126" s="106" t="s">
        <v>1</v>
      </c>
      <c r="AY126" s="108"/>
      <c r="AZ126" s="108"/>
      <c r="BB126" s="106"/>
    </row>
    <row r="127" spans="1:54" ht="27" customHeight="1" x14ac:dyDescent="0.3">
      <c r="A127" s="126"/>
      <c r="B127" s="134"/>
      <c r="C127" s="134"/>
      <c r="D127" s="117"/>
      <c r="E127" s="117"/>
      <c r="F127" s="31">
        <v>0</v>
      </c>
      <c r="G127" s="33">
        <v>0.06</v>
      </c>
      <c r="H127" s="32">
        <v>1000000</v>
      </c>
      <c r="I127" s="31">
        <v>0</v>
      </c>
      <c r="J127" s="32">
        <v>0</v>
      </c>
      <c r="K127" s="31">
        <v>1</v>
      </c>
      <c r="L127" s="32">
        <v>300000</v>
      </c>
      <c r="M127" s="31">
        <v>0</v>
      </c>
      <c r="N127" s="32">
        <v>0</v>
      </c>
      <c r="O127" s="31">
        <v>0</v>
      </c>
      <c r="P127" s="32">
        <v>0</v>
      </c>
      <c r="Q127" s="107"/>
      <c r="R127" s="107"/>
      <c r="S127" s="21"/>
      <c r="T127" s="31">
        <f>IF(C128="노트북",7%,IF(C128="저장&amp;주변기기",9%,IF(C128="모니터",7%)))</f>
        <v>7.0000000000000007E-2</v>
      </c>
      <c r="U127" s="31">
        <v>0</v>
      </c>
      <c r="V127" s="31">
        <v>0</v>
      </c>
      <c r="W127" s="31">
        <v>0</v>
      </c>
      <c r="X127" s="30">
        <v>0</v>
      </c>
      <c r="Y127" s="30">
        <v>1</v>
      </c>
      <c r="Z127" s="53">
        <v>1</v>
      </c>
      <c r="AA127" s="29">
        <v>0.5</v>
      </c>
      <c r="AB127" s="107"/>
      <c r="AC127" s="107"/>
      <c r="AD127" s="107"/>
      <c r="AE127" s="107"/>
      <c r="AF127" s="107"/>
      <c r="AG127" s="117"/>
      <c r="AH127" s="119"/>
      <c r="AI127" s="121"/>
      <c r="AJ127" s="55" t="s">
        <v>52</v>
      </c>
      <c r="AK127" s="56">
        <f>AJ126-AK126</f>
        <v>1.9391320705912762E-2</v>
      </c>
      <c r="AM127" s="107"/>
      <c r="AN127" s="107"/>
      <c r="AO127" s="107"/>
      <c r="AP127" s="107"/>
      <c r="AQ127" s="107"/>
      <c r="AR127" s="107"/>
      <c r="AS127" s="39"/>
      <c r="AT127" s="107"/>
      <c r="AU127" s="117"/>
      <c r="AV127" s="107"/>
      <c r="AW127" s="107"/>
      <c r="AY127" s="109"/>
      <c r="AZ127" s="109"/>
      <c r="BB127" s="107"/>
    </row>
    <row r="128" spans="1:54" ht="27" customHeight="1" x14ac:dyDescent="0.3">
      <c r="A128" s="28" t="s">
        <v>56</v>
      </c>
      <c r="B128" s="38" t="s">
        <v>35</v>
      </c>
      <c r="C128" s="27" t="s">
        <v>0</v>
      </c>
      <c r="D128" s="26">
        <v>4514843899</v>
      </c>
      <c r="E128" s="25">
        <v>1701060</v>
      </c>
      <c r="F128" s="24">
        <f>ROUNDDOWN(E128/(1-F127),-1)</f>
        <v>1701060</v>
      </c>
      <c r="G128" s="110">
        <f>ROUNDDOWN(IF(F128*G127&gt;H127,H127,F128*G127),-1)</f>
        <v>102060</v>
      </c>
      <c r="H128" s="111"/>
      <c r="I128" s="112">
        <f>ROUNDDOWN(IF(F128*I127&gt;J127,J127,F128*I127),-1)</f>
        <v>0</v>
      </c>
      <c r="J128" s="113"/>
      <c r="K128" s="112">
        <f>ROUNDDOWN(IF(F128*K127&gt;L127,L127,F128*K127),-1)</f>
        <v>300000</v>
      </c>
      <c r="L128" s="113"/>
      <c r="M128" s="110">
        <f>ROUNDDOWN(IF(Q128*M127&gt;N127,N127,Q128*M127),-1)</f>
        <v>0</v>
      </c>
      <c r="N128" s="111"/>
      <c r="O128" s="110">
        <f>ROUNDDOWN(IF(F128*O127&gt;P127,P127,F128*O127),-1)</f>
        <v>0</v>
      </c>
      <c r="P128" s="111"/>
      <c r="Q128" s="23">
        <f>F128-G128-I128-K128</f>
        <v>1299000</v>
      </c>
      <c r="R128" s="22">
        <f>F128-G128-I128-K128-M128-O128</f>
        <v>1299000</v>
      </c>
      <c r="S128" s="21"/>
      <c r="T128" s="20">
        <f>F128*T127</f>
        <v>119074.20000000001</v>
      </c>
      <c r="U128" s="20">
        <f>F128*U127</f>
        <v>0</v>
      </c>
      <c r="V128" s="20">
        <f>(F128-I128)*V127</f>
        <v>0</v>
      </c>
      <c r="W128" s="19">
        <f>(F128*F127)*W127</f>
        <v>0</v>
      </c>
      <c r="X128" s="19">
        <f>G128*X127</f>
        <v>0</v>
      </c>
      <c r="Y128" s="19">
        <f>I128*Y127</f>
        <v>0</v>
      </c>
      <c r="Z128" s="19">
        <f>K128*Z127</f>
        <v>300000</v>
      </c>
      <c r="AA128" s="19">
        <f>M128*AA127</f>
        <v>0</v>
      </c>
      <c r="AB128" s="19">
        <v>0</v>
      </c>
      <c r="AC128" s="16">
        <v>8000</v>
      </c>
      <c r="AD128" s="18">
        <f>F128-T128-U128-V128-W128-AA128-X128-Y128-Z128-AB128</f>
        <v>1281985.8</v>
      </c>
      <c r="AE128" s="18">
        <f>F128-T128-U128-V128-W128-X128-Y128-Z128-AA128-AB128-AC128</f>
        <v>1273985.8</v>
      </c>
      <c r="AF128" s="17">
        <f>AE128-AG128</f>
        <v>-34014.199999999953</v>
      </c>
      <c r="AG128" s="16">
        <v>1308000</v>
      </c>
      <c r="AH128" s="15">
        <f>AF128/AG128</f>
        <v>-2.6004740061162043E-2</v>
      </c>
      <c r="AI128" s="14">
        <f>1-R128/(AG128-AM128-AN128-AO128)</f>
        <v>-3.2591414944356023E-2</v>
      </c>
      <c r="AJ128" s="114">
        <f>(1-R128/F128)-(1-(AD128)/F128)</f>
        <v>-1.0002116327466393E-2</v>
      </c>
      <c r="AK128" s="115"/>
      <c r="AM128" s="13">
        <v>50000</v>
      </c>
      <c r="AN128" s="12"/>
      <c r="AO128" s="12">
        <v>0</v>
      </c>
      <c r="AP128" s="12"/>
      <c r="AQ128" s="11">
        <f>AE128-(AG128-AM128-AN128-AO128-AP128)</f>
        <v>15985.800000000047</v>
      </c>
      <c r="AR128" s="8">
        <f>AQ128/AG128</f>
        <v>1.2221559633027559E-2</v>
      </c>
      <c r="AT128" s="10">
        <v>0</v>
      </c>
      <c r="AU128" s="10">
        <v>0</v>
      </c>
      <c r="AV128" s="9">
        <f>AQ128-AT128-AU128</f>
        <v>15985.800000000047</v>
      </c>
      <c r="AW128" s="8">
        <f>AV128/AG128</f>
        <v>1.2221559633027559E-2</v>
      </c>
      <c r="AY128" s="49"/>
      <c r="AZ128" s="50"/>
      <c r="BB128" s="6"/>
    </row>
    <row r="129" spans="1:54" x14ac:dyDescent="0.3">
      <c r="E129" s="5">
        <v>1399000</v>
      </c>
      <c r="F129" s="4">
        <f>ROUNDDOWN(E129/(1-F127),-1)</f>
        <v>1399000</v>
      </c>
      <c r="G129" s="138">
        <f>ROUNDDOWN(IF(F129*G127&gt;H127,H127,F129*G127),-1)</f>
        <v>83940</v>
      </c>
      <c r="H129" s="138"/>
      <c r="J129" s="54">
        <f>F128*4%</f>
        <v>68042.399999999994</v>
      </c>
      <c r="R129" s="4">
        <v>1153020</v>
      </c>
      <c r="X129" s="3">
        <f>G129*X127</f>
        <v>0</v>
      </c>
      <c r="Y129" s="3"/>
      <c r="Z129" s="3"/>
    </row>
    <row r="131" spans="1:54" x14ac:dyDescent="0.3">
      <c r="A131" s="43"/>
      <c r="B131" s="43"/>
      <c r="C131" s="43"/>
      <c r="D131" s="43"/>
      <c r="E131" s="5"/>
    </row>
    <row r="132" spans="1:54" ht="27" customHeight="1" x14ac:dyDescent="0.3">
      <c r="A132" s="124" t="s">
        <v>34</v>
      </c>
      <c r="B132" s="127" t="s">
        <v>124</v>
      </c>
      <c r="C132" s="128"/>
      <c r="D132" s="128"/>
      <c r="E132" s="128"/>
      <c r="F132" s="128"/>
      <c r="G132" s="128"/>
      <c r="H132" s="128"/>
      <c r="I132" s="128"/>
      <c r="J132" s="128"/>
      <c r="K132" s="128"/>
      <c r="L132" s="128"/>
      <c r="M132" s="128"/>
      <c r="N132" s="128"/>
      <c r="O132" s="128"/>
      <c r="P132" s="128"/>
      <c r="Q132" s="128"/>
      <c r="R132" s="129"/>
      <c r="T132" s="130" t="s">
        <v>33</v>
      </c>
      <c r="U132" s="131"/>
      <c r="V132" s="131"/>
      <c r="W132" s="131"/>
      <c r="X132" s="131"/>
      <c r="Y132" s="131"/>
      <c r="Z132" s="131"/>
      <c r="AA132" s="131"/>
      <c r="AB132" s="131"/>
      <c r="AC132" s="131"/>
      <c r="AD132" s="131"/>
      <c r="AE132" s="131"/>
      <c r="AF132" s="131"/>
      <c r="AG132" s="131"/>
      <c r="AH132" s="132"/>
      <c r="AI132" s="37"/>
      <c r="AM132" s="130" t="s">
        <v>32</v>
      </c>
      <c r="AN132" s="131"/>
      <c r="AO132" s="131"/>
      <c r="AP132" s="131"/>
      <c r="AQ132" s="131"/>
      <c r="AR132" s="132"/>
      <c r="AT132" s="130" t="s">
        <v>31</v>
      </c>
      <c r="AU132" s="131"/>
      <c r="AV132" s="131"/>
      <c r="AW132" s="132"/>
      <c r="AY132" s="47" t="s">
        <v>36</v>
      </c>
      <c r="AZ132" s="48"/>
      <c r="BB132" s="36"/>
    </row>
    <row r="133" spans="1:54" ht="32.25" customHeight="1" x14ac:dyDescent="0.3">
      <c r="A133" s="125"/>
      <c r="B133" s="133" t="s">
        <v>30</v>
      </c>
      <c r="C133" s="133" t="s">
        <v>29</v>
      </c>
      <c r="D133" s="116" t="s">
        <v>28</v>
      </c>
      <c r="E133" s="116" t="s">
        <v>27</v>
      </c>
      <c r="F133" s="34" t="s">
        <v>26</v>
      </c>
      <c r="G133" s="122" t="s">
        <v>63</v>
      </c>
      <c r="H133" s="123"/>
      <c r="I133" s="122" t="s">
        <v>50</v>
      </c>
      <c r="J133" s="123"/>
      <c r="K133" s="122" t="s">
        <v>62</v>
      </c>
      <c r="L133" s="123"/>
      <c r="M133" s="122" t="s">
        <v>25</v>
      </c>
      <c r="N133" s="123"/>
      <c r="O133" s="122" t="s">
        <v>24</v>
      </c>
      <c r="P133" s="123"/>
      <c r="Q133" s="106" t="s">
        <v>23</v>
      </c>
      <c r="R133" s="106" t="s">
        <v>22</v>
      </c>
      <c r="S133" s="21"/>
      <c r="T133" s="34" t="s">
        <v>21</v>
      </c>
      <c r="U133" s="34" t="s">
        <v>20</v>
      </c>
      <c r="V133" s="34" t="s">
        <v>95</v>
      </c>
      <c r="W133" s="34" t="s">
        <v>19</v>
      </c>
      <c r="X133" s="34" t="s">
        <v>18</v>
      </c>
      <c r="Y133" s="34" t="s">
        <v>48</v>
      </c>
      <c r="Z133" s="34" t="s">
        <v>49</v>
      </c>
      <c r="AA133" s="34" t="s">
        <v>17</v>
      </c>
      <c r="AB133" s="106" t="s">
        <v>16</v>
      </c>
      <c r="AC133" s="106" t="s">
        <v>15</v>
      </c>
      <c r="AD133" s="106" t="s">
        <v>14</v>
      </c>
      <c r="AE133" s="106" t="s">
        <v>13</v>
      </c>
      <c r="AF133" s="106" t="s">
        <v>12</v>
      </c>
      <c r="AG133" s="116" t="s">
        <v>11</v>
      </c>
      <c r="AH133" s="118" t="s">
        <v>10</v>
      </c>
      <c r="AI133" s="120" t="s">
        <v>9</v>
      </c>
      <c r="AJ133" s="35">
        <f>(1-R135/F135)</f>
        <v>0.28619645916619074</v>
      </c>
      <c r="AK133" s="35">
        <f>1-(AD135+AM135)/F135</f>
        <v>0.15511422044545975</v>
      </c>
      <c r="AM133" s="106" t="s">
        <v>8</v>
      </c>
      <c r="AN133" s="106" t="s">
        <v>7</v>
      </c>
      <c r="AO133" s="106" t="s">
        <v>37</v>
      </c>
      <c r="AP133" s="106" t="s">
        <v>38</v>
      </c>
      <c r="AQ133" s="106" t="s">
        <v>6</v>
      </c>
      <c r="AR133" s="106" t="s">
        <v>5</v>
      </c>
      <c r="AT133" s="106" t="s">
        <v>4</v>
      </c>
      <c r="AU133" s="106" t="s">
        <v>3</v>
      </c>
      <c r="AV133" s="106" t="s">
        <v>2</v>
      </c>
      <c r="AW133" s="106" t="s">
        <v>1</v>
      </c>
      <c r="AY133" s="108"/>
      <c r="AZ133" s="108"/>
      <c r="BB133" s="106"/>
    </row>
    <row r="134" spans="1:54" ht="27" customHeight="1" x14ac:dyDescent="0.3">
      <c r="A134" s="126"/>
      <c r="B134" s="134"/>
      <c r="C134" s="134"/>
      <c r="D134" s="117"/>
      <c r="E134" s="117"/>
      <c r="F134" s="31">
        <v>0</v>
      </c>
      <c r="G134" s="33">
        <v>0.06</v>
      </c>
      <c r="H134" s="32">
        <v>1000000</v>
      </c>
      <c r="I134" s="31">
        <v>1</v>
      </c>
      <c r="J134" s="32">
        <v>2000</v>
      </c>
      <c r="K134" s="31">
        <v>1</v>
      </c>
      <c r="L134" s="32">
        <v>300000</v>
      </c>
      <c r="M134" s="31">
        <v>7.0000000000000007E-2</v>
      </c>
      <c r="N134" s="32">
        <v>150000</v>
      </c>
      <c r="O134" s="31">
        <v>0</v>
      </c>
      <c r="P134" s="32">
        <v>0</v>
      </c>
      <c r="Q134" s="107"/>
      <c r="R134" s="107"/>
      <c r="S134" s="21"/>
      <c r="T134" s="31">
        <f>IF(C135="노트북",7%,IF(C135="저장&amp;주변기기",9%,IF(C135="모니터",7%)))</f>
        <v>7.0000000000000007E-2</v>
      </c>
      <c r="U134" s="31">
        <v>0</v>
      </c>
      <c r="V134" s="31">
        <v>0</v>
      </c>
      <c r="W134" s="31">
        <f>IF(G134=0%,20%,0%)</f>
        <v>0</v>
      </c>
      <c r="X134" s="30">
        <v>0</v>
      </c>
      <c r="Y134" s="30">
        <v>1</v>
      </c>
      <c r="Z134" s="53">
        <v>1</v>
      </c>
      <c r="AA134" s="29">
        <v>0.5</v>
      </c>
      <c r="AB134" s="107"/>
      <c r="AC134" s="107"/>
      <c r="AD134" s="107"/>
      <c r="AE134" s="107"/>
      <c r="AF134" s="107"/>
      <c r="AG134" s="117"/>
      <c r="AH134" s="119"/>
      <c r="AI134" s="121"/>
      <c r="AJ134" s="55" t="s">
        <v>52</v>
      </c>
      <c r="AK134" s="56">
        <f>AJ133-AK133</f>
        <v>0.13108223872073099</v>
      </c>
      <c r="AM134" s="107"/>
      <c r="AN134" s="107"/>
      <c r="AO134" s="107"/>
      <c r="AP134" s="107"/>
      <c r="AQ134" s="107"/>
      <c r="AR134" s="107"/>
      <c r="AS134" s="39"/>
      <c r="AT134" s="107"/>
      <c r="AU134" s="117"/>
      <c r="AV134" s="107"/>
      <c r="AW134" s="107"/>
      <c r="AY134" s="109"/>
      <c r="AZ134" s="109"/>
      <c r="BB134" s="107"/>
    </row>
    <row r="135" spans="1:54" ht="27" customHeight="1" x14ac:dyDescent="0.3">
      <c r="A135" s="28" t="s">
        <v>53</v>
      </c>
      <c r="B135" s="38" t="s">
        <v>35</v>
      </c>
      <c r="C135" s="27" t="s">
        <v>0</v>
      </c>
      <c r="D135" s="26">
        <v>4514865274</v>
      </c>
      <c r="E135" s="25">
        <v>1751000</v>
      </c>
      <c r="F135" s="24">
        <f>ROUNDDOWN(E135/(1-F134),-1)</f>
        <v>1751000</v>
      </c>
      <c r="G135" s="110">
        <f>ROUNDDOWN(IF(F135*G134&gt;H134,H134,F135*G134),-1)</f>
        <v>105060</v>
      </c>
      <c r="H135" s="111"/>
      <c r="I135" s="112">
        <f>ROUNDDOWN(IF(F135*I134&gt;J134,J134,F135*I134),-1)</f>
        <v>2000</v>
      </c>
      <c r="J135" s="113"/>
      <c r="K135" s="112">
        <f>ROUNDDOWN(IF(F135*K134&gt;L134,L134,F135*K134),-1)</f>
        <v>300000</v>
      </c>
      <c r="L135" s="113"/>
      <c r="M135" s="110">
        <f>ROUNDDOWN(IF(Q135*M134&gt;N134,N134,Q135*M134),-1)</f>
        <v>94070</v>
      </c>
      <c r="N135" s="111"/>
      <c r="O135" s="110">
        <f>ROUNDDOWN(IF(F135*O134&gt;P134,P134,F135*O134),-1)</f>
        <v>0</v>
      </c>
      <c r="P135" s="111"/>
      <c r="Q135" s="23">
        <f>F135-G135-I135-K135</f>
        <v>1343940</v>
      </c>
      <c r="R135" s="22">
        <f>F135-G135-I135-K135-M135-O135</f>
        <v>1249870</v>
      </c>
      <c r="S135" s="21"/>
      <c r="T135" s="20">
        <f>F135*T134</f>
        <v>122570.00000000001</v>
      </c>
      <c r="U135" s="20">
        <f>F135*U134</f>
        <v>0</v>
      </c>
      <c r="V135" s="20">
        <f>(F135-I135)*V134</f>
        <v>0</v>
      </c>
      <c r="W135" s="19">
        <f>(F135*F134)*W134</f>
        <v>0</v>
      </c>
      <c r="X135" s="19">
        <f>G135*X134</f>
        <v>0</v>
      </c>
      <c r="Y135" s="19">
        <f>I135*Y134</f>
        <v>2000</v>
      </c>
      <c r="Z135" s="19">
        <f>K135*Z134</f>
        <v>300000</v>
      </c>
      <c r="AA135" s="19">
        <f>M135*AA134</f>
        <v>47035</v>
      </c>
      <c r="AB135" s="19">
        <v>0</v>
      </c>
      <c r="AC135" s="16">
        <v>8000</v>
      </c>
      <c r="AD135" s="18">
        <f>F135-T135-U135-V135-W135-AA135-X135-Y135-Z135-AB135</f>
        <v>1279395</v>
      </c>
      <c r="AE135" s="18">
        <f>F135-T135-U135-V135-W135-X135-Y135-Z135-AA135-AB135-AC135</f>
        <v>1271395</v>
      </c>
      <c r="AF135" s="17">
        <f>AE135-AG135</f>
        <v>-138605</v>
      </c>
      <c r="AG135" s="16">
        <v>1410000</v>
      </c>
      <c r="AH135" s="15">
        <f>AF135/AG135</f>
        <v>-9.8301418439716307E-2</v>
      </c>
      <c r="AI135" s="14">
        <f>1-R135/(AG135-AM135-AN135-AO135)</f>
        <v>-3.2950413223140407E-2</v>
      </c>
      <c r="AJ135" s="114">
        <f>(1-R135/F135)-(1-(AD135)/F135)</f>
        <v>1.6861793260993685E-2</v>
      </c>
      <c r="AK135" s="115"/>
      <c r="AM135" s="13">
        <v>200000</v>
      </c>
      <c r="AN135" s="12"/>
      <c r="AO135" s="12">
        <v>0</v>
      </c>
      <c r="AP135" s="12"/>
      <c r="AQ135" s="11">
        <f>AE135-(AG135-AM135-AN135-AO135-AP135)</f>
        <v>61395</v>
      </c>
      <c r="AR135" s="8">
        <f>AQ135/AG135</f>
        <v>4.3542553191489364E-2</v>
      </c>
      <c r="AT135" s="10">
        <v>0</v>
      </c>
      <c r="AU135" s="10">
        <v>0</v>
      </c>
      <c r="AV135" s="9">
        <f>AQ135-AT135-AU135</f>
        <v>61395</v>
      </c>
      <c r="AW135" s="8">
        <f>AV135/AG135</f>
        <v>4.3542553191489364E-2</v>
      </c>
      <c r="AY135" s="49"/>
      <c r="AZ135" s="50"/>
      <c r="BB135" s="6"/>
    </row>
    <row r="136" spans="1:54" x14ac:dyDescent="0.3">
      <c r="E136" s="5">
        <v>1499000</v>
      </c>
      <c r="F136" s="4">
        <f>ROUNDDOWN(E136/(1-F134),-1)</f>
        <v>1499000</v>
      </c>
      <c r="G136" s="138">
        <f>ROUNDDOWN(IF(F136*G134&gt;H134,H134,F136*G134),-1)</f>
        <v>89940</v>
      </c>
      <c r="H136" s="138"/>
      <c r="J136" s="54">
        <f>F135*4%</f>
        <v>70040</v>
      </c>
      <c r="R136" s="4">
        <v>1199220</v>
      </c>
      <c r="X136" s="3">
        <f>G136*X134</f>
        <v>0</v>
      </c>
      <c r="Y136" s="3"/>
      <c r="Z136" s="3"/>
    </row>
    <row r="137" spans="1:54" ht="27" customHeight="1" x14ac:dyDescent="0.3">
      <c r="A137" s="124" t="s">
        <v>34</v>
      </c>
      <c r="B137" s="135" t="s">
        <v>126</v>
      </c>
      <c r="C137" s="136"/>
      <c r="D137" s="136"/>
      <c r="E137" s="136"/>
      <c r="F137" s="136"/>
      <c r="G137" s="136"/>
      <c r="H137" s="136"/>
      <c r="I137" s="136"/>
      <c r="J137" s="136"/>
      <c r="K137" s="136"/>
      <c r="L137" s="136"/>
      <c r="M137" s="136"/>
      <c r="N137" s="136"/>
      <c r="O137" s="136"/>
      <c r="P137" s="136"/>
      <c r="Q137" s="136"/>
      <c r="R137" s="137"/>
      <c r="T137" s="130" t="s">
        <v>33</v>
      </c>
      <c r="U137" s="131"/>
      <c r="V137" s="131"/>
      <c r="W137" s="131"/>
      <c r="X137" s="131"/>
      <c r="Y137" s="131"/>
      <c r="Z137" s="131"/>
      <c r="AA137" s="131"/>
      <c r="AB137" s="131"/>
      <c r="AC137" s="131"/>
      <c r="AD137" s="131"/>
      <c r="AE137" s="131"/>
      <c r="AF137" s="131"/>
      <c r="AG137" s="131"/>
      <c r="AH137" s="132"/>
      <c r="AI137" s="37"/>
      <c r="AM137" s="130" t="s">
        <v>32</v>
      </c>
      <c r="AN137" s="131"/>
      <c r="AO137" s="131"/>
      <c r="AP137" s="131"/>
      <c r="AQ137" s="131"/>
      <c r="AR137" s="132"/>
      <c r="AT137" s="130" t="s">
        <v>31</v>
      </c>
      <c r="AU137" s="131"/>
      <c r="AV137" s="131"/>
      <c r="AW137" s="132"/>
      <c r="AY137" s="47" t="s">
        <v>36</v>
      </c>
      <c r="AZ137" s="48"/>
      <c r="BB137" s="36"/>
    </row>
    <row r="138" spans="1:54" ht="32.25" customHeight="1" x14ac:dyDescent="0.3">
      <c r="A138" s="125"/>
      <c r="B138" s="133" t="s">
        <v>30</v>
      </c>
      <c r="C138" s="133" t="s">
        <v>29</v>
      </c>
      <c r="D138" s="116" t="s">
        <v>28</v>
      </c>
      <c r="E138" s="116" t="s">
        <v>27</v>
      </c>
      <c r="F138" s="34" t="s">
        <v>26</v>
      </c>
      <c r="G138" s="122" t="s">
        <v>63</v>
      </c>
      <c r="H138" s="123"/>
      <c r="I138" s="122" t="s">
        <v>50</v>
      </c>
      <c r="J138" s="123"/>
      <c r="K138" s="122" t="s">
        <v>62</v>
      </c>
      <c r="L138" s="123"/>
      <c r="M138" s="122" t="s">
        <v>25</v>
      </c>
      <c r="N138" s="123"/>
      <c r="O138" s="122" t="s">
        <v>24</v>
      </c>
      <c r="P138" s="123"/>
      <c r="Q138" s="106" t="s">
        <v>23</v>
      </c>
      <c r="R138" s="106" t="s">
        <v>22</v>
      </c>
      <c r="S138" s="21"/>
      <c r="T138" s="34" t="s">
        <v>21</v>
      </c>
      <c r="U138" s="34" t="s">
        <v>20</v>
      </c>
      <c r="V138" s="34" t="s">
        <v>95</v>
      </c>
      <c r="W138" s="34" t="s">
        <v>19</v>
      </c>
      <c r="X138" s="34" t="s">
        <v>18</v>
      </c>
      <c r="Y138" s="34" t="s">
        <v>48</v>
      </c>
      <c r="Z138" s="34" t="s">
        <v>49</v>
      </c>
      <c r="AA138" s="34" t="s">
        <v>17</v>
      </c>
      <c r="AB138" s="106" t="s">
        <v>16</v>
      </c>
      <c r="AC138" s="106" t="s">
        <v>15</v>
      </c>
      <c r="AD138" s="106" t="s">
        <v>14</v>
      </c>
      <c r="AE138" s="106" t="s">
        <v>13</v>
      </c>
      <c r="AF138" s="106" t="s">
        <v>12</v>
      </c>
      <c r="AG138" s="116" t="s">
        <v>11</v>
      </c>
      <c r="AH138" s="118" t="s">
        <v>10</v>
      </c>
      <c r="AI138" s="120" t="s">
        <v>9</v>
      </c>
      <c r="AJ138" s="35">
        <f>(1-R140/F140)</f>
        <v>0.23746761159948415</v>
      </c>
      <c r="AK138" s="35">
        <f>1-(AD140+AM140)/F140</f>
        <v>0.12915689591935731</v>
      </c>
      <c r="AM138" s="106" t="s">
        <v>8</v>
      </c>
      <c r="AN138" s="106" t="s">
        <v>7</v>
      </c>
      <c r="AO138" s="106" t="s">
        <v>37</v>
      </c>
      <c r="AP138" s="106" t="s">
        <v>38</v>
      </c>
      <c r="AQ138" s="106" t="s">
        <v>6</v>
      </c>
      <c r="AR138" s="106" t="s">
        <v>5</v>
      </c>
      <c r="AT138" s="106" t="s">
        <v>4</v>
      </c>
      <c r="AU138" s="106" t="s">
        <v>3</v>
      </c>
      <c r="AV138" s="106" t="s">
        <v>2</v>
      </c>
      <c r="AW138" s="106" t="s">
        <v>1</v>
      </c>
      <c r="AY138" s="108"/>
      <c r="AZ138" s="108"/>
      <c r="BB138" s="106"/>
    </row>
    <row r="139" spans="1:54" ht="27" customHeight="1" x14ac:dyDescent="0.3">
      <c r="A139" s="126"/>
      <c r="B139" s="134"/>
      <c r="C139" s="134"/>
      <c r="D139" s="117"/>
      <c r="E139" s="117"/>
      <c r="F139" s="31">
        <v>0</v>
      </c>
      <c r="G139" s="33">
        <v>0.06</v>
      </c>
      <c r="H139" s="32">
        <v>1000000</v>
      </c>
      <c r="I139" s="31">
        <v>0</v>
      </c>
      <c r="J139" s="32">
        <v>0</v>
      </c>
      <c r="K139" s="31">
        <v>1</v>
      </c>
      <c r="L139" s="32">
        <v>300000</v>
      </c>
      <c r="M139" s="31">
        <v>0</v>
      </c>
      <c r="N139" s="32">
        <v>0</v>
      </c>
      <c r="O139" s="31">
        <v>0</v>
      </c>
      <c r="P139" s="32">
        <v>0</v>
      </c>
      <c r="Q139" s="107"/>
      <c r="R139" s="107"/>
      <c r="S139" s="21"/>
      <c r="T139" s="31">
        <f>IF(C140="노트북",7%,IF(C140="저장&amp;주변기기",9%,IF(C140="모니터",7%)))</f>
        <v>7.0000000000000007E-2</v>
      </c>
      <c r="U139" s="31">
        <v>0</v>
      </c>
      <c r="V139" s="31">
        <v>0</v>
      </c>
      <c r="W139" s="31">
        <f>IF(G139=0%,20%,0%)</f>
        <v>0</v>
      </c>
      <c r="X139" s="30">
        <v>0</v>
      </c>
      <c r="Y139" s="30">
        <v>1</v>
      </c>
      <c r="Z139" s="53">
        <v>1</v>
      </c>
      <c r="AA139" s="29">
        <v>0.5</v>
      </c>
      <c r="AB139" s="107"/>
      <c r="AC139" s="107"/>
      <c r="AD139" s="107"/>
      <c r="AE139" s="107"/>
      <c r="AF139" s="107"/>
      <c r="AG139" s="117"/>
      <c r="AH139" s="119"/>
      <c r="AI139" s="121"/>
      <c r="AJ139" s="55" t="s">
        <v>52</v>
      </c>
      <c r="AK139" s="56">
        <f>AJ138-AK138</f>
        <v>0.10831071568012685</v>
      </c>
      <c r="AM139" s="107"/>
      <c r="AN139" s="107"/>
      <c r="AO139" s="107"/>
      <c r="AP139" s="107"/>
      <c r="AQ139" s="107"/>
      <c r="AR139" s="107"/>
      <c r="AS139" s="39"/>
      <c r="AT139" s="107"/>
      <c r="AU139" s="117"/>
      <c r="AV139" s="107"/>
      <c r="AW139" s="107"/>
      <c r="AY139" s="109"/>
      <c r="AZ139" s="109"/>
      <c r="BB139" s="107"/>
    </row>
    <row r="140" spans="1:54" ht="27" customHeight="1" x14ac:dyDescent="0.3">
      <c r="A140" s="28" t="s">
        <v>53</v>
      </c>
      <c r="B140" s="38" t="s">
        <v>35</v>
      </c>
      <c r="C140" s="27" t="s">
        <v>0</v>
      </c>
      <c r="D140" s="26">
        <v>4514865274</v>
      </c>
      <c r="E140" s="25">
        <v>1690420</v>
      </c>
      <c r="F140" s="24">
        <f>ROUNDDOWN(E140/(1-F139),-1)</f>
        <v>1690420</v>
      </c>
      <c r="G140" s="110">
        <f>ROUNDDOWN(IF(F140*G139&gt;H139,H139,F140*G139),-1)</f>
        <v>101420</v>
      </c>
      <c r="H140" s="111"/>
      <c r="I140" s="112">
        <f>ROUNDDOWN(IF(F140*I139&gt;J139,J139,F140*I139),-1)</f>
        <v>0</v>
      </c>
      <c r="J140" s="113"/>
      <c r="K140" s="112">
        <f>ROUNDDOWN(IF(F140*K139&gt;L139,L139,F140*K139),-1)</f>
        <v>300000</v>
      </c>
      <c r="L140" s="113"/>
      <c r="M140" s="110">
        <f>ROUNDDOWN(IF(Q140*M139&gt;N139,N139,Q140*M139),-1)</f>
        <v>0</v>
      </c>
      <c r="N140" s="111"/>
      <c r="O140" s="110">
        <f>ROUNDDOWN(IF(F140*O139&gt;P139,P139,F140*O139),-1)</f>
        <v>0</v>
      </c>
      <c r="P140" s="111"/>
      <c r="Q140" s="23">
        <f>F140-G140-I140-K140</f>
        <v>1289000</v>
      </c>
      <c r="R140" s="22">
        <f>F140-G140-I140-K140-M140-O140</f>
        <v>1289000</v>
      </c>
      <c r="S140" s="21"/>
      <c r="T140" s="20">
        <f>F140*T139</f>
        <v>118329.40000000001</v>
      </c>
      <c r="U140" s="20">
        <f>F140*U139</f>
        <v>0</v>
      </c>
      <c r="V140" s="20">
        <f>(F140-I140)*V139</f>
        <v>0</v>
      </c>
      <c r="W140" s="19">
        <f>(F140*F139)*W139</f>
        <v>0</v>
      </c>
      <c r="X140" s="19">
        <f>G140*X139</f>
        <v>0</v>
      </c>
      <c r="Y140" s="19">
        <f>I140*Y139</f>
        <v>0</v>
      </c>
      <c r="Z140" s="19">
        <f>K140*Z139</f>
        <v>300000</v>
      </c>
      <c r="AA140" s="19">
        <f>M140*AA139</f>
        <v>0</v>
      </c>
      <c r="AB140" s="19">
        <v>0</v>
      </c>
      <c r="AC140" s="16">
        <v>8000</v>
      </c>
      <c r="AD140" s="18">
        <f>F140-T140-U140-V140-W140-AA140-X140-Y140-Z140-AB140</f>
        <v>1272090.6000000001</v>
      </c>
      <c r="AE140" s="18">
        <f>F140-T140-U140-V140-W140-X140-Y140-Z140-AA140-AB140-AC140</f>
        <v>1264090.6000000001</v>
      </c>
      <c r="AF140" s="17">
        <f>AE140-AG140</f>
        <v>-145909.39999999991</v>
      </c>
      <c r="AG140" s="16">
        <v>1410000</v>
      </c>
      <c r="AH140" s="15">
        <f>AF140/AG140</f>
        <v>-0.10348184397163114</v>
      </c>
      <c r="AI140" s="14">
        <f>1-R140/(AG140-AM140-AN140-AO140)</f>
        <v>-6.5289256198347134E-2</v>
      </c>
      <c r="AJ140" s="114">
        <f>(1-R140/F140)-(1-(AD140)/F140)</f>
        <v>-1.0003076158587754E-2</v>
      </c>
      <c r="AK140" s="115"/>
      <c r="AM140" s="13">
        <v>200000</v>
      </c>
      <c r="AN140" s="12"/>
      <c r="AO140" s="12">
        <v>0</v>
      </c>
      <c r="AP140" s="12"/>
      <c r="AQ140" s="11">
        <f>AE140-(AG140-AM140-AN140-AO140-AP140)</f>
        <v>54090.600000000093</v>
      </c>
      <c r="AR140" s="8">
        <f>AQ140/AG140</f>
        <v>3.8362127659574537E-2</v>
      </c>
      <c r="AT140" s="10">
        <v>0</v>
      </c>
      <c r="AU140" s="10">
        <v>0</v>
      </c>
      <c r="AV140" s="9">
        <f>AQ140-AT140-AU140</f>
        <v>54090.600000000093</v>
      </c>
      <c r="AW140" s="8">
        <f>AV140/AG140</f>
        <v>3.8362127659574537E-2</v>
      </c>
      <c r="AY140" s="49"/>
      <c r="AZ140" s="50"/>
      <c r="BB140" s="6"/>
    </row>
    <row r="141" spans="1:54" x14ac:dyDescent="0.3">
      <c r="E141" s="5">
        <v>1499000</v>
      </c>
      <c r="F141" s="4">
        <f>ROUNDDOWN(E141/(1-F139),-1)</f>
        <v>1499000</v>
      </c>
      <c r="G141" s="138">
        <f>ROUNDDOWN(IF(F141*G139&gt;H139,H139,F141*G139),-1)</f>
        <v>89940</v>
      </c>
      <c r="H141" s="138"/>
      <c r="J141" s="54">
        <f>F140*4%</f>
        <v>67616.800000000003</v>
      </c>
      <c r="R141" s="4">
        <v>1199220</v>
      </c>
      <c r="X141" s="3">
        <f>G141*X139</f>
        <v>0</v>
      </c>
      <c r="Y141" s="3"/>
      <c r="Z141" s="3"/>
    </row>
    <row r="142" spans="1:54" x14ac:dyDescent="0.3">
      <c r="A142" s="43"/>
      <c r="B142" s="43"/>
      <c r="C142" s="43"/>
      <c r="D142" s="43"/>
      <c r="E142" s="5"/>
    </row>
    <row r="143" spans="1:54" x14ac:dyDescent="0.3">
      <c r="A143" s="43"/>
      <c r="B143" s="43"/>
      <c r="C143" s="43"/>
      <c r="D143" s="43"/>
      <c r="E143" s="5"/>
    </row>
    <row r="144" spans="1:54" ht="27" customHeight="1" x14ac:dyDescent="0.3">
      <c r="A144" s="124" t="s">
        <v>34</v>
      </c>
      <c r="B144" s="127" t="s">
        <v>125</v>
      </c>
      <c r="C144" s="128"/>
      <c r="D144" s="128"/>
      <c r="E144" s="128"/>
      <c r="F144" s="128"/>
      <c r="G144" s="128"/>
      <c r="H144" s="128"/>
      <c r="I144" s="128"/>
      <c r="J144" s="128"/>
      <c r="K144" s="128"/>
      <c r="L144" s="128"/>
      <c r="M144" s="128"/>
      <c r="N144" s="128"/>
      <c r="O144" s="128"/>
      <c r="P144" s="128"/>
      <c r="Q144" s="128"/>
      <c r="R144" s="129"/>
      <c r="T144" s="130" t="s">
        <v>33</v>
      </c>
      <c r="U144" s="131"/>
      <c r="V144" s="131"/>
      <c r="W144" s="131"/>
      <c r="X144" s="131"/>
      <c r="Y144" s="131"/>
      <c r="Z144" s="131"/>
      <c r="AA144" s="131"/>
      <c r="AB144" s="131"/>
      <c r="AC144" s="131"/>
      <c r="AD144" s="131"/>
      <c r="AE144" s="131"/>
      <c r="AF144" s="131"/>
      <c r="AG144" s="131"/>
      <c r="AH144" s="132"/>
      <c r="AI144" s="37"/>
      <c r="AM144" s="130" t="s">
        <v>32</v>
      </c>
      <c r="AN144" s="131"/>
      <c r="AO144" s="131"/>
      <c r="AP144" s="131"/>
      <c r="AQ144" s="131"/>
      <c r="AR144" s="132"/>
      <c r="AT144" s="130" t="s">
        <v>31</v>
      </c>
      <c r="AU144" s="131"/>
      <c r="AV144" s="131"/>
      <c r="AW144" s="132"/>
      <c r="AY144" s="47" t="s">
        <v>36</v>
      </c>
      <c r="AZ144" s="48"/>
      <c r="BB144" s="36"/>
    </row>
    <row r="145" spans="1:54" ht="32.25" customHeight="1" x14ac:dyDescent="0.3">
      <c r="A145" s="125"/>
      <c r="B145" s="133" t="s">
        <v>30</v>
      </c>
      <c r="C145" s="133" t="s">
        <v>29</v>
      </c>
      <c r="D145" s="116" t="s">
        <v>28</v>
      </c>
      <c r="E145" s="116" t="s">
        <v>27</v>
      </c>
      <c r="F145" s="34" t="s">
        <v>26</v>
      </c>
      <c r="G145" s="122" t="s">
        <v>63</v>
      </c>
      <c r="H145" s="123"/>
      <c r="I145" s="122" t="s">
        <v>50</v>
      </c>
      <c r="J145" s="123"/>
      <c r="K145" s="122" t="s">
        <v>62</v>
      </c>
      <c r="L145" s="123"/>
      <c r="M145" s="122" t="s">
        <v>25</v>
      </c>
      <c r="N145" s="123"/>
      <c r="O145" s="122" t="s">
        <v>24</v>
      </c>
      <c r="P145" s="123"/>
      <c r="Q145" s="106" t="s">
        <v>23</v>
      </c>
      <c r="R145" s="106" t="s">
        <v>22</v>
      </c>
      <c r="S145" s="21"/>
      <c r="T145" s="34" t="s">
        <v>21</v>
      </c>
      <c r="U145" s="34" t="s">
        <v>20</v>
      </c>
      <c r="V145" s="34" t="s">
        <v>95</v>
      </c>
      <c r="W145" s="34" t="s">
        <v>19</v>
      </c>
      <c r="X145" s="34" t="s">
        <v>18</v>
      </c>
      <c r="Y145" s="34" t="s">
        <v>48</v>
      </c>
      <c r="Z145" s="34" t="s">
        <v>49</v>
      </c>
      <c r="AA145" s="34" t="s">
        <v>17</v>
      </c>
      <c r="AB145" s="106" t="s">
        <v>16</v>
      </c>
      <c r="AC145" s="106" t="s">
        <v>15</v>
      </c>
      <c r="AD145" s="106" t="s">
        <v>14</v>
      </c>
      <c r="AE145" s="106" t="s">
        <v>13</v>
      </c>
      <c r="AF145" s="106" t="s">
        <v>12</v>
      </c>
      <c r="AG145" s="116" t="s">
        <v>11</v>
      </c>
      <c r="AH145" s="118" t="s">
        <v>10</v>
      </c>
      <c r="AI145" s="120" t="s">
        <v>9</v>
      </c>
      <c r="AJ145" s="35">
        <f>(1-R147/F147)</f>
        <v>0.27423452768729639</v>
      </c>
      <c r="AK145" s="35">
        <f>1-(AD147+AM147)/F147</f>
        <v>0.25692182410423448</v>
      </c>
      <c r="AM145" s="106" t="s">
        <v>8</v>
      </c>
      <c r="AN145" s="106" t="s">
        <v>7</v>
      </c>
      <c r="AO145" s="106" t="s">
        <v>37</v>
      </c>
      <c r="AP145" s="106" t="s">
        <v>38</v>
      </c>
      <c r="AQ145" s="106" t="s">
        <v>6</v>
      </c>
      <c r="AR145" s="106" t="s">
        <v>5</v>
      </c>
      <c r="AT145" s="106" t="s">
        <v>4</v>
      </c>
      <c r="AU145" s="106" t="s">
        <v>3</v>
      </c>
      <c r="AV145" s="106" t="s">
        <v>2</v>
      </c>
      <c r="AW145" s="106" t="s">
        <v>1</v>
      </c>
      <c r="AY145" s="108"/>
      <c r="AZ145" s="108"/>
      <c r="BB145" s="106"/>
    </row>
    <row r="146" spans="1:54" ht="27" customHeight="1" x14ac:dyDescent="0.3">
      <c r="A146" s="126"/>
      <c r="B146" s="134"/>
      <c r="C146" s="134"/>
      <c r="D146" s="117"/>
      <c r="E146" s="117"/>
      <c r="F146" s="31">
        <v>0</v>
      </c>
      <c r="G146" s="33">
        <v>0.06</v>
      </c>
      <c r="H146" s="32">
        <v>1000000</v>
      </c>
      <c r="I146" s="31">
        <v>1</v>
      </c>
      <c r="J146" s="32">
        <v>43000</v>
      </c>
      <c r="K146" s="31">
        <v>1</v>
      </c>
      <c r="L146" s="32">
        <v>300000</v>
      </c>
      <c r="M146" s="31">
        <v>7.0000000000000007E-2</v>
      </c>
      <c r="N146" s="32">
        <v>150000</v>
      </c>
      <c r="O146" s="31">
        <v>0</v>
      </c>
      <c r="P146" s="32">
        <v>0</v>
      </c>
      <c r="Q146" s="107"/>
      <c r="R146" s="107"/>
      <c r="S146" s="21"/>
      <c r="T146" s="31">
        <f>IF(C147="노트북",7%,IF(C147="저장&amp;주변기기",9%,IF(C147="모니터",7%)))</f>
        <v>7.0000000000000007E-2</v>
      </c>
      <c r="U146" s="31">
        <v>0</v>
      </c>
      <c r="V146" s="31">
        <v>0</v>
      </c>
      <c r="W146" s="31">
        <f>IF(G146=0%,20%,0%)</f>
        <v>0</v>
      </c>
      <c r="X146" s="30">
        <v>0</v>
      </c>
      <c r="Y146" s="30">
        <v>1</v>
      </c>
      <c r="Z146" s="53">
        <v>1</v>
      </c>
      <c r="AA146" s="29">
        <v>0.5</v>
      </c>
      <c r="AB146" s="107"/>
      <c r="AC146" s="107"/>
      <c r="AD146" s="107"/>
      <c r="AE146" s="107"/>
      <c r="AF146" s="107"/>
      <c r="AG146" s="117"/>
      <c r="AH146" s="119"/>
      <c r="AI146" s="121"/>
      <c r="AJ146" s="55" t="s">
        <v>52</v>
      </c>
      <c r="AK146" s="56">
        <f>AJ145-AK145</f>
        <v>1.7312703583061917E-2</v>
      </c>
      <c r="AM146" s="107"/>
      <c r="AN146" s="107"/>
      <c r="AO146" s="107"/>
      <c r="AP146" s="107"/>
      <c r="AQ146" s="107"/>
      <c r="AR146" s="107"/>
      <c r="AS146" s="39"/>
      <c r="AT146" s="107"/>
      <c r="AU146" s="117"/>
      <c r="AV146" s="107"/>
      <c r="AW146" s="107"/>
      <c r="AY146" s="109"/>
      <c r="AZ146" s="109"/>
      <c r="BB146" s="107"/>
    </row>
    <row r="147" spans="1:54" ht="27" customHeight="1" x14ac:dyDescent="0.3">
      <c r="A147" s="28" t="s">
        <v>73</v>
      </c>
      <c r="B147" s="38" t="s">
        <v>35</v>
      </c>
      <c r="C147" s="27" t="s">
        <v>0</v>
      </c>
      <c r="D147" s="26">
        <v>4604254115</v>
      </c>
      <c r="E147" s="25">
        <v>2149000</v>
      </c>
      <c r="F147" s="24">
        <f>ROUNDDOWN(E147/(1-F146),-1)</f>
        <v>2149000</v>
      </c>
      <c r="G147" s="110">
        <f>ROUNDDOWN(IF(F147*G146&gt;H146,H146,F147*G146),-1)</f>
        <v>128940</v>
      </c>
      <c r="H147" s="111"/>
      <c r="I147" s="112">
        <f>ROUNDDOWN(IF(F147*I146&gt;J146,J146,F147*I146),-1)</f>
        <v>43000</v>
      </c>
      <c r="J147" s="113"/>
      <c r="K147" s="112">
        <f>ROUNDDOWN(IF(F147*K146&gt;L146,L146,F147*K146),-1)</f>
        <v>300000</v>
      </c>
      <c r="L147" s="113"/>
      <c r="M147" s="110">
        <f>ROUNDDOWN(IF(Q147*M146&gt;N146,N146,Q147*M146),-1)</f>
        <v>117390</v>
      </c>
      <c r="N147" s="111"/>
      <c r="O147" s="110">
        <f>ROUNDDOWN(IF(F147*O146&gt;P146,P146,F147*O146),-1)</f>
        <v>0</v>
      </c>
      <c r="P147" s="111"/>
      <c r="Q147" s="23">
        <f>F147-G147-I147-K147</f>
        <v>1677060</v>
      </c>
      <c r="R147" s="22">
        <f>F147-G147-I147-K147-M147-O147</f>
        <v>1559670</v>
      </c>
      <c r="S147" s="21"/>
      <c r="T147" s="20">
        <f>F147*T146</f>
        <v>150430</v>
      </c>
      <c r="U147" s="20">
        <f>F147*U146</f>
        <v>0</v>
      </c>
      <c r="V147" s="20">
        <f>(F147-I147)*V146</f>
        <v>0</v>
      </c>
      <c r="W147" s="19">
        <f>(F147*F146)*W146</f>
        <v>0</v>
      </c>
      <c r="X147" s="19">
        <f>G147*X146</f>
        <v>0</v>
      </c>
      <c r="Y147" s="19">
        <f>I147*Y146</f>
        <v>43000</v>
      </c>
      <c r="Z147" s="19">
        <f>K147*Z146</f>
        <v>300000</v>
      </c>
      <c r="AA147" s="19">
        <f>M147*AA146</f>
        <v>58695</v>
      </c>
      <c r="AB147" s="19">
        <v>0</v>
      </c>
      <c r="AC147" s="16">
        <v>8000</v>
      </c>
      <c r="AD147" s="18">
        <f>F147-T147-U147-V147-W147-AA147-X147-Y147-Z147-AB147</f>
        <v>1596875</v>
      </c>
      <c r="AE147" s="18">
        <f>F147-T147-U147-V147-W147-X147-Y147-Z147-AA147-AB147-AC147</f>
        <v>1588875</v>
      </c>
      <c r="AF147" s="17">
        <f>AE147-AG147</f>
        <v>38875</v>
      </c>
      <c r="AG147" s="16">
        <v>1550000</v>
      </c>
      <c r="AH147" s="15">
        <f>AF147/AG147</f>
        <v>2.5080645161290323E-2</v>
      </c>
      <c r="AI147" s="14">
        <f>1-R147/(AG147-AM147-AN147-AO147)</f>
        <v>-6.2387096774194628E-3</v>
      </c>
      <c r="AJ147" s="114">
        <f>(1-R147/F147)-(1-(AD147)/F147)</f>
        <v>1.7312703583061917E-2</v>
      </c>
      <c r="AK147" s="115"/>
      <c r="AM147" s="13"/>
      <c r="AN147" s="12"/>
      <c r="AO147" s="12">
        <v>0</v>
      </c>
      <c r="AP147" s="12"/>
      <c r="AQ147" s="11">
        <f>AE147-(AG147-AM147-AN147-AO147-AP147)</f>
        <v>38875</v>
      </c>
      <c r="AR147" s="8">
        <f>AQ147/AG147</f>
        <v>2.5080645161290323E-2</v>
      </c>
      <c r="AT147" s="10">
        <v>0</v>
      </c>
      <c r="AU147" s="10">
        <v>0</v>
      </c>
      <c r="AV147" s="9">
        <f>AQ147-AT147-AU147</f>
        <v>38875</v>
      </c>
      <c r="AW147" s="8">
        <f>AV147/AG147</f>
        <v>2.5080645161290323E-2</v>
      </c>
      <c r="AY147" s="49"/>
      <c r="AZ147" s="50"/>
      <c r="BB147" s="6"/>
    </row>
    <row r="148" spans="1:54" x14ac:dyDescent="0.3">
      <c r="E148" s="5">
        <v>1649000</v>
      </c>
      <c r="F148" s="4">
        <f>ROUNDDOWN(E148/(1-F146),-1)</f>
        <v>1649000</v>
      </c>
      <c r="G148" s="138">
        <f>ROUNDDOWN(IF(F148*G146&gt;H146,H146,F148*G146),-1)</f>
        <v>98940</v>
      </c>
      <c r="H148" s="138"/>
      <c r="J148" s="54">
        <f>F147*4%</f>
        <v>85960</v>
      </c>
      <c r="R148" s="4">
        <v>1549160</v>
      </c>
      <c r="X148" s="3">
        <f>G148*X146</f>
        <v>0</v>
      </c>
      <c r="Y148" s="3"/>
      <c r="Z148" s="3"/>
      <c r="AG148" s="57"/>
    </row>
    <row r="149" spans="1:54" ht="27" customHeight="1" x14ac:dyDescent="0.3">
      <c r="A149" s="124" t="s">
        <v>34</v>
      </c>
      <c r="B149" s="135" t="s">
        <v>126</v>
      </c>
      <c r="C149" s="136"/>
      <c r="D149" s="136"/>
      <c r="E149" s="136"/>
      <c r="F149" s="136"/>
      <c r="G149" s="136"/>
      <c r="H149" s="136"/>
      <c r="I149" s="136"/>
      <c r="J149" s="136"/>
      <c r="K149" s="136"/>
      <c r="L149" s="136"/>
      <c r="M149" s="136"/>
      <c r="N149" s="136"/>
      <c r="O149" s="136"/>
      <c r="P149" s="136"/>
      <c r="Q149" s="136"/>
      <c r="R149" s="137"/>
      <c r="T149" s="130" t="s">
        <v>33</v>
      </c>
      <c r="U149" s="131"/>
      <c r="V149" s="131"/>
      <c r="W149" s="131"/>
      <c r="X149" s="131"/>
      <c r="Y149" s="131"/>
      <c r="Z149" s="131"/>
      <c r="AA149" s="131"/>
      <c r="AB149" s="131"/>
      <c r="AC149" s="131"/>
      <c r="AD149" s="131"/>
      <c r="AE149" s="131"/>
      <c r="AF149" s="131"/>
      <c r="AG149" s="131"/>
      <c r="AH149" s="132"/>
      <c r="AI149" s="37"/>
      <c r="AM149" s="130" t="s">
        <v>32</v>
      </c>
      <c r="AN149" s="131"/>
      <c r="AO149" s="131"/>
      <c r="AP149" s="131"/>
      <c r="AQ149" s="131"/>
      <c r="AR149" s="132"/>
      <c r="AT149" s="130" t="s">
        <v>31</v>
      </c>
      <c r="AU149" s="131"/>
      <c r="AV149" s="131"/>
      <c r="AW149" s="132"/>
      <c r="AY149" s="47" t="s">
        <v>36</v>
      </c>
      <c r="AZ149" s="48"/>
      <c r="BB149" s="36"/>
    </row>
    <row r="150" spans="1:54" ht="32.25" customHeight="1" x14ac:dyDescent="0.3">
      <c r="A150" s="125"/>
      <c r="B150" s="133" t="s">
        <v>30</v>
      </c>
      <c r="C150" s="133" t="s">
        <v>29</v>
      </c>
      <c r="D150" s="116" t="s">
        <v>28</v>
      </c>
      <c r="E150" s="116" t="s">
        <v>27</v>
      </c>
      <c r="F150" s="34" t="s">
        <v>26</v>
      </c>
      <c r="G150" s="122" t="s">
        <v>63</v>
      </c>
      <c r="H150" s="123"/>
      <c r="I150" s="122" t="s">
        <v>50</v>
      </c>
      <c r="J150" s="123"/>
      <c r="K150" s="122" t="s">
        <v>62</v>
      </c>
      <c r="L150" s="123"/>
      <c r="M150" s="122" t="s">
        <v>25</v>
      </c>
      <c r="N150" s="123"/>
      <c r="O150" s="122" t="s">
        <v>24</v>
      </c>
      <c r="P150" s="123"/>
      <c r="Q150" s="106" t="s">
        <v>23</v>
      </c>
      <c r="R150" s="106" t="s">
        <v>22</v>
      </c>
      <c r="S150" s="21"/>
      <c r="T150" s="34" t="s">
        <v>21</v>
      </c>
      <c r="U150" s="34" t="s">
        <v>20</v>
      </c>
      <c r="V150" s="34" t="s">
        <v>95</v>
      </c>
      <c r="W150" s="34" t="s">
        <v>19</v>
      </c>
      <c r="X150" s="34" t="s">
        <v>18</v>
      </c>
      <c r="Y150" s="34" t="s">
        <v>48</v>
      </c>
      <c r="Z150" s="34" t="s">
        <v>49</v>
      </c>
      <c r="AA150" s="34" t="s">
        <v>17</v>
      </c>
      <c r="AB150" s="106" t="s">
        <v>16</v>
      </c>
      <c r="AC150" s="106" t="s">
        <v>15</v>
      </c>
      <c r="AD150" s="106" t="s">
        <v>14</v>
      </c>
      <c r="AE150" s="106" t="s">
        <v>13</v>
      </c>
      <c r="AF150" s="106" t="s">
        <v>12</v>
      </c>
      <c r="AG150" s="116" t="s">
        <v>11</v>
      </c>
      <c r="AH150" s="118" t="s">
        <v>10</v>
      </c>
      <c r="AI150" s="120" t="s">
        <v>9</v>
      </c>
      <c r="AJ150" s="35">
        <f>(1-R152/F152)</f>
        <v>0.20920308560003575</v>
      </c>
      <c r="AK150" s="35">
        <f>1-(AD152+AM152)/F152</f>
        <v>0.21920696498112535</v>
      </c>
      <c r="AM150" s="106" t="s">
        <v>8</v>
      </c>
      <c r="AN150" s="106" t="s">
        <v>7</v>
      </c>
      <c r="AO150" s="106" t="s">
        <v>37</v>
      </c>
      <c r="AP150" s="106" t="s">
        <v>38</v>
      </c>
      <c r="AQ150" s="106" t="s">
        <v>6</v>
      </c>
      <c r="AR150" s="106" t="s">
        <v>5</v>
      </c>
      <c r="AT150" s="106" t="s">
        <v>4</v>
      </c>
      <c r="AU150" s="106" t="s">
        <v>3</v>
      </c>
      <c r="AV150" s="106" t="s">
        <v>2</v>
      </c>
      <c r="AW150" s="106" t="s">
        <v>1</v>
      </c>
      <c r="AY150" s="108"/>
      <c r="AZ150" s="108"/>
      <c r="BB150" s="106"/>
    </row>
    <row r="151" spans="1:54" ht="27" customHeight="1" x14ac:dyDescent="0.3">
      <c r="A151" s="126"/>
      <c r="B151" s="134"/>
      <c r="C151" s="134"/>
      <c r="D151" s="117"/>
      <c r="E151" s="117"/>
      <c r="F151" s="31">
        <v>0</v>
      </c>
      <c r="G151" s="33">
        <v>0.06</v>
      </c>
      <c r="H151" s="32">
        <v>1000000</v>
      </c>
      <c r="I151" s="31">
        <v>0</v>
      </c>
      <c r="J151" s="32">
        <v>0</v>
      </c>
      <c r="K151" s="31">
        <v>1</v>
      </c>
      <c r="L151" s="32">
        <v>300000</v>
      </c>
      <c r="M151" s="31">
        <v>0</v>
      </c>
      <c r="N151" s="32">
        <v>0</v>
      </c>
      <c r="O151" s="31">
        <v>0</v>
      </c>
      <c r="P151" s="32">
        <v>0</v>
      </c>
      <c r="Q151" s="107"/>
      <c r="R151" s="107"/>
      <c r="S151" s="21"/>
      <c r="T151" s="31">
        <f>IF(C152="노트북",7%,IF(C152="저장&amp;주변기기",9%,IF(C152="모니터",7%)))</f>
        <v>7.0000000000000007E-2</v>
      </c>
      <c r="U151" s="31">
        <v>0</v>
      </c>
      <c r="V151" s="31">
        <v>0</v>
      </c>
      <c r="W151" s="31">
        <f>IF(G151=0%,20%,0%)</f>
        <v>0</v>
      </c>
      <c r="X151" s="30">
        <v>0</v>
      </c>
      <c r="Y151" s="30">
        <v>1</v>
      </c>
      <c r="Z151" s="53">
        <v>1</v>
      </c>
      <c r="AA151" s="29">
        <v>0.5</v>
      </c>
      <c r="AB151" s="107"/>
      <c r="AC151" s="107"/>
      <c r="AD151" s="107"/>
      <c r="AE151" s="107"/>
      <c r="AF151" s="107"/>
      <c r="AG151" s="117"/>
      <c r="AH151" s="119"/>
      <c r="AI151" s="121"/>
      <c r="AJ151" s="55" t="s">
        <v>52</v>
      </c>
      <c r="AK151" s="56">
        <f>AJ150-AK150</f>
        <v>-1.0003879381089598E-2</v>
      </c>
      <c r="AM151" s="107"/>
      <c r="AN151" s="107"/>
      <c r="AO151" s="107"/>
      <c r="AP151" s="107"/>
      <c r="AQ151" s="107"/>
      <c r="AR151" s="107"/>
      <c r="AS151" s="39"/>
      <c r="AT151" s="107"/>
      <c r="AU151" s="117"/>
      <c r="AV151" s="107"/>
      <c r="AW151" s="107"/>
      <c r="AY151" s="109"/>
      <c r="AZ151" s="109"/>
      <c r="BB151" s="107"/>
    </row>
    <row r="152" spans="1:54" ht="27" customHeight="1" x14ac:dyDescent="0.3">
      <c r="A152" s="28" t="s">
        <v>73</v>
      </c>
      <c r="B152" s="38" t="s">
        <v>35</v>
      </c>
      <c r="C152" s="27" t="s">
        <v>0</v>
      </c>
      <c r="D152" s="26">
        <v>4604254115</v>
      </c>
      <c r="E152" s="25">
        <v>2010630</v>
      </c>
      <c r="F152" s="24">
        <f>ROUNDDOWN(E152/(1-F151),-1)</f>
        <v>2010630</v>
      </c>
      <c r="G152" s="110">
        <f>ROUNDDOWN(IF(F152*G151&gt;H151,H151,F152*G151),-1)</f>
        <v>120630</v>
      </c>
      <c r="H152" s="111"/>
      <c r="I152" s="112">
        <f>ROUNDDOWN(IF(F152*I151&gt;J151,J151,F152*I151),-1)</f>
        <v>0</v>
      </c>
      <c r="J152" s="113"/>
      <c r="K152" s="112">
        <f>ROUNDDOWN(IF(F152*K151&gt;L151,L151,F152*K151),-1)</f>
        <v>300000</v>
      </c>
      <c r="L152" s="113"/>
      <c r="M152" s="110">
        <f>ROUNDDOWN(IF(Q152*M151&gt;N151,N151,Q152*M151),-1)</f>
        <v>0</v>
      </c>
      <c r="N152" s="111"/>
      <c r="O152" s="110">
        <f>ROUNDDOWN(IF(F152*O151&gt;P151,P151,F152*O151),-1)</f>
        <v>0</v>
      </c>
      <c r="P152" s="111"/>
      <c r="Q152" s="23">
        <f>F152-G152-I152-K152</f>
        <v>1590000</v>
      </c>
      <c r="R152" s="22">
        <f>F152-G152-I152-K152-M152-O152</f>
        <v>1590000</v>
      </c>
      <c r="S152" s="21"/>
      <c r="T152" s="20">
        <f>F152*T151</f>
        <v>140744.1</v>
      </c>
      <c r="U152" s="20">
        <f>F152*U151</f>
        <v>0</v>
      </c>
      <c r="V152" s="20">
        <f>(F152-I152)*V151</f>
        <v>0</v>
      </c>
      <c r="W152" s="19">
        <f>(F152*F151)*W151</f>
        <v>0</v>
      </c>
      <c r="X152" s="19">
        <f>G152*X151</f>
        <v>0</v>
      </c>
      <c r="Y152" s="19">
        <f>I152*Y151</f>
        <v>0</v>
      </c>
      <c r="Z152" s="19">
        <f>K152*Z151</f>
        <v>300000</v>
      </c>
      <c r="AA152" s="19">
        <f>M152*AA151</f>
        <v>0</v>
      </c>
      <c r="AB152" s="19">
        <v>0</v>
      </c>
      <c r="AC152" s="16">
        <v>8000</v>
      </c>
      <c r="AD152" s="18">
        <f>F152-T152-U152-V152-W152-AA152-X152-Y152-Z152-AB152</f>
        <v>1569885.9</v>
      </c>
      <c r="AE152" s="18">
        <f>F152-T152-U152-V152-W152-X152-Y152-Z152-AA152-AB152-AC152</f>
        <v>1561885.9</v>
      </c>
      <c r="AF152" s="17">
        <f>AE152-AG152</f>
        <v>11885.899999999907</v>
      </c>
      <c r="AG152" s="16">
        <v>1550000</v>
      </c>
      <c r="AH152" s="15">
        <f>AF152/AG152</f>
        <v>7.6683225806451014E-3</v>
      </c>
      <c r="AI152" s="14">
        <f>1-R152/(AG152-AM152-AN152-AO152)</f>
        <v>-2.5806451612903292E-2</v>
      </c>
      <c r="AJ152" s="114">
        <f>(1-R152/F152)-(1-(AD152)/F152)</f>
        <v>-1.0003879381089598E-2</v>
      </c>
      <c r="AK152" s="115"/>
      <c r="AM152" s="13"/>
      <c r="AN152" s="12"/>
      <c r="AO152" s="12">
        <v>0</v>
      </c>
      <c r="AP152" s="12"/>
      <c r="AQ152" s="11">
        <f>AE152-(AG152-AM152-AN152-AO152-AP152)</f>
        <v>11885.899999999907</v>
      </c>
      <c r="AR152" s="8">
        <f>AQ152/AG152</f>
        <v>7.6683225806451014E-3</v>
      </c>
      <c r="AT152" s="10">
        <v>0</v>
      </c>
      <c r="AU152" s="10">
        <v>0</v>
      </c>
      <c r="AV152" s="9">
        <f>AQ152-AT152-AU152</f>
        <v>11885.899999999907</v>
      </c>
      <c r="AW152" s="8">
        <f>AV152/AG152</f>
        <v>7.6683225806451014E-3</v>
      </c>
      <c r="AY152" s="49"/>
      <c r="AZ152" s="50"/>
      <c r="BB152" s="6"/>
    </row>
    <row r="153" spans="1:54" x14ac:dyDescent="0.3">
      <c r="E153" s="5">
        <v>1649000</v>
      </c>
      <c r="F153" s="4">
        <f>ROUNDDOWN(E153/(1-F151),-1)</f>
        <v>1649000</v>
      </c>
      <c r="G153" s="138">
        <f>ROUNDDOWN(IF(F153*G151&gt;H151,H151,F153*G151),-1)</f>
        <v>98940</v>
      </c>
      <c r="H153" s="138"/>
      <c r="J153" s="54">
        <f>F152*4%</f>
        <v>80425.2</v>
      </c>
      <c r="R153" s="4">
        <v>1549160</v>
      </c>
      <c r="X153" s="3">
        <f>G153*X151</f>
        <v>0</v>
      </c>
      <c r="Y153" s="3"/>
      <c r="Z153" s="3"/>
      <c r="AG153" s="57"/>
    </row>
    <row r="154" spans="1:54" ht="27" customHeight="1" x14ac:dyDescent="0.3">
      <c r="A154" s="124" t="s">
        <v>34</v>
      </c>
      <c r="B154" s="139" t="s">
        <v>129</v>
      </c>
      <c r="C154" s="140"/>
      <c r="D154" s="140"/>
      <c r="E154" s="140"/>
      <c r="F154" s="140"/>
      <c r="G154" s="140"/>
      <c r="H154" s="140"/>
      <c r="I154" s="140"/>
      <c r="J154" s="140"/>
      <c r="K154" s="140"/>
      <c r="L154" s="140"/>
      <c r="M154" s="140"/>
      <c r="N154" s="140"/>
      <c r="O154" s="140"/>
      <c r="P154" s="140"/>
      <c r="Q154" s="140"/>
      <c r="R154" s="141"/>
      <c r="T154" s="130" t="s">
        <v>33</v>
      </c>
      <c r="U154" s="131"/>
      <c r="V154" s="131"/>
      <c r="W154" s="131"/>
      <c r="X154" s="131"/>
      <c r="Y154" s="131"/>
      <c r="Z154" s="131"/>
      <c r="AA154" s="131"/>
      <c r="AB154" s="131"/>
      <c r="AC154" s="131"/>
      <c r="AD154" s="131"/>
      <c r="AE154" s="131"/>
      <c r="AF154" s="131"/>
      <c r="AG154" s="131"/>
      <c r="AH154" s="132"/>
      <c r="AI154" s="37"/>
      <c r="AM154" s="130" t="s">
        <v>32</v>
      </c>
      <c r="AN154" s="131"/>
      <c r="AO154" s="131"/>
      <c r="AP154" s="131"/>
      <c r="AQ154" s="131"/>
      <c r="AR154" s="132"/>
      <c r="AT154" s="130" t="s">
        <v>31</v>
      </c>
      <c r="AU154" s="131"/>
      <c r="AV154" s="131"/>
      <c r="AW154" s="132"/>
      <c r="AY154" s="47" t="s">
        <v>36</v>
      </c>
      <c r="AZ154" s="48"/>
      <c r="BB154" s="36"/>
    </row>
    <row r="155" spans="1:54" ht="32.25" customHeight="1" x14ac:dyDescent="0.3">
      <c r="A155" s="125"/>
      <c r="B155" s="133" t="s">
        <v>30</v>
      </c>
      <c r="C155" s="133" t="s">
        <v>29</v>
      </c>
      <c r="D155" s="116" t="s">
        <v>28</v>
      </c>
      <c r="E155" s="116" t="s">
        <v>27</v>
      </c>
      <c r="F155" s="34" t="s">
        <v>26</v>
      </c>
      <c r="G155" s="122" t="s">
        <v>63</v>
      </c>
      <c r="H155" s="123"/>
      <c r="I155" s="122" t="s">
        <v>50</v>
      </c>
      <c r="J155" s="123"/>
      <c r="K155" s="122" t="s">
        <v>62</v>
      </c>
      <c r="L155" s="123"/>
      <c r="M155" s="122" t="s">
        <v>25</v>
      </c>
      <c r="N155" s="123"/>
      <c r="O155" s="122" t="s">
        <v>24</v>
      </c>
      <c r="P155" s="123"/>
      <c r="Q155" s="106" t="s">
        <v>23</v>
      </c>
      <c r="R155" s="106" t="s">
        <v>22</v>
      </c>
      <c r="S155" s="21"/>
      <c r="T155" s="34" t="s">
        <v>21</v>
      </c>
      <c r="U155" s="34" t="s">
        <v>20</v>
      </c>
      <c r="V155" s="34" t="s">
        <v>95</v>
      </c>
      <c r="W155" s="34" t="s">
        <v>19</v>
      </c>
      <c r="X155" s="34" t="s">
        <v>18</v>
      </c>
      <c r="Y155" s="34" t="s">
        <v>48</v>
      </c>
      <c r="Z155" s="34" t="s">
        <v>49</v>
      </c>
      <c r="AA155" s="34" t="s">
        <v>17</v>
      </c>
      <c r="AB155" s="106" t="s">
        <v>16</v>
      </c>
      <c r="AC155" s="106" t="s">
        <v>15</v>
      </c>
      <c r="AD155" s="106" t="s">
        <v>14</v>
      </c>
      <c r="AE155" s="106" t="s">
        <v>13</v>
      </c>
      <c r="AF155" s="106" t="s">
        <v>12</v>
      </c>
      <c r="AG155" s="116" t="s">
        <v>11</v>
      </c>
      <c r="AH155" s="118" t="s">
        <v>10</v>
      </c>
      <c r="AI155" s="120" t="s">
        <v>9</v>
      </c>
      <c r="AJ155" s="35">
        <f>(1-R157/F157)</f>
        <v>0.20104372355430178</v>
      </c>
      <c r="AK155" s="35">
        <f>1-(AD157+AM157)/F157</f>
        <v>0.21104372355430179</v>
      </c>
      <c r="AM155" s="106" t="s">
        <v>8</v>
      </c>
      <c r="AN155" s="106" t="s">
        <v>7</v>
      </c>
      <c r="AO155" s="106" t="s">
        <v>37</v>
      </c>
      <c r="AP155" s="106" t="s">
        <v>38</v>
      </c>
      <c r="AQ155" s="106" t="s">
        <v>6</v>
      </c>
      <c r="AR155" s="106" t="s">
        <v>5</v>
      </c>
      <c r="AT155" s="106" t="s">
        <v>4</v>
      </c>
      <c r="AU155" s="106" t="s">
        <v>3</v>
      </c>
      <c r="AV155" s="106" t="s">
        <v>2</v>
      </c>
      <c r="AW155" s="106" t="s">
        <v>1</v>
      </c>
      <c r="AY155" s="108"/>
      <c r="AZ155" s="108"/>
      <c r="BB155" s="106"/>
    </row>
    <row r="156" spans="1:54" ht="27" customHeight="1" x14ac:dyDescent="0.3">
      <c r="A156" s="126"/>
      <c r="B156" s="134"/>
      <c r="C156" s="134"/>
      <c r="D156" s="117"/>
      <c r="E156" s="117"/>
      <c r="F156" s="31">
        <v>0</v>
      </c>
      <c r="G156" s="33">
        <v>0.06</v>
      </c>
      <c r="H156" s="32">
        <v>1000000</v>
      </c>
      <c r="I156" s="31">
        <v>0</v>
      </c>
      <c r="J156" s="32">
        <v>0</v>
      </c>
      <c r="K156" s="31">
        <v>1</v>
      </c>
      <c r="L156" s="32">
        <v>300000</v>
      </c>
      <c r="M156" s="31">
        <v>0</v>
      </c>
      <c r="N156" s="32">
        <v>0</v>
      </c>
      <c r="O156" s="31">
        <v>0</v>
      </c>
      <c r="P156" s="32">
        <v>0</v>
      </c>
      <c r="Q156" s="107"/>
      <c r="R156" s="107"/>
      <c r="S156" s="21"/>
      <c r="T156" s="31">
        <f>IF(C157="노트북",7%,IF(C157="저장&amp;주변기기",9%,IF(C157="모니터",7%)))</f>
        <v>7.0000000000000007E-2</v>
      </c>
      <c r="U156" s="31">
        <v>0</v>
      </c>
      <c r="V156" s="31">
        <v>0</v>
      </c>
      <c r="W156" s="31">
        <f>IF(G156=0%,20%,0%)</f>
        <v>0</v>
      </c>
      <c r="X156" s="30">
        <v>0</v>
      </c>
      <c r="Y156" s="30">
        <v>1</v>
      </c>
      <c r="Z156" s="53">
        <v>1</v>
      </c>
      <c r="AA156" s="29">
        <v>0.5</v>
      </c>
      <c r="AB156" s="107"/>
      <c r="AC156" s="107"/>
      <c r="AD156" s="107"/>
      <c r="AE156" s="107"/>
      <c r="AF156" s="107"/>
      <c r="AG156" s="117"/>
      <c r="AH156" s="119"/>
      <c r="AI156" s="121"/>
      <c r="AJ156" s="55" t="s">
        <v>52</v>
      </c>
      <c r="AK156" s="56">
        <f>AJ155-AK155</f>
        <v>-1.0000000000000009E-2</v>
      </c>
      <c r="AM156" s="107"/>
      <c r="AN156" s="107"/>
      <c r="AO156" s="107"/>
      <c r="AP156" s="107"/>
      <c r="AQ156" s="107"/>
      <c r="AR156" s="107"/>
      <c r="AS156" s="39"/>
      <c r="AT156" s="107"/>
      <c r="AU156" s="117"/>
      <c r="AV156" s="107"/>
      <c r="AW156" s="107"/>
      <c r="AY156" s="109"/>
      <c r="AZ156" s="109"/>
      <c r="BB156" s="107"/>
    </row>
    <row r="157" spans="1:54" ht="27" customHeight="1" x14ac:dyDescent="0.3">
      <c r="A157" s="28" t="s">
        <v>73</v>
      </c>
      <c r="B157" s="38" t="s">
        <v>35</v>
      </c>
      <c r="C157" s="27" t="s">
        <v>0</v>
      </c>
      <c r="D157" s="26">
        <v>4604254115</v>
      </c>
      <c r="E157" s="25">
        <v>2127000</v>
      </c>
      <c r="F157" s="24">
        <f>ROUNDDOWN(E157/(1-F156),-1)</f>
        <v>2127000</v>
      </c>
      <c r="G157" s="110">
        <f>ROUNDDOWN(IF(F157*G156&gt;H156,H156,F157*G156),-1)</f>
        <v>127620</v>
      </c>
      <c r="H157" s="111"/>
      <c r="I157" s="112">
        <f>ROUNDDOWN(IF(F157*I156&gt;J156,J156,F157*I156),-1)</f>
        <v>0</v>
      </c>
      <c r="J157" s="113"/>
      <c r="K157" s="112">
        <f>ROUNDDOWN(IF(F157*K156&gt;L156,L156,F157*K156),-1)</f>
        <v>300000</v>
      </c>
      <c r="L157" s="113"/>
      <c r="M157" s="110">
        <f>ROUNDDOWN(IF(Q157*M156&gt;N156,N156,Q157*M156),-1)</f>
        <v>0</v>
      </c>
      <c r="N157" s="111"/>
      <c r="O157" s="110">
        <f>ROUNDDOWN(IF(F157*O156&gt;P156,P156,F157*O156),-1)</f>
        <v>0</v>
      </c>
      <c r="P157" s="111"/>
      <c r="Q157" s="23">
        <f>F157-G157-I157-K157</f>
        <v>1699380</v>
      </c>
      <c r="R157" s="22">
        <f>F157-G157-I157-K157-M157-O157</f>
        <v>1699380</v>
      </c>
      <c r="S157" s="21"/>
      <c r="T157" s="20">
        <f>F157*T156</f>
        <v>148890</v>
      </c>
      <c r="U157" s="20">
        <f>F157*U156</f>
        <v>0</v>
      </c>
      <c r="V157" s="20">
        <f>(F157-I157)*V156</f>
        <v>0</v>
      </c>
      <c r="W157" s="19">
        <f>(F157*F156)*W156</f>
        <v>0</v>
      </c>
      <c r="X157" s="19">
        <f>G157*X156</f>
        <v>0</v>
      </c>
      <c r="Y157" s="19">
        <f>I157*Y156</f>
        <v>0</v>
      </c>
      <c r="Z157" s="19">
        <f>K157*Z156</f>
        <v>300000</v>
      </c>
      <c r="AA157" s="19">
        <f>M157*AA156</f>
        <v>0</v>
      </c>
      <c r="AB157" s="19">
        <v>0</v>
      </c>
      <c r="AC157" s="16">
        <v>8000</v>
      </c>
      <c r="AD157" s="18">
        <f>F157-T157-U157-V157-W157-AA157-X157-Y157-Z157-AB157</f>
        <v>1678110</v>
      </c>
      <c r="AE157" s="18">
        <f>F157-T157-U157-V157-W157-X157-Y157-Z157-AA157-AB157-AC157</f>
        <v>1670110</v>
      </c>
      <c r="AF157" s="17">
        <f>AE157-AG157</f>
        <v>120110</v>
      </c>
      <c r="AG157" s="16">
        <v>1550000</v>
      </c>
      <c r="AH157" s="15">
        <f>AF157/AG157</f>
        <v>7.7490322580645157E-2</v>
      </c>
      <c r="AI157" s="14">
        <f>1-R157/(AG157-AM157-AN157-AO157)</f>
        <v>-9.6374193548387055E-2</v>
      </c>
      <c r="AJ157" s="114">
        <f>(1-R157/F157)-(1-(AD157)/F157)</f>
        <v>-1.0000000000000009E-2</v>
      </c>
      <c r="AK157" s="115"/>
      <c r="AM157" s="13"/>
      <c r="AN157" s="12"/>
      <c r="AO157" s="12">
        <v>0</v>
      </c>
      <c r="AP157" s="12"/>
      <c r="AQ157" s="11">
        <f>AE157-(AG157-AM157-AN157-AO157-AP157)</f>
        <v>120110</v>
      </c>
      <c r="AR157" s="8">
        <f>AQ157/AG157</f>
        <v>7.7490322580645157E-2</v>
      </c>
      <c r="AT157" s="10">
        <v>0</v>
      </c>
      <c r="AU157" s="10">
        <v>0</v>
      </c>
      <c r="AV157" s="9">
        <f>AQ157-AT157-AU157</f>
        <v>120110</v>
      </c>
      <c r="AW157" s="8">
        <f>AV157/AG157</f>
        <v>7.7490322580645157E-2</v>
      </c>
      <c r="AY157" s="49"/>
      <c r="AZ157" s="50"/>
      <c r="BB157" s="6"/>
    </row>
    <row r="158" spans="1:54" x14ac:dyDescent="0.3">
      <c r="E158" s="5">
        <v>1649000</v>
      </c>
      <c r="F158" s="4">
        <f>ROUNDDOWN(E158/(1-F156),-1)</f>
        <v>1649000</v>
      </c>
      <c r="G158" s="138">
        <f>ROUNDDOWN(IF(F158*G156&gt;H156,H156,F158*G156),-1)</f>
        <v>98940</v>
      </c>
      <c r="H158" s="138"/>
      <c r="J158" s="54">
        <f>F157*4%</f>
        <v>85080</v>
      </c>
      <c r="R158" s="4">
        <v>1549160</v>
      </c>
      <c r="X158" s="3">
        <f>G158*X156</f>
        <v>0</v>
      </c>
      <c r="Y158" s="3"/>
      <c r="Z158" s="3"/>
      <c r="AG158" s="57"/>
    </row>
    <row r="159" spans="1:54" x14ac:dyDescent="0.3">
      <c r="E159" s="5"/>
      <c r="F159" s="4"/>
      <c r="G159" s="42"/>
      <c r="H159" s="42"/>
      <c r="J159" s="54"/>
      <c r="R159" s="4"/>
      <c r="X159" s="3"/>
      <c r="Y159" s="3"/>
      <c r="Z159" s="3"/>
      <c r="AG159" s="57"/>
    </row>
    <row r="160" spans="1:54" x14ac:dyDescent="0.3">
      <c r="E160" s="5"/>
      <c r="F160" s="4"/>
      <c r="G160" s="42"/>
      <c r="H160" s="42"/>
      <c r="J160" s="54"/>
      <c r="R160" s="4"/>
      <c r="X160" s="3"/>
      <c r="Y160" s="3"/>
      <c r="Z160" s="3"/>
      <c r="AG160" s="57"/>
    </row>
    <row r="161" spans="1:54" x14ac:dyDescent="0.3">
      <c r="E161" s="5"/>
      <c r="F161" s="4"/>
      <c r="G161" s="42"/>
      <c r="H161" s="42"/>
      <c r="J161" s="54"/>
      <c r="X161" s="3"/>
      <c r="Y161" s="3"/>
      <c r="Z161" s="3"/>
    </row>
    <row r="162" spans="1:54" s="87" customFormat="1" ht="19.5" x14ac:dyDescent="0.3">
      <c r="A162" s="84" t="s">
        <v>79</v>
      </c>
      <c r="B162" s="85"/>
      <c r="C162" s="85"/>
      <c r="D162" s="85"/>
      <c r="E162" s="86"/>
      <c r="AH162" s="88"/>
      <c r="AI162" s="88"/>
      <c r="AJ162" s="88"/>
      <c r="AK162" s="88"/>
    </row>
    <row r="163" spans="1:54" x14ac:dyDescent="0.3">
      <c r="A163" s="43"/>
      <c r="B163" s="43"/>
      <c r="C163" s="43"/>
      <c r="D163" s="43"/>
      <c r="E163" s="5"/>
    </row>
    <row r="164" spans="1:54" ht="27" customHeight="1" x14ac:dyDescent="0.3">
      <c r="A164" s="124" t="s">
        <v>34</v>
      </c>
      <c r="B164" s="127" t="s">
        <v>125</v>
      </c>
      <c r="C164" s="128"/>
      <c r="D164" s="128"/>
      <c r="E164" s="128"/>
      <c r="F164" s="128"/>
      <c r="G164" s="128"/>
      <c r="H164" s="128"/>
      <c r="I164" s="128"/>
      <c r="J164" s="128"/>
      <c r="K164" s="128"/>
      <c r="L164" s="128"/>
      <c r="M164" s="128"/>
      <c r="N164" s="128"/>
      <c r="O164" s="128"/>
      <c r="P164" s="128"/>
      <c r="Q164" s="128"/>
      <c r="R164" s="129"/>
      <c r="T164" s="130" t="s">
        <v>33</v>
      </c>
      <c r="U164" s="131"/>
      <c r="V164" s="131"/>
      <c r="W164" s="131"/>
      <c r="X164" s="131"/>
      <c r="Y164" s="131"/>
      <c r="Z164" s="131"/>
      <c r="AA164" s="131"/>
      <c r="AB164" s="131"/>
      <c r="AC164" s="131"/>
      <c r="AD164" s="131"/>
      <c r="AE164" s="131"/>
      <c r="AF164" s="131"/>
      <c r="AG164" s="131"/>
      <c r="AH164" s="132"/>
      <c r="AI164" s="37"/>
      <c r="AM164" s="130" t="s">
        <v>32</v>
      </c>
      <c r="AN164" s="131"/>
      <c r="AO164" s="131"/>
      <c r="AP164" s="131"/>
      <c r="AQ164" s="131"/>
      <c r="AR164" s="132"/>
      <c r="AT164" s="130" t="s">
        <v>31</v>
      </c>
      <c r="AU164" s="131"/>
      <c r="AV164" s="131"/>
      <c r="AW164" s="132"/>
      <c r="AY164" s="47" t="s">
        <v>36</v>
      </c>
      <c r="AZ164" s="48"/>
      <c r="BB164" s="36"/>
    </row>
    <row r="165" spans="1:54" ht="32.25" customHeight="1" x14ac:dyDescent="0.3">
      <c r="A165" s="125"/>
      <c r="B165" s="133" t="s">
        <v>30</v>
      </c>
      <c r="C165" s="133" t="s">
        <v>29</v>
      </c>
      <c r="D165" s="116" t="s">
        <v>28</v>
      </c>
      <c r="E165" s="116" t="s">
        <v>27</v>
      </c>
      <c r="F165" s="34" t="s">
        <v>26</v>
      </c>
      <c r="G165" s="122" t="s">
        <v>63</v>
      </c>
      <c r="H165" s="123"/>
      <c r="I165" s="122" t="s">
        <v>50</v>
      </c>
      <c r="J165" s="123"/>
      <c r="K165" s="122" t="s">
        <v>62</v>
      </c>
      <c r="L165" s="123"/>
      <c r="M165" s="122" t="s">
        <v>25</v>
      </c>
      <c r="N165" s="123"/>
      <c r="O165" s="122" t="s">
        <v>24</v>
      </c>
      <c r="P165" s="123"/>
      <c r="Q165" s="106" t="s">
        <v>23</v>
      </c>
      <c r="R165" s="106" t="s">
        <v>22</v>
      </c>
      <c r="S165" s="21"/>
      <c r="T165" s="34" t="s">
        <v>21</v>
      </c>
      <c r="U165" s="34" t="s">
        <v>20</v>
      </c>
      <c r="V165" s="34" t="s">
        <v>95</v>
      </c>
      <c r="W165" s="34" t="s">
        <v>19</v>
      </c>
      <c r="X165" s="34" t="s">
        <v>18</v>
      </c>
      <c r="Y165" s="34" t="s">
        <v>48</v>
      </c>
      <c r="Z165" s="34" t="s">
        <v>49</v>
      </c>
      <c r="AA165" s="34" t="s">
        <v>17</v>
      </c>
      <c r="AB165" s="106" t="s">
        <v>16</v>
      </c>
      <c r="AC165" s="106" t="s">
        <v>15</v>
      </c>
      <c r="AD165" s="106" t="s">
        <v>14</v>
      </c>
      <c r="AE165" s="106" t="s">
        <v>13</v>
      </c>
      <c r="AF165" s="106" t="s">
        <v>12</v>
      </c>
      <c r="AG165" s="116" t="s">
        <v>11</v>
      </c>
      <c r="AH165" s="118" t="s">
        <v>10</v>
      </c>
      <c r="AI165" s="120" t="s">
        <v>9</v>
      </c>
      <c r="AJ165" s="35">
        <f>(1-R167/F167)</f>
        <v>0.12566946369937981</v>
      </c>
      <c r="AK165" s="35">
        <f>1-(AD167+AM167)/F167</f>
        <v>0.1083071871579715</v>
      </c>
      <c r="AM165" s="106" t="s">
        <v>8</v>
      </c>
      <c r="AN165" s="106" t="s">
        <v>7</v>
      </c>
      <c r="AO165" s="106" t="s">
        <v>37</v>
      </c>
      <c r="AP165" s="106" t="s">
        <v>38</v>
      </c>
      <c r="AQ165" s="106" t="s">
        <v>6</v>
      </c>
      <c r="AR165" s="106" t="s">
        <v>5</v>
      </c>
      <c r="AT165" s="106" t="s">
        <v>4</v>
      </c>
      <c r="AU165" s="106" t="s">
        <v>3</v>
      </c>
      <c r="AV165" s="106" t="s">
        <v>2</v>
      </c>
      <c r="AW165" s="106" t="s">
        <v>1</v>
      </c>
      <c r="AY165" s="108"/>
      <c r="AZ165" s="108"/>
      <c r="BB165" s="106"/>
    </row>
    <row r="166" spans="1:54" ht="27" customHeight="1" x14ac:dyDescent="0.3">
      <c r="A166" s="126"/>
      <c r="B166" s="134"/>
      <c r="C166" s="134"/>
      <c r="D166" s="117"/>
      <c r="E166" s="117"/>
      <c r="F166" s="31">
        <v>0</v>
      </c>
      <c r="G166" s="33">
        <v>0.06</v>
      </c>
      <c r="H166" s="32">
        <v>1000000</v>
      </c>
      <c r="I166" s="31">
        <v>1</v>
      </c>
      <c r="J166" s="32">
        <v>30000</v>
      </c>
      <c r="K166" s="31">
        <v>1</v>
      </c>
      <c r="L166" s="32">
        <v>0</v>
      </c>
      <c r="M166" s="31">
        <v>7.0000000000000007E-2</v>
      </c>
      <c r="N166" s="32">
        <v>150000</v>
      </c>
      <c r="O166" s="31">
        <v>0</v>
      </c>
      <c r="P166" s="32">
        <v>0</v>
      </c>
      <c r="Q166" s="107"/>
      <c r="R166" s="107"/>
      <c r="S166" s="21"/>
      <c r="T166" s="31">
        <f>IF(C167="노트북",7%,IF(C167="저장&amp;주변기기",9%,IF(C167="모니터",7%)))</f>
        <v>7.0000000000000007E-2</v>
      </c>
      <c r="U166" s="31">
        <v>0</v>
      </c>
      <c r="V166" s="31">
        <v>0</v>
      </c>
      <c r="W166" s="31">
        <f>IF(G166=0%,20%,0%)</f>
        <v>0</v>
      </c>
      <c r="X166" s="30">
        <v>0</v>
      </c>
      <c r="Y166" s="30">
        <v>1</v>
      </c>
      <c r="Z166" s="53">
        <v>1</v>
      </c>
      <c r="AA166" s="29">
        <v>0.5</v>
      </c>
      <c r="AB166" s="107"/>
      <c r="AC166" s="107"/>
      <c r="AD166" s="107"/>
      <c r="AE166" s="107"/>
      <c r="AF166" s="107"/>
      <c r="AG166" s="117"/>
      <c r="AH166" s="119"/>
      <c r="AI166" s="121"/>
      <c r="AJ166" s="55" t="s">
        <v>52</v>
      </c>
      <c r="AK166" s="56">
        <f>AJ165-AK165</f>
        <v>1.7362276541408317E-2</v>
      </c>
      <c r="AM166" s="107"/>
      <c r="AN166" s="107"/>
      <c r="AO166" s="107"/>
      <c r="AP166" s="107"/>
      <c r="AQ166" s="107"/>
      <c r="AR166" s="107"/>
      <c r="AS166" s="39"/>
      <c r="AT166" s="107"/>
      <c r="AU166" s="117"/>
      <c r="AV166" s="107"/>
      <c r="AW166" s="107"/>
      <c r="AY166" s="109"/>
      <c r="AZ166" s="109"/>
      <c r="BB166" s="107"/>
    </row>
    <row r="167" spans="1:54" ht="27" customHeight="1" x14ac:dyDescent="0.3">
      <c r="A167" s="51" t="s">
        <v>81</v>
      </c>
      <c r="B167" s="38" t="s">
        <v>35</v>
      </c>
      <c r="C167" s="27" t="s">
        <v>80</v>
      </c>
      <c r="D167" s="26">
        <v>4627000479</v>
      </c>
      <c r="E167" s="25">
        <v>2741000</v>
      </c>
      <c r="F167" s="24">
        <f>ROUNDDOWN(E167/(1-F166),-1)</f>
        <v>2741000</v>
      </c>
      <c r="G167" s="110">
        <f>ROUNDDOWN(IF(F167*G166&gt;H166,H166,F167*G166),-1)</f>
        <v>164460</v>
      </c>
      <c r="H167" s="111"/>
      <c r="I167" s="112">
        <f>ROUNDDOWN(IF(F167*I166&gt;J166,J166,F167*I166),-1)</f>
        <v>30000</v>
      </c>
      <c r="J167" s="113"/>
      <c r="K167" s="112">
        <f>ROUNDDOWN(IF(F167*K166&gt;L166,L166,F167*K166),-1)</f>
        <v>0</v>
      </c>
      <c r="L167" s="113"/>
      <c r="M167" s="110">
        <f>ROUNDDOWN(IF(Q167*M166&gt;N166,N166,Q167*M166),-1)</f>
        <v>150000</v>
      </c>
      <c r="N167" s="111"/>
      <c r="O167" s="110">
        <f>ROUNDDOWN(IF(F167*O166&gt;P166,P166,F167*O166),-1)</f>
        <v>0</v>
      </c>
      <c r="P167" s="111"/>
      <c r="Q167" s="23">
        <f>F167-G167-I167-K167</f>
        <v>2546540</v>
      </c>
      <c r="R167" s="22">
        <f>F167-G167-I167-K167-M167-O167</f>
        <v>2396540</v>
      </c>
      <c r="S167" s="21"/>
      <c r="T167" s="20">
        <f>F167*T166</f>
        <v>191870.00000000003</v>
      </c>
      <c r="U167" s="20">
        <f>F167*U166</f>
        <v>0</v>
      </c>
      <c r="V167" s="20">
        <f>(F167-I167)*V166</f>
        <v>0</v>
      </c>
      <c r="W167" s="19">
        <f>(F167*F166)*W166</f>
        <v>0</v>
      </c>
      <c r="X167" s="19">
        <f>G167*X166</f>
        <v>0</v>
      </c>
      <c r="Y167" s="19">
        <f>I167*Y166</f>
        <v>30000</v>
      </c>
      <c r="Z167" s="19">
        <f>K167*Z166</f>
        <v>0</v>
      </c>
      <c r="AA167" s="19">
        <f>M167*AA166</f>
        <v>75000</v>
      </c>
      <c r="AB167" s="19">
        <v>0</v>
      </c>
      <c r="AC167" s="16">
        <v>8000</v>
      </c>
      <c r="AD167" s="18">
        <f>F167-T167-U167-V167-W167-AA167-X167-Y167-Z167-AB167</f>
        <v>2444130</v>
      </c>
      <c r="AE167" s="18">
        <f>F167-T167-U167-V167-W167-X167-Y167-Z167-AA167-AB167-AC167</f>
        <v>2436130</v>
      </c>
      <c r="AF167" s="17">
        <f>AE167-AG167</f>
        <v>557130</v>
      </c>
      <c r="AG167" s="16">
        <v>1879000</v>
      </c>
      <c r="AH167" s="15">
        <f>AF167/AG167</f>
        <v>0.29650345928685473</v>
      </c>
      <c r="AI167" s="14">
        <f>1-R167/(AG167-AM167-AN167-AO167)</f>
        <v>-0.27543374135178289</v>
      </c>
      <c r="AJ167" s="114">
        <f>(1-R167/F167)-(1-(AD167)/F167)</f>
        <v>1.7362276541408317E-2</v>
      </c>
      <c r="AK167" s="115"/>
      <c r="AM167" s="13">
        <v>0</v>
      </c>
      <c r="AN167" s="12">
        <f>X167*AN166</f>
        <v>0</v>
      </c>
      <c r="AO167" s="12">
        <v>0</v>
      </c>
      <c r="AP167" s="12"/>
      <c r="AQ167" s="11">
        <f>AE167-(AG167-AM167-AN167-AO167-AP167)</f>
        <v>557130</v>
      </c>
      <c r="AR167" s="8">
        <f>AQ167/AG167</f>
        <v>0.29650345928685473</v>
      </c>
      <c r="AT167" s="10">
        <v>0</v>
      </c>
      <c r="AU167" s="10">
        <v>0</v>
      </c>
      <c r="AV167" s="9">
        <f>AQ167-AT167-AU167</f>
        <v>557130</v>
      </c>
      <c r="AW167" s="8">
        <f>AV167/AG167</f>
        <v>0.29650345928685473</v>
      </c>
      <c r="AY167" s="49"/>
      <c r="AZ167" s="50"/>
      <c r="BB167" s="6"/>
    </row>
    <row r="168" spans="1:54" x14ac:dyDescent="0.3">
      <c r="E168" s="4">
        <v>2099000</v>
      </c>
      <c r="F168" s="4">
        <f>ROUNDDOWN(E168/(1-F166),-1)</f>
        <v>2099000</v>
      </c>
      <c r="G168" s="138">
        <f>ROUNDDOWN(IF(F168*G166&gt;H166,H166,F168*G166),-1)</f>
        <v>125940</v>
      </c>
      <c r="H168" s="138"/>
      <c r="J168" s="54">
        <f>F167*4%</f>
        <v>109640</v>
      </c>
      <c r="R168" s="4">
        <v>1949000</v>
      </c>
      <c r="X168" s="3">
        <f>G168*X166</f>
        <v>0</v>
      </c>
      <c r="Y168" s="3"/>
      <c r="Z168" s="3"/>
    </row>
    <row r="169" spans="1:54" x14ac:dyDescent="0.3">
      <c r="E169" s="4"/>
      <c r="F169" s="4"/>
      <c r="G169" s="42"/>
      <c r="H169" s="42"/>
      <c r="J169" s="54"/>
      <c r="R169" s="4"/>
      <c r="X169" s="3"/>
      <c r="Y169" s="3"/>
      <c r="Z169" s="3"/>
    </row>
    <row r="170" spans="1:54" ht="27" customHeight="1" x14ac:dyDescent="0.3">
      <c r="A170" s="124" t="s">
        <v>34</v>
      </c>
      <c r="B170" s="135" t="s">
        <v>126</v>
      </c>
      <c r="C170" s="136"/>
      <c r="D170" s="136"/>
      <c r="E170" s="136"/>
      <c r="F170" s="136"/>
      <c r="G170" s="136"/>
      <c r="H170" s="136"/>
      <c r="I170" s="136"/>
      <c r="J170" s="136"/>
      <c r="K170" s="136"/>
      <c r="L170" s="136"/>
      <c r="M170" s="136"/>
      <c r="N170" s="136"/>
      <c r="O170" s="136"/>
      <c r="P170" s="136"/>
      <c r="Q170" s="136"/>
      <c r="R170" s="137"/>
      <c r="T170" s="130" t="s">
        <v>33</v>
      </c>
      <c r="U170" s="131"/>
      <c r="V170" s="131"/>
      <c r="W170" s="131"/>
      <c r="X170" s="131"/>
      <c r="Y170" s="131"/>
      <c r="Z170" s="131"/>
      <c r="AA170" s="131"/>
      <c r="AB170" s="131"/>
      <c r="AC170" s="131"/>
      <c r="AD170" s="131"/>
      <c r="AE170" s="131"/>
      <c r="AF170" s="131"/>
      <c r="AG170" s="131"/>
      <c r="AH170" s="132"/>
      <c r="AI170" s="37"/>
      <c r="AM170" s="130" t="s">
        <v>32</v>
      </c>
      <c r="AN170" s="131"/>
      <c r="AO170" s="131"/>
      <c r="AP170" s="131"/>
      <c r="AQ170" s="131"/>
      <c r="AR170" s="132"/>
      <c r="AT170" s="130" t="s">
        <v>31</v>
      </c>
      <c r="AU170" s="131"/>
      <c r="AV170" s="131"/>
      <c r="AW170" s="132"/>
      <c r="AY170" s="47" t="s">
        <v>36</v>
      </c>
      <c r="AZ170" s="48"/>
      <c r="BB170" s="36"/>
    </row>
    <row r="171" spans="1:54" ht="32.25" customHeight="1" x14ac:dyDescent="0.3">
      <c r="A171" s="125"/>
      <c r="B171" s="133" t="s">
        <v>30</v>
      </c>
      <c r="C171" s="133" t="s">
        <v>29</v>
      </c>
      <c r="D171" s="116" t="s">
        <v>28</v>
      </c>
      <c r="E171" s="116" t="s">
        <v>27</v>
      </c>
      <c r="F171" s="34" t="s">
        <v>26</v>
      </c>
      <c r="G171" s="122" t="s">
        <v>63</v>
      </c>
      <c r="H171" s="123"/>
      <c r="I171" s="122" t="s">
        <v>50</v>
      </c>
      <c r="J171" s="123"/>
      <c r="K171" s="122" t="s">
        <v>62</v>
      </c>
      <c r="L171" s="123"/>
      <c r="M171" s="122" t="s">
        <v>25</v>
      </c>
      <c r="N171" s="123"/>
      <c r="O171" s="122" t="s">
        <v>24</v>
      </c>
      <c r="P171" s="123"/>
      <c r="Q171" s="106" t="s">
        <v>23</v>
      </c>
      <c r="R171" s="106" t="s">
        <v>22</v>
      </c>
      <c r="S171" s="21"/>
      <c r="T171" s="34" t="s">
        <v>21</v>
      </c>
      <c r="U171" s="34" t="s">
        <v>20</v>
      </c>
      <c r="V171" s="34" t="s">
        <v>95</v>
      </c>
      <c r="W171" s="34" t="s">
        <v>19</v>
      </c>
      <c r="X171" s="34" t="s">
        <v>18</v>
      </c>
      <c r="Y171" s="34" t="s">
        <v>48</v>
      </c>
      <c r="Z171" s="34" t="s">
        <v>49</v>
      </c>
      <c r="AA171" s="34" t="s">
        <v>17</v>
      </c>
      <c r="AB171" s="106" t="s">
        <v>16</v>
      </c>
      <c r="AC171" s="106" t="s">
        <v>15</v>
      </c>
      <c r="AD171" s="106" t="s">
        <v>14</v>
      </c>
      <c r="AE171" s="106" t="s">
        <v>13</v>
      </c>
      <c r="AF171" s="106" t="s">
        <v>12</v>
      </c>
      <c r="AG171" s="116" t="s">
        <v>11</v>
      </c>
      <c r="AH171" s="118" t="s">
        <v>10</v>
      </c>
      <c r="AI171" s="120" t="s">
        <v>9</v>
      </c>
      <c r="AJ171" s="35">
        <f>(1-R173/F173)</f>
        <v>5.9998770294659054E-2</v>
      </c>
      <c r="AK171" s="35">
        <f>1-(AD173+AM173)/F173</f>
        <v>6.9999999999999951E-2</v>
      </c>
      <c r="AM171" s="106" t="s">
        <v>8</v>
      </c>
      <c r="AN171" s="106" t="s">
        <v>7</v>
      </c>
      <c r="AO171" s="106" t="s">
        <v>37</v>
      </c>
      <c r="AP171" s="106" t="s">
        <v>38</v>
      </c>
      <c r="AQ171" s="106" t="s">
        <v>6</v>
      </c>
      <c r="AR171" s="106" t="s">
        <v>5</v>
      </c>
      <c r="AT171" s="106" t="s">
        <v>4</v>
      </c>
      <c r="AU171" s="106" t="s">
        <v>3</v>
      </c>
      <c r="AV171" s="106" t="s">
        <v>2</v>
      </c>
      <c r="AW171" s="106" t="s">
        <v>1</v>
      </c>
      <c r="AY171" s="108"/>
      <c r="AZ171" s="108"/>
      <c r="BB171" s="106"/>
    </row>
    <row r="172" spans="1:54" ht="27" customHeight="1" x14ac:dyDescent="0.3">
      <c r="A172" s="126"/>
      <c r="B172" s="134"/>
      <c r="C172" s="134"/>
      <c r="D172" s="117"/>
      <c r="E172" s="117"/>
      <c r="F172" s="31">
        <v>0</v>
      </c>
      <c r="G172" s="33">
        <v>0.06</v>
      </c>
      <c r="H172" s="32">
        <v>1000000</v>
      </c>
      <c r="I172" s="31">
        <v>0</v>
      </c>
      <c r="J172" s="32">
        <v>0</v>
      </c>
      <c r="K172" s="31">
        <v>1</v>
      </c>
      <c r="L172" s="32">
        <v>0</v>
      </c>
      <c r="M172" s="31">
        <v>0</v>
      </c>
      <c r="N172" s="32">
        <v>0</v>
      </c>
      <c r="O172" s="31">
        <v>0</v>
      </c>
      <c r="P172" s="32">
        <v>0</v>
      </c>
      <c r="Q172" s="107"/>
      <c r="R172" s="107"/>
      <c r="S172" s="21"/>
      <c r="T172" s="31">
        <f>IF(C173="노트북",7%,IF(C173="저장&amp;주변기기",9%,IF(C173="모니터",7%)))</f>
        <v>7.0000000000000007E-2</v>
      </c>
      <c r="U172" s="31">
        <v>0</v>
      </c>
      <c r="V172" s="31">
        <v>0</v>
      </c>
      <c r="W172" s="31">
        <f>IF(G172=0%,20%,0%)</f>
        <v>0</v>
      </c>
      <c r="X172" s="30">
        <v>0</v>
      </c>
      <c r="Y172" s="30">
        <v>1</v>
      </c>
      <c r="Z172" s="53">
        <v>1</v>
      </c>
      <c r="AA172" s="29">
        <v>0.5</v>
      </c>
      <c r="AB172" s="107"/>
      <c r="AC172" s="107"/>
      <c r="AD172" s="107"/>
      <c r="AE172" s="107"/>
      <c r="AF172" s="107"/>
      <c r="AG172" s="117"/>
      <c r="AH172" s="119"/>
      <c r="AI172" s="121"/>
      <c r="AJ172" s="55" t="s">
        <v>52</v>
      </c>
      <c r="AK172" s="56">
        <f>AJ171-AK171</f>
        <v>-1.0001229705340897E-2</v>
      </c>
      <c r="AM172" s="107"/>
      <c r="AN172" s="107"/>
      <c r="AO172" s="107"/>
      <c r="AP172" s="107"/>
      <c r="AQ172" s="107"/>
      <c r="AR172" s="107"/>
      <c r="AS172" s="39"/>
      <c r="AT172" s="107"/>
      <c r="AU172" s="117"/>
      <c r="AV172" s="107"/>
      <c r="AW172" s="107"/>
      <c r="AY172" s="109"/>
      <c r="AZ172" s="109"/>
      <c r="BB172" s="107"/>
    </row>
    <row r="173" spans="1:54" ht="27" customHeight="1" x14ac:dyDescent="0.3">
      <c r="A173" s="51" t="s">
        <v>81</v>
      </c>
      <c r="B173" s="38" t="s">
        <v>35</v>
      </c>
      <c r="C173" s="27" t="s">
        <v>80</v>
      </c>
      <c r="D173" s="26">
        <v>4627000479</v>
      </c>
      <c r="E173" s="25">
        <v>2764890</v>
      </c>
      <c r="F173" s="24">
        <f>ROUNDDOWN(E173/(1-F172),-1)</f>
        <v>2764890</v>
      </c>
      <c r="G173" s="110">
        <f>ROUNDDOWN(IF(F173*G172&gt;H172,H172,F173*G172),-1)</f>
        <v>165890</v>
      </c>
      <c r="H173" s="111"/>
      <c r="I173" s="112">
        <f>ROUNDDOWN(IF(F173*I172&gt;J172,J172,F173*I172),-1)</f>
        <v>0</v>
      </c>
      <c r="J173" s="113"/>
      <c r="K173" s="112">
        <f>ROUNDDOWN(IF(F173*K172&gt;L172,L172,F173*K172),-1)</f>
        <v>0</v>
      </c>
      <c r="L173" s="113"/>
      <c r="M173" s="110">
        <f>ROUNDDOWN(IF(Q173*M172&gt;N172,N172,Q173*M172),-1)</f>
        <v>0</v>
      </c>
      <c r="N173" s="111"/>
      <c r="O173" s="110">
        <f>ROUNDDOWN(IF(F173*O172&gt;P172,P172,F173*O172),-1)</f>
        <v>0</v>
      </c>
      <c r="P173" s="111"/>
      <c r="Q173" s="23">
        <f>F173-G173-I173-K173</f>
        <v>2599000</v>
      </c>
      <c r="R173" s="22">
        <f>F173-G173-I173-K173-M173-O173</f>
        <v>2599000</v>
      </c>
      <c r="S173" s="21"/>
      <c r="T173" s="20">
        <f>F173*T172</f>
        <v>193542.30000000002</v>
      </c>
      <c r="U173" s="20">
        <f>F173*U172</f>
        <v>0</v>
      </c>
      <c r="V173" s="20">
        <f>(F173-I173)*V172</f>
        <v>0</v>
      </c>
      <c r="W173" s="19">
        <f>(F173*F172)*W172</f>
        <v>0</v>
      </c>
      <c r="X173" s="19">
        <f>G173*X172</f>
        <v>0</v>
      </c>
      <c r="Y173" s="19">
        <f>I173*Y172</f>
        <v>0</v>
      </c>
      <c r="Z173" s="19">
        <f>K173*Z172</f>
        <v>0</v>
      </c>
      <c r="AA173" s="19">
        <f>M173*AA172</f>
        <v>0</v>
      </c>
      <c r="AB173" s="19">
        <v>0</v>
      </c>
      <c r="AC173" s="16">
        <v>8000</v>
      </c>
      <c r="AD173" s="18">
        <f>F173-T173-U173-V173-W173-AA173-X173-Y173-Z173-AB173</f>
        <v>2571347.7000000002</v>
      </c>
      <c r="AE173" s="18">
        <f>F173-T173-U173-V173-W173-X173-Y173-Z173-AA173-AB173-AC173</f>
        <v>2563347.7000000002</v>
      </c>
      <c r="AF173" s="17">
        <f>AE173-AG173</f>
        <v>684347.70000000019</v>
      </c>
      <c r="AG173" s="16">
        <v>1879000</v>
      </c>
      <c r="AH173" s="15">
        <f>AF173/AG173</f>
        <v>0.36420846194784467</v>
      </c>
      <c r="AI173" s="14">
        <f>1-R173/(AG173-AM173-AN173-AO173)</f>
        <v>-0.38318254390633322</v>
      </c>
      <c r="AJ173" s="114">
        <f>(1-R173/F173)-(1-(AD173)/F173)</f>
        <v>-1.0001229705340897E-2</v>
      </c>
      <c r="AK173" s="115"/>
      <c r="AM173" s="13">
        <v>0</v>
      </c>
      <c r="AN173" s="12">
        <f>X173*AN172</f>
        <v>0</v>
      </c>
      <c r="AO173" s="12">
        <v>0</v>
      </c>
      <c r="AP173" s="12"/>
      <c r="AQ173" s="11">
        <f>AE173-(AG173-AM173-AN173-AO173-AP173)</f>
        <v>684347.70000000019</v>
      </c>
      <c r="AR173" s="8">
        <f>AQ173/AG173</f>
        <v>0.36420846194784467</v>
      </c>
      <c r="AT173" s="10">
        <v>0</v>
      </c>
      <c r="AU173" s="10">
        <v>0</v>
      </c>
      <c r="AV173" s="9">
        <f>AQ173-AT173-AU173</f>
        <v>684347.70000000019</v>
      </c>
      <c r="AW173" s="8">
        <f>AV173/AG173</f>
        <v>0.36420846194784467</v>
      </c>
      <c r="AY173" s="49"/>
      <c r="AZ173" s="50"/>
      <c r="BB173" s="6"/>
    </row>
    <row r="174" spans="1:54" x14ac:dyDescent="0.3">
      <c r="E174" s="4">
        <v>2099000</v>
      </c>
      <c r="F174" s="4">
        <f>ROUNDDOWN(E174/(1-F172),-1)</f>
        <v>2099000</v>
      </c>
      <c r="G174" s="138">
        <f>ROUNDDOWN(IF(F174*G172&gt;H172,H172,F174*G172),-1)</f>
        <v>125940</v>
      </c>
      <c r="H174" s="138"/>
      <c r="J174" s="54">
        <f>F173*4%</f>
        <v>110595.6</v>
      </c>
      <c r="R174" s="4">
        <v>1949000</v>
      </c>
      <c r="X174" s="3">
        <f>G174*X172</f>
        <v>0</v>
      </c>
      <c r="Y174" s="3"/>
      <c r="Z174" s="3"/>
    </row>
    <row r="175" spans="1:54" x14ac:dyDescent="0.3">
      <c r="A175" s="43"/>
      <c r="B175" s="43"/>
      <c r="C175" s="43"/>
      <c r="D175" s="43"/>
      <c r="E175" s="5"/>
    </row>
    <row r="177" spans="1:54" s="59" customFormat="1" ht="19.5" x14ac:dyDescent="0.3">
      <c r="A177" s="58" t="s">
        <v>46</v>
      </c>
      <c r="AH177" s="60"/>
      <c r="AI177" s="60"/>
      <c r="AJ177" s="60"/>
      <c r="AK177" s="60"/>
    </row>
    <row r="179" spans="1:54" ht="27" customHeight="1" x14ac:dyDescent="0.3">
      <c r="A179" s="124" t="s">
        <v>34</v>
      </c>
      <c r="B179" s="127" t="s">
        <v>125</v>
      </c>
      <c r="C179" s="128"/>
      <c r="D179" s="128"/>
      <c r="E179" s="128"/>
      <c r="F179" s="128"/>
      <c r="G179" s="128"/>
      <c r="H179" s="128"/>
      <c r="I179" s="128"/>
      <c r="J179" s="128"/>
      <c r="K179" s="128"/>
      <c r="L179" s="128"/>
      <c r="M179" s="128"/>
      <c r="N179" s="128"/>
      <c r="O179" s="128"/>
      <c r="P179" s="128"/>
      <c r="Q179" s="128"/>
      <c r="R179" s="129"/>
      <c r="T179" s="130" t="s">
        <v>33</v>
      </c>
      <c r="U179" s="131"/>
      <c r="V179" s="131"/>
      <c r="W179" s="131"/>
      <c r="X179" s="131"/>
      <c r="Y179" s="131"/>
      <c r="Z179" s="131"/>
      <c r="AA179" s="131"/>
      <c r="AB179" s="131"/>
      <c r="AC179" s="131"/>
      <c r="AD179" s="131"/>
      <c r="AE179" s="131"/>
      <c r="AF179" s="131"/>
      <c r="AG179" s="131"/>
      <c r="AH179" s="132"/>
      <c r="AI179" s="37"/>
      <c r="AM179" s="130" t="s">
        <v>32</v>
      </c>
      <c r="AN179" s="131"/>
      <c r="AO179" s="131"/>
      <c r="AP179" s="131"/>
      <c r="AQ179" s="131"/>
      <c r="AR179" s="132"/>
      <c r="AT179" s="130" t="s">
        <v>31</v>
      </c>
      <c r="AU179" s="131"/>
      <c r="AV179" s="131"/>
      <c r="AW179" s="132"/>
      <c r="AY179" s="36" t="s">
        <v>36</v>
      </c>
      <c r="AZ179" s="48"/>
      <c r="BA179" s="52"/>
      <c r="BB179" s="36"/>
    </row>
    <row r="180" spans="1:54" ht="32.25" customHeight="1" x14ac:dyDescent="0.3">
      <c r="A180" s="125"/>
      <c r="B180" s="133" t="s">
        <v>30</v>
      </c>
      <c r="C180" s="133" t="s">
        <v>29</v>
      </c>
      <c r="D180" s="116" t="s">
        <v>28</v>
      </c>
      <c r="E180" s="116" t="s">
        <v>27</v>
      </c>
      <c r="F180" s="34" t="s">
        <v>26</v>
      </c>
      <c r="G180" s="122" t="s">
        <v>63</v>
      </c>
      <c r="H180" s="123"/>
      <c r="I180" s="122" t="s">
        <v>50</v>
      </c>
      <c r="J180" s="123"/>
      <c r="K180" s="122" t="s">
        <v>62</v>
      </c>
      <c r="L180" s="123"/>
      <c r="M180" s="122" t="s">
        <v>25</v>
      </c>
      <c r="N180" s="123"/>
      <c r="O180" s="122" t="s">
        <v>24</v>
      </c>
      <c r="P180" s="123"/>
      <c r="Q180" s="106" t="s">
        <v>23</v>
      </c>
      <c r="R180" s="106" t="s">
        <v>22</v>
      </c>
      <c r="S180" s="21"/>
      <c r="T180" s="34" t="s">
        <v>21</v>
      </c>
      <c r="U180" s="34" t="s">
        <v>20</v>
      </c>
      <c r="V180" s="34" t="s">
        <v>95</v>
      </c>
      <c r="W180" s="34" t="s">
        <v>19</v>
      </c>
      <c r="X180" s="34" t="s">
        <v>18</v>
      </c>
      <c r="Y180" s="34" t="s">
        <v>48</v>
      </c>
      <c r="Z180" s="34" t="s">
        <v>49</v>
      </c>
      <c r="AA180" s="34" t="s">
        <v>17</v>
      </c>
      <c r="AB180" s="106" t="s">
        <v>16</v>
      </c>
      <c r="AC180" s="106" t="s">
        <v>15</v>
      </c>
      <c r="AD180" s="106" t="s">
        <v>14</v>
      </c>
      <c r="AE180" s="106" t="s">
        <v>13</v>
      </c>
      <c r="AF180" s="106" t="s">
        <v>12</v>
      </c>
      <c r="AG180" s="116" t="s">
        <v>11</v>
      </c>
      <c r="AH180" s="118" t="s">
        <v>10</v>
      </c>
      <c r="AI180" s="120" t="s">
        <v>9</v>
      </c>
      <c r="AJ180" s="35">
        <f>(1-R182/F182)</f>
        <v>0.27259921309564283</v>
      </c>
      <c r="AK180" s="35">
        <f>1-(AD182+AM182)/F182</f>
        <v>0.17023301112352451</v>
      </c>
      <c r="AM180" s="106" t="s">
        <v>8</v>
      </c>
      <c r="AN180" s="106" t="s">
        <v>7</v>
      </c>
      <c r="AO180" s="106" t="s">
        <v>37</v>
      </c>
      <c r="AP180" s="106" t="s">
        <v>38</v>
      </c>
      <c r="AQ180" s="106" t="s">
        <v>6</v>
      </c>
      <c r="AR180" s="106" t="s">
        <v>5</v>
      </c>
      <c r="AT180" s="106" t="s">
        <v>4</v>
      </c>
      <c r="AU180" s="106" t="s">
        <v>3</v>
      </c>
      <c r="AV180" s="106" t="s">
        <v>2</v>
      </c>
      <c r="AW180" s="106" t="s">
        <v>1</v>
      </c>
      <c r="AY180" s="106"/>
      <c r="AZ180" s="108"/>
      <c r="BA180" s="52"/>
      <c r="BB180" s="106"/>
    </row>
    <row r="181" spans="1:54" ht="27" customHeight="1" x14ac:dyDescent="0.3">
      <c r="A181" s="126"/>
      <c r="B181" s="134"/>
      <c r="C181" s="134"/>
      <c r="D181" s="117"/>
      <c r="E181" s="117"/>
      <c r="F181" s="31">
        <v>0</v>
      </c>
      <c r="G181" s="33">
        <v>0.06</v>
      </c>
      <c r="H181" s="32">
        <v>1000000</v>
      </c>
      <c r="I181" s="31">
        <v>1</v>
      </c>
      <c r="J181" s="32">
        <v>0</v>
      </c>
      <c r="K181" s="31">
        <v>1</v>
      </c>
      <c r="L181" s="32">
        <v>130000</v>
      </c>
      <c r="M181" s="31">
        <v>7.0000000000000007E-2</v>
      </c>
      <c r="N181" s="32">
        <v>70000</v>
      </c>
      <c r="O181" s="31">
        <v>0</v>
      </c>
      <c r="P181" s="32">
        <v>0</v>
      </c>
      <c r="Q181" s="107"/>
      <c r="R181" s="107"/>
      <c r="S181" s="21"/>
      <c r="T181" s="31">
        <f>IF(C182="노트북",7%,IF(C182="저장&amp;주변기기",9%,IF(C182="모니터",7%)))</f>
        <v>7.0000000000000007E-2</v>
      </c>
      <c r="U181" s="31">
        <v>0</v>
      </c>
      <c r="V181" s="31">
        <v>0</v>
      </c>
      <c r="W181" s="31">
        <f>IF(G181=0%,20%,0%)</f>
        <v>0</v>
      </c>
      <c r="X181" s="30">
        <v>0</v>
      </c>
      <c r="Y181" s="30">
        <v>1</v>
      </c>
      <c r="Z181" s="53">
        <v>0.92307600000000001</v>
      </c>
      <c r="AA181" s="29">
        <v>0.5</v>
      </c>
      <c r="AB181" s="107"/>
      <c r="AC181" s="107"/>
      <c r="AD181" s="107"/>
      <c r="AE181" s="107"/>
      <c r="AF181" s="107"/>
      <c r="AG181" s="117"/>
      <c r="AH181" s="119"/>
      <c r="AI181" s="121"/>
      <c r="AJ181" s="55" t="s">
        <v>52</v>
      </c>
      <c r="AK181" s="56">
        <f>AJ180-AK180</f>
        <v>0.10236620197211832</v>
      </c>
      <c r="AM181" s="107"/>
      <c r="AN181" s="107"/>
      <c r="AO181" s="107"/>
      <c r="AP181" s="107"/>
      <c r="AQ181" s="107"/>
      <c r="AR181" s="107"/>
      <c r="AS181" s="39"/>
      <c r="AT181" s="107"/>
      <c r="AU181" s="107"/>
      <c r="AV181" s="107"/>
      <c r="AW181" s="107"/>
      <c r="AY181" s="107"/>
      <c r="AZ181" s="109"/>
      <c r="BA181" s="52"/>
      <c r="BB181" s="107"/>
    </row>
    <row r="182" spans="1:54" ht="27" customHeight="1" x14ac:dyDescent="0.3">
      <c r="A182" s="51" t="s">
        <v>76</v>
      </c>
      <c r="B182" s="38" t="s">
        <v>35</v>
      </c>
      <c r="C182" s="27" t="s">
        <v>0</v>
      </c>
      <c r="D182" s="26">
        <v>4608884708</v>
      </c>
      <c r="E182" s="25">
        <v>823480</v>
      </c>
      <c r="F182" s="24">
        <f>ROUNDDOWN(E182/(1-F181),-1)</f>
        <v>823480</v>
      </c>
      <c r="G182" s="110">
        <f>ROUNDDOWN(IF(F182*G181&gt;H181,H181,F182*G181),-1)</f>
        <v>49400</v>
      </c>
      <c r="H182" s="111"/>
      <c r="I182" s="112">
        <f>ROUNDDOWN(IF(F182*I181&gt;J181,J181,F182*I181),-1)</f>
        <v>0</v>
      </c>
      <c r="J182" s="113"/>
      <c r="K182" s="112">
        <f>ROUNDDOWN(IF(F182*K181&gt;L181,L181,F182*K181),-1)</f>
        <v>130000</v>
      </c>
      <c r="L182" s="113"/>
      <c r="M182" s="110">
        <f>ROUNDDOWN(IF(Q182*M181&gt;N181,N181,Q182*M181),-1)</f>
        <v>45080</v>
      </c>
      <c r="N182" s="111"/>
      <c r="O182" s="110">
        <f>ROUNDDOWN(IF(F182*O181&gt;P181,P181,F182*O181),-1)</f>
        <v>0</v>
      </c>
      <c r="P182" s="111"/>
      <c r="Q182" s="23">
        <f>F182-G182-I182-K182</f>
        <v>644080</v>
      </c>
      <c r="R182" s="22">
        <f>F182-G182-I182-K182-M182-O182</f>
        <v>599000</v>
      </c>
      <c r="S182" s="21"/>
      <c r="T182" s="20">
        <f>F182*T181</f>
        <v>57643.600000000006</v>
      </c>
      <c r="U182" s="20">
        <f>F182*U181</f>
        <v>0</v>
      </c>
      <c r="V182" s="20">
        <f>(F182-I182)*V181</f>
        <v>0</v>
      </c>
      <c r="W182" s="19">
        <f>(F182*F181)*W181</f>
        <v>0</v>
      </c>
      <c r="X182" s="19">
        <f>G182*X181</f>
        <v>0</v>
      </c>
      <c r="Y182" s="19">
        <f>I182*Y181</f>
        <v>0</v>
      </c>
      <c r="Z182" s="19">
        <f>K182*Z181</f>
        <v>119999.88</v>
      </c>
      <c r="AA182" s="19">
        <f>M182*AA181</f>
        <v>22540</v>
      </c>
      <c r="AB182" s="19">
        <v>0</v>
      </c>
      <c r="AC182" s="16">
        <v>6000</v>
      </c>
      <c r="AD182" s="18">
        <f>F182-T182-U182-V182-W182-AA182-X182-Y182-Z182-AB182</f>
        <v>623296.52</v>
      </c>
      <c r="AE182" s="18">
        <f>F182-T182-U182-V182-W182-X182-Y182-Z182-AA182-AB182-AC182</f>
        <v>617296.52</v>
      </c>
      <c r="AF182" s="17">
        <f>AE182-AG182</f>
        <v>-29703.479999999981</v>
      </c>
      <c r="AG182" s="16">
        <v>647000</v>
      </c>
      <c r="AH182" s="15">
        <f>AF182/AG182</f>
        <v>-4.5909551777434283E-2</v>
      </c>
      <c r="AI182" s="14">
        <f>1-R182/(AG182-AM182-AN182-AO182)</f>
        <v>-2.0442930153321992E-2</v>
      </c>
      <c r="AJ182" s="114">
        <f>(1-R182/F182)-(1-(AD182)/F182)</f>
        <v>2.9504687424102616E-2</v>
      </c>
      <c r="AK182" s="115"/>
      <c r="AM182" s="13">
        <v>60000</v>
      </c>
      <c r="AN182" s="12">
        <v>0</v>
      </c>
      <c r="AO182" s="12"/>
      <c r="AP182" s="12"/>
      <c r="AQ182" s="11">
        <f>AE182-(AG182-AM182-AN182-AO182-AP182)</f>
        <v>30296.520000000019</v>
      </c>
      <c r="AR182" s="8">
        <f>AQ182/AG182</f>
        <v>4.6826151468315327E-2</v>
      </c>
      <c r="AT182" s="10">
        <v>0</v>
      </c>
      <c r="AU182" s="10">
        <v>0</v>
      </c>
      <c r="AV182" s="9">
        <f>AQ182-AT182-AU182</f>
        <v>30296.520000000019</v>
      </c>
      <c r="AW182" s="8">
        <f>AV182/AG182</f>
        <v>4.6826151468315327E-2</v>
      </c>
      <c r="AY182" s="7"/>
      <c r="AZ182" s="50"/>
      <c r="BA182" s="52"/>
      <c r="BB182" s="7"/>
    </row>
    <row r="183" spans="1:54" ht="16.5" customHeight="1" x14ac:dyDescent="0.3">
      <c r="C183" s="57"/>
      <c r="D183" s="57"/>
      <c r="E183" s="5">
        <v>699000</v>
      </c>
      <c r="F183" s="4">
        <f>ROUNDDOWN(E183/(1-F181),-1)</f>
        <v>699000</v>
      </c>
      <c r="G183" s="105">
        <f>ROUNDDOWN(IF(F183*G181&gt;H181,H181,F183*G181),-1)</f>
        <v>41940</v>
      </c>
      <c r="H183" s="105"/>
      <c r="J183" s="54">
        <f>F182*4%</f>
        <v>32939.199999999997</v>
      </c>
      <c r="R183" s="4">
        <v>629000</v>
      </c>
      <c r="X183" s="3">
        <f>G183*X181</f>
        <v>0</v>
      </c>
      <c r="Y183" s="3"/>
      <c r="Z183" s="3"/>
      <c r="AG183" s="4"/>
    </row>
    <row r="184" spans="1:54" ht="16.5" customHeight="1" x14ac:dyDescent="0.3">
      <c r="C184" s="57"/>
      <c r="D184" s="57"/>
      <c r="E184" s="5">
        <v>849000</v>
      </c>
      <c r="F184" s="4"/>
      <c r="G184" s="74"/>
      <c r="H184" s="74"/>
      <c r="J184" s="54"/>
      <c r="R184" s="4"/>
      <c r="X184" s="3"/>
      <c r="Y184" s="3"/>
      <c r="Z184" s="3"/>
      <c r="AG184" s="4"/>
    </row>
    <row r="185" spans="1:54" ht="27" customHeight="1" x14ac:dyDescent="0.3">
      <c r="A185" s="124" t="s">
        <v>34</v>
      </c>
      <c r="B185" s="135" t="s">
        <v>126</v>
      </c>
      <c r="C185" s="136"/>
      <c r="D185" s="136"/>
      <c r="E185" s="136"/>
      <c r="F185" s="136"/>
      <c r="G185" s="136"/>
      <c r="H185" s="136"/>
      <c r="I185" s="136"/>
      <c r="J185" s="136"/>
      <c r="K185" s="136"/>
      <c r="L185" s="136"/>
      <c r="M185" s="136"/>
      <c r="N185" s="136"/>
      <c r="O185" s="136"/>
      <c r="P185" s="136"/>
      <c r="Q185" s="136"/>
      <c r="R185" s="137"/>
      <c r="T185" s="130" t="s">
        <v>33</v>
      </c>
      <c r="U185" s="131"/>
      <c r="V185" s="131"/>
      <c r="W185" s="131"/>
      <c r="X185" s="131"/>
      <c r="Y185" s="131"/>
      <c r="Z185" s="131"/>
      <c r="AA185" s="131"/>
      <c r="AB185" s="131"/>
      <c r="AC185" s="131"/>
      <c r="AD185" s="131"/>
      <c r="AE185" s="131"/>
      <c r="AF185" s="131"/>
      <c r="AG185" s="131"/>
      <c r="AH185" s="132"/>
      <c r="AI185" s="37"/>
      <c r="AM185" s="130" t="s">
        <v>32</v>
      </c>
      <c r="AN185" s="131"/>
      <c r="AO185" s="131"/>
      <c r="AP185" s="131"/>
      <c r="AQ185" s="131"/>
      <c r="AR185" s="132"/>
      <c r="AT185" s="130" t="s">
        <v>31</v>
      </c>
      <c r="AU185" s="131"/>
      <c r="AV185" s="131"/>
      <c r="AW185" s="132"/>
      <c r="AY185" s="36" t="s">
        <v>36</v>
      </c>
      <c r="AZ185" s="48"/>
      <c r="BA185" s="52"/>
      <c r="BB185" s="36"/>
    </row>
    <row r="186" spans="1:54" ht="32.25" customHeight="1" x14ac:dyDescent="0.3">
      <c r="A186" s="125"/>
      <c r="B186" s="133" t="s">
        <v>30</v>
      </c>
      <c r="C186" s="133" t="s">
        <v>29</v>
      </c>
      <c r="D186" s="116" t="s">
        <v>28</v>
      </c>
      <c r="E186" s="116" t="s">
        <v>27</v>
      </c>
      <c r="F186" s="34" t="s">
        <v>26</v>
      </c>
      <c r="G186" s="122" t="s">
        <v>63</v>
      </c>
      <c r="H186" s="123"/>
      <c r="I186" s="122" t="s">
        <v>50</v>
      </c>
      <c r="J186" s="123"/>
      <c r="K186" s="122" t="s">
        <v>62</v>
      </c>
      <c r="L186" s="123"/>
      <c r="M186" s="122" t="s">
        <v>25</v>
      </c>
      <c r="N186" s="123"/>
      <c r="O186" s="122" t="s">
        <v>24</v>
      </c>
      <c r="P186" s="123"/>
      <c r="Q186" s="106" t="s">
        <v>23</v>
      </c>
      <c r="R186" s="106" t="s">
        <v>22</v>
      </c>
      <c r="S186" s="21"/>
      <c r="T186" s="34" t="s">
        <v>21</v>
      </c>
      <c r="U186" s="34" t="s">
        <v>20</v>
      </c>
      <c r="V186" s="34" t="s">
        <v>95</v>
      </c>
      <c r="W186" s="34" t="s">
        <v>19</v>
      </c>
      <c r="X186" s="34" t="s">
        <v>18</v>
      </c>
      <c r="Y186" s="34" t="s">
        <v>48</v>
      </c>
      <c r="Z186" s="34" t="s">
        <v>49</v>
      </c>
      <c r="AA186" s="34" t="s">
        <v>17</v>
      </c>
      <c r="AB186" s="106" t="s">
        <v>16</v>
      </c>
      <c r="AC186" s="106" t="s">
        <v>15</v>
      </c>
      <c r="AD186" s="106" t="s">
        <v>14</v>
      </c>
      <c r="AE186" s="106" t="s">
        <v>13</v>
      </c>
      <c r="AF186" s="106" t="s">
        <v>12</v>
      </c>
      <c r="AG186" s="116" t="s">
        <v>11</v>
      </c>
      <c r="AH186" s="118" t="s">
        <v>10</v>
      </c>
      <c r="AI186" s="120" t="s">
        <v>9</v>
      </c>
      <c r="AJ186" s="35">
        <f>(1-R188/F188)</f>
        <v>0.2231425702811245</v>
      </c>
      <c r="AK186" s="35">
        <f>1-(AD188+AM188)/F188</f>
        <v>0.14530105421686745</v>
      </c>
      <c r="AM186" s="106" t="s">
        <v>8</v>
      </c>
      <c r="AN186" s="106" t="s">
        <v>7</v>
      </c>
      <c r="AO186" s="106" t="s">
        <v>37</v>
      </c>
      <c r="AP186" s="106" t="s">
        <v>38</v>
      </c>
      <c r="AQ186" s="106" t="s">
        <v>6</v>
      </c>
      <c r="AR186" s="106" t="s">
        <v>5</v>
      </c>
      <c r="AT186" s="106" t="s">
        <v>4</v>
      </c>
      <c r="AU186" s="106" t="s">
        <v>3</v>
      </c>
      <c r="AV186" s="106" t="s">
        <v>2</v>
      </c>
      <c r="AW186" s="106" t="s">
        <v>1</v>
      </c>
      <c r="AY186" s="106"/>
      <c r="AZ186" s="108"/>
      <c r="BA186" s="52"/>
      <c r="BB186" s="106"/>
    </row>
    <row r="187" spans="1:54" ht="27" customHeight="1" x14ac:dyDescent="0.3">
      <c r="A187" s="126"/>
      <c r="B187" s="134"/>
      <c r="C187" s="134"/>
      <c r="D187" s="117"/>
      <c r="E187" s="117"/>
      <c r="F187" s="31">
        <v>0</v>
      </c>
      <c r="G187" s="33">
        <v>0.06</v>
      </c>
      <c r="H187" s="32">
        <v>1000000</v>
      </c>
      <c r="I187" s="31">
        <v>0</v>
      </c>
      <c r="J187" s="32">
        <v>0</v>
      </c>
      <c r="K187" s="31">
        <v>1</v>
      </c>
      <c r="L187" s="32">
        <v>130000</v>
      </c>
      <c r="M187" s="31">
        <v>0</v>
      </c>
      <c r="N187" s="32">
        <v>0</v>
      </c>
      <c r="O187" s="31">
        <v>0</v>
      </c>
      <c r="P187" s="32">
        <v>0</v>
      </c>
      <c r="Q187" s="107"/>
      <c r="R187" s="107"/>
      <c r="S187" s="21"/>
      <c r="T187" s="31">
        <f>IF(C188="노트북",7%,IF(C188="저장&amp;주변기기",9%,IF(C188="모니터",7%)))</f>
        <v>7.0000000000000007E-2</v>
      </c>
      <c r="U187" s="31">
        <v>0</v>
      </c>
      <c r="V187" s="31">
        <v>0</v>
      </c>
      <c r="W187" s="31">
        <f>IF(G187=0%,20%,0%)</f>
        <v>0</v>
      </c>
      <c r="X187" s="30">
        <v>0</v>
      </c>
      <c r="Y187" s="30">
        <v>1</v>
      </c>
      <c r="Z187" s="53">
        <v>0.92307600000000001</v>
      </c>
      <c r="AA187" s="29">
        <v>0.5</v>
      </c>
      <c r="AB187" s="107"/>
      <c r="AC187" s="107"/>
      <c r="AD187" s="107"/>
      <c r="AE187" s="107"/>
      <c r="AF187" s="107"/>
      <c r="AG187" s="117"/>
      <c r="AH187" s="119"/>
      <c r="AI187" s="121"/>
      <c r="AJ187" s="55" t="s">
        <v>52</v>
      </c>
      <c r="AK187" s="56">
        <f>AJ186-AK186</f>
        <v>7.7841516064257044E-2</v>
      </c>
      <c r="AM187" s="107"/>
      <c r="AN187" s="107"/>
      <c r="AO187" s="107"/>
      <c r="AP187" s="107"/>
      <c r="AQ187" s="107"/>
      <c r="AR187" s="107"/>
      <c r="AS187" s="39"/>
      <c r="AT187" s="107"/>
      <c r="AU187" s="107"/>
      <c r="AV187" s="107"/>
      <c r="AW187" s="107"/>
      <c r="AY187" s="107"/>
      <c r="AZ187" s="109"/>
      <c r="BA187" s="52"/>
      <c r="BB187" s="107"/>
    </row>
    <row r="188" spans="1:54" ht="27" customHeight="1" x14ac:dyDescent="0.3">
      <c r="A188" s="51" t="s">
        <v>76</v>
      </c>
      <c r="B188" s="38" t="s">
        <v>35</v>
      </c>
      <c r="C188" s="27" t="s">
        <v>0</v>
      </c>
      <c r="D188" s="26">
        <v>4608884708</v>
      </c>
      <c r="E188" s="25">
        <v>796800</v>
      </c>
      <c r="F188" s="24">
        <f>ROUNDDOWN(E188/(1-F187),-1)</f>
        <v>796800</v>
      </c>
      <c r="G188" s="110">
        <f>ROUNDDOWN(IF(F188*G187&gt;H187,H187,F188*G187),-1)</f>
        <v>47800</v>
      </c>
      <c r="H188" s="111"/>
      <c r="I188" s="112">
        <f>ROUNDDOWN(IF(F188*I187&gt;J187,J187,F188*I187),-1)</f>
        <v>0</v>
      </c>
      <c r="J188" s="113"/>
      <c r="K188" s="112">
        <f>ROUNDDOWN(IF(F188*K187&gt;L187,L187,F188*K187),-1)</f>
        <v>130000</v>
      </c>
      <c r="L188" s="113"/>
      <c r="M188" s="110">
        <f>ROUNDDOWN(IF(Q188*M187&gt;N187,N187,Q188*M187),-1)</f>
        <v>0</v>
      </c>
      <c r="N188" s="111"/>
      <c r="O188" s="110">
        <f>ROUNDDOWN(IF(F188*O187&gt;P187,P187,F188*O187),-1)</f>
        <v>0</v>
      </c>
      <c r="P188" s="111"/>
      <c r="Q188" s="23">
        <f>F188-G188-I188-K188</f>
        <v>619000</v>
      </c>
      <c r="R188" s="22">
        <f>F188-G188-I188-K188-M188-O188</f>
        <v>619000</v>
      </c>
      <c r="S188" s="21"/>
      <c r="T188" s="20">
        <f>F188*T187</f>
        <v>55776.000000000007</v>
      </c>
      <c r="U188" s="20">
        <f>F188*U187</f>
        <v>0</v>
      </c>
      <c r="V188" s="20">
        <f>(F188-I188)*V187</f>
        <v>0</v>
      </c>
      <c r="W188" s="19">
        <f>(F188*F187)*W187</f>
        <v>0</v>
      </c>
      <c r="X188" s="19">
        <f>G188*X187</f>
        <v>0</v>
      </c>
      <c r="Y188" s="19">
        <f>I188*Y187</f>
        <v>0</v>
      </c>
      <c r="Z188" s="19">
        <f>K188*Z187</f>
        <v>119999.88</v>
      </c>
      <c r="AA188" s="19">
        <f>M188*AA187</f>
        <v>0</v>
      </c>
      <c r="AB188" s="19">
        <v>0</v>
      </c>
      <c r="AC188" s="16">
        <v>6000</v>
      </c>
      <c r="AD188" s="18">
        <f>F188-T188-U188-V188-W188-AA188-X188-Y188-Z188-AB188</f>
        <v>621024.12</v>
      </c>
      <c r="AE188" s="18">
        <f>F188-T188-U188-V188-W188-X188-Y188-Z188-AA188-AB188-AC188</f>
        <v>615024.12</v>
      </c>
      <c r="AF188" s="17">
        <f>AE188-AG188</f>
        <v>-31975.880000000005</v>
      </c>
      <c r="AG188" s="16">
        <v>647000</v>
      </c>
      <c r="AH188" s="15">
        <f>AF188/AG188</f>
        <v>-4.9421761978361678E-2</v>
      </c>
      <c r="AI188" s="14">
        <f>1-R188/(AG188-AM188-AN188-AO188)</f>
        <v>-5.4514480408858645E-2</v>
      </c>
      <c r="AJ188" s="114">
        <f>(1-R188/F188)-(1-(AD188)/F188)</f>
        <v>2.540311244979887E-3</v>
      </c>
      <c r="AK188" s="115"/>
      <c r="AM188" s="13">
        <v>60000</v>
      </c>
      <c r="AN188" s="12">
        <v>0</v>
      </c>
      <c r="AO188" s="12"/>
      <c r="AP188" s="12"/>
      <c r="AQ188" s="11">
        <f>AE188-(AG188-AM188-AN188-AO188-AP188)</f>
        <v>28024.119999999995</v>
      </c>
      <c r="AR188" s="8">
        <f>AQ188/AG188</f>
        <v>4.331394126738794E-2</v>
      </c>
      <c r="AT188" s="10">
        <v>0</v>
      </c>
      <c r="AU188" s="10">
        <v>0</v>
      </c>
      <c r="AV188" s="9">
        <f>AQ188-AT188-AU188</f>
        <v>28024.119999999995</v>
      </c>
      <c r="AW188" s="8">
        <f>AV188/AG188</f>
        <v>4.331394126738794E-2</v>
      </c>
      <c r="AY188" s="7"/>
      <c r="AZ188" s="50"/>
      <c r="BA188" s="52"/>
      <c r="BB188" s="7"/>
    </row>
    <row r="189" spans="1:54" ht="16.5" customHeight="1" x14ac:dyDescent="0.3">
      <c r="C189" s="57"/>
      <c r="D189" s="57"/>
      <c r="E189" s="5">
        <v>699000</v>
      </c>
      <c r="F189" s="4">
        <f>ROUNDDOWN(E189/(1-F187),-1)</f>
        <v>699000</v>
      </c>
      <c r="G189" s="105">
        <f>ROUNDDOWN(IF(F189*G187&gt;H187,H187,F189*G187),-1)</f>
        <v>41940</v>
      </c>
      <c r="H189" s="105"/>
      <c r="J189" s="54">
        <f>F188*4%</f>
        <v>31872</v>
      </c>
      <c r="R189" s="4">
        <v>629000</v>
      </c>
      <c r="X189" s="3">
        <f>G189*X187</f>
        <v>0</v>
      </c>
      <c r="Y189" s="3"/>
      <c r="Z189" s="3"/>
      <c r="AG189" s="4"/>
    </row>
    <row r="190" spans="1:54" ht="16.5" customHeight="1" x14ac:dyDescent="0.3">
      <c r="C190" s="57"/>
      <c r="D190" s="57"/>
      <c r="E190" s="5">
        <v>849000</v>
      </c>
      <c r="F190" s="4"/>
      <c r="G190" s="74"/>
      <c r="H190" s="74"/>
      <c r="J190" s="54"/>
      <c r="R190" s="4"/>
      <c r="X190" s="3"/>
      <c r="Y190" s="3"/>
      <c r="Z190" s="3"/>
      <c r="AG190" s="4"/>
    </row>
    <row r="191" spans="1:54" x14ac:dyDescent="0.3">
      <c r="A191" s="43"/>
      <c r="B191" s="43"/>
      <c r="C191" s="43"/>
      <c r="D191" s="43"/>
      <c r="E191" s="5"/>
    </row>
    <row r="192" spans="1:54" ht="27" customHeight="1" x14ac:dyDescent="0.3">
      <c r="A192" s="124" t="s">
        <v>34</v>
      </c>
      <c r="B192" s="127" t="s">
        <v>125</v>
      </c>
      <c r="C192" s="128"/>
      <c r="D192" s="128"/>
      <c r="E192" s="128"/>
      <c r="F192" s="128"/>
      <c r="G192" s="128"/>
      <c r="H192" s="128"/>
      <c r="I192" s="128"/>
      <c r="J192" s="128"/>
      <c r="K192" s="128"/>
      <c r="L192" s="128"/>
      <c r="M192" s="128"/>
      <c r="N192" s="128"/>
      <c r="O192" s="128"/>
      <c r="P192" s="128"/>
      <c r="Q192" s="128"/>
      <c r="R192" s="129"/>
      <c r="T192" s="130" t="s">
        <v>33</v>
      </c>
      <c r="U192" s="131"/>
      <c r="V192" s="131"/>
      <c r="W192" s="131"/>
      <c r="X192" s="131"/>
      <c r="Y192" s="131"/>
      <c r="Z192" s="131"/>
      <c r="AA192" s="131"/>
      <c r="AB192" s="131"/>
      <c r="AC192" s="131"/>
      <c r="AD192" s="131"/>
      <c r="AE192" s="131"/>
      <c r="AF192" s="131"/>
      <c r="AG192" s="131"/>
      <c r="AH192" s="132"/>
      <c r="AI192" s="37"/>
      <c r="AM192" s="130" t="s">
        <v>32</v>
      </c>
      <c r="AN192" s="131"/>
      <c r="AO192" s="131"/>
      <c r="AP192" s="131"/>
      <c r="AQ192" s="131"/>
      <c r="AR192" s="132"/>
      <c r="AT192" s="130" t="s">
        <v>31</v>
      </c>
      <c r="AU192" s="131"/>
      <c r="AV192" s="131"/>
      <c r="AW192" s="132"/>
      <c r="AY192" s="36" t="s">
        <v>36</v>
      </c>
      <c r="AZ192" s="48"/>
      <c r="BA192" s="52"/>
      <c r="BB192" s="36"/>
    </row>
    <row r="193" spans="1:54" ht="32.25" customHeight="1" x14ac:dyDescent="0.3">
      <c r="A193" s="125"/>
      <c r="B193" s="133" t="s">
        <v>30</v>
      </c>
      <c r="C193" s="133" t="s">
        <v>29</v>
      </c>
      <c r="D193" s="116" t="s">
        <v>28</v>
      </c>
      <c r="E193" s="116" t="s">
        <v>27</v>
      </c>
      <c r="F193" s="34" t="s">
        <v>26</v>
      </c>
      <c r="G193" s="122" t="s">
        <v>63</v>
      </c>
      <c r="H193" s="123"/>
      <c r="I193" s="122" t="s">
        <v>50</v>
      </c>
      <c r="J193" s="123"/>
      <c r="K193" s="122" t="s">
        <v>62</v>
      </c>
      <c r="L193" s="123"/>
      <c r="M193" s="122" t="s">
        <v>25</v>
      </c>
      <c r="N193" s="123"/>
      <c r="O193" s="122" t="s">
        <v>24</v>
      </c>
      <c r="P193" s="123"/>
      <c r="Q193" s="106" t="s">
        <v>23</v>
      </c>
      <c r="R193" s="106" t="s">
        <v>22</v>
      </c>
      <c r="S193" s="21"/>
      <c r="T193" s="34" t="s">
        <v>21</v>
      </c>
      <c r="U193" s="34" t="s">
        <v>20</v>
      </c>
      <c r="V193" s="34" t="s">
        <v>95</v>
      </c>
      <c r="W193" s="34" t="s">
        <v>19</v>
      </c>
      <c r="X193" s="34" t="s">
        <v>18</v>
      </c>
      <c r="Y193" s="34" t="s">
        <v>48</v>
      </c>
      <c r="Z193" s="34" t="s">
        <v>49</v>
      </c>
      <c r="AA193" s="34" t="s">
        <v>17</v>
      </c>
      <c r="AB193" s="106" t="s">
        <v>16</v>
      </c>
      <c r="AC193" s="106" t="s">
        <v>15</v>
      </c>
      <c r="AD193" s="106" t="s">
        <v>14</v>
      </c>
      <c r="AE193" s="106" t="s">
        <v>13</v>
      </c>
      <c r="AF193" s="106" t="s">
        <v>12</v>
      </c>
      <c r="AG193" s="116" t="s">
        <v>11</v>
      </c>
      <c r="AH193" s="118" t="s">
        <v>10</v>
      </c>
      <c r="AI193" s="120" t="s">
        <v>9</v>
      </c>
      <c r="AJ193" s="35">
        <f>(1-R195/F195)</f>
        <v>0.27259921309564283</v>
      </c>
      <c r="AK193" s="35">
        <f>1-(AD195+AM195)/F195</f>
        <v>0.17023301112352451</v>
      </c>
      <c r="AM193" s="106" t="s">
        <v>8</v>
      </c>
      <c r="AN193" s="106" t="s">
        <v>7</v>
      </c>
      <c r="AO193" s="106" t="s">
        <v>37</v>
      </c>
      <c r="AP193" s="106" t="s">
        <v>38</v>
      </c>
      <c r="AQ193" s="106" t="s">
        <v>6</v>
      </c>
      <c r="AR193" s="106" t="s">
        <v>5</v>
      </c>
      <c r="AT193" s="106" t="s">
        <v>4</v>
      </c>
      <c r="AU193" s="106" t="s">
        <v>3</v>
      </c>
      <c r="AV193" s="106" t="s">
        <v>2</v>
      </c>
      <c r="AW193" s="106" t="s">
        <v>1</v>
      </c>
      <c r="AY193" s="106"/>
      <c r="AZ193" s="108"/>
      <c r="BA193" s="52"/>
      <c r="BB193" s="106"/>
    </row>
    <row r="194" spans="1:54" ht="27" customHeight="1" x14ac:dyDescent="0.3">
      <c r="A194" s="126"/>
      <c r="B194" s="134"/>
      <c r="C194" s="134"/>
      <c r="D194" s="117"/>
      <c r="E194" s="117"/>
      <c r="F194" s="31">
        <v>0</v>
      </c>
      <c r="G194" s="33">
        <v>0.06</v>
      </c>
      <c r="H194" s="32">
        <v>1000000</v>
      </c>
      <c r="I194" s="31">
        <v>1</v>
      </c>
      <c r="J194" s="32">
        <v>0</v>
      </c>
      <c r="K194" s="31">
        <v>1</v>
      </c>
      <c r="L194" s="32">
        <v>130000</v>
      </c>
      <c r="M194" s="31">
        <v>7.0000000000000007E-2</v>
      </c>
      <c r="N194" s="32">
        <v>70000</v>
      </c>
      <c r="O194" s="31">
        <v>0</v>
      </c>
      <c r="P194" s="32">
        <v>0</v>
      </c>
      <c r="Q194" s="107"/>
      <c r="R194" s="107"/>
      <c r="S194" s="21"/>
      <c r="T194" s="31">
        <f>IF(C195="노트북",7%,IF(C195="저장&amp;주변기기",9%,IF(C195="모니터",7%)))</f>
        <v>7.0000000000000007E-2</v>
      </c>
      <c r="U194" s="31">
        <v>0</v>
      </c>
      <c r="V194" s="31">
        <v>0</v>
      </c>
      <c r="W194" s="31">
        <f>IF(G194=0%,20%,0%)</f>
        <v>0</v>
      </c>
      <c r="X194" s="30">
        <v>0</v>
      </c>
      <c r="Y194" s="30">
        <v>1</v>
      </c>
      <c r="Z194" s="53">
        <v>0.92307600000000001</v>
      </c>
      <c r="AA194" s="29">
        <v>0.5</v>
      </c>
      <c r="AB194" s="107"/>
      <c r="AC194" s="107"/>
      <c r="AD194" s="107"/>
      <c r="AE194" s="107"/>
      <c r="AF194" s="107"/>
      <c r="AG194" s="117"/>
      <c r="AH194" s="119"/>
      <c r="AI194" s="121"/>
      <c r="AJ194" s="55" t="s">
        <v>52</v>
      </c>
      <c r="AK194" s="56">
        <f>AJ193-AK193</f>
        <v>0.10236620197211832</v>
      </c>
      <c r="AM194" s="107"/>
      <c r="AN194" s="107"/>
      <c r="AO194" s="107"/>
      <c r="AP194" s="107"/>
      <c r="AQ194" s="107"/>
      <c r="AR194" s="107"/>
      <c r="AS194" s="39"/>
      <c r="AT194" s="107"/>
      <c r="AU194" s="107"/>
      <c r="AV194" s="107"/>
      <c r="AW194" s="107"/>
      <c r="AY194" s="107"/>
      <c r="AZ194" s="109"/>
      <c r="BA194" s="52"/>
      <c r="BB194" s="107"/>
    </row>
    <row r="195" spans="1:54" ht="27" customHeight="1" x14ac:dyDescent="0.3">
      <c r="A195" s="51" t="s">
        <v>47</v>
      </c>
      <c r="B195" s="38" t="s">
        <v>35</v>
      </c>
      <c r="C195" s="27" t="s">
        <v>0</v>
      </c>
      <c r="D195" s="26">
        <v>4363376144</v>
      </c>
      <c r="E195" s="25">
        <v>823480</v>
      </c>
      <c r="F195" s="24">
        <f>ROUNDDOWN(E195/(1-F194),-1)</f>
        <v>823480</v>
      </c>
      <c r="G195" s="110">
        <f>ROUNDDOWN(IF(F195*G194&gt;H194,H194,F195*G194),-1)</f>
        <v>49400</v>
      </c>
      <c r="H195" s="111"/>
      <c r="I195" s="112">
        <f>ROUNDDOWN(IF(F195*I194&gt;J194,J194,F195*I194),-1)</f>
        <v>0</v>
      </c>
      <c r="J195" s="113"/>
      <c r="K195" s="112">
        <f>ROUNDDOWN(IF(F195*K194&gt;L194,L194,F195*K194),-1)</f>
        <v>130000</v>
      </c>
      <c r="L195" s="113"/>
      <c r="M195" s="110">
        <f>ROUNDDOWN(IF(Q195*M194&gt;N194,N194,Q195*M194),-1)</f>
        <v>45080</v>
      </c>
      <c r="N195" s="111"/>
      <c r="O195" s="110">
        <f>ROUNDDOWN(IF(F195*O194&gt;P194,P194,F195*O194),-1)</f>
        <v>0</v>
      </c>
      <c r="P195" s="111"/>
      <c r="Q195" s="23">
        <f>F195-G195-I195-K195</f>
        <v>644080</v>
      </c>
      <c r="R195" s="22">
        <f>F195-G195-I195-K195-M195-O195</f>
        <v>599000</v>
      </c>
      <c r="S195" s="21"/>
      <c r="T195" s="20">
        <f>F195*T194</f>
        <v>57643.600000000006</v>
      </c>
      <c r="U195" s="20">
        <f>F195*U194</f>
        <v>0</v>
      </c>
      <c r="V195" s="20">
        <f>(F195-I195)*V194</f>
        <v>0</v>
      </c>
      <c r="W195" s="19">
        <f>(F195*F194)*W194</f>
        <v>0</v>
      </c>
      <c r="X195" s="19">
        <f>G195*X194</f>
        <v>0</v>
      </c>
      <c r="Y195" s="19">
        <f>I195*Y194</f>
        <v>0</v>
      </c>
      <c r="Z195" s="19">
        <f>K195*Z194</f>
        <v>119999.88</v>
      </c>
      <c r="AA195" s="19">
        <f>M195*AA194</f>
        <v>22540</v>
      </c>
      <c r="AB195" s="19">
        <v>0</v>
      </c>
      <c r="AC195" s="16">
        <v>6000</v>
      </c>
      <c r="AD195" s="18">
        <f>F195-T195-U195-V195-W195-AA195-X195-Y195-Z195-AB195</f>
        <v>623296.52</v>
      </c>
      <c r="AE195" s="18">
        <f>F195-T195-U195-V195-W195-X195-Y195-Z195-AA195-AB195-AC195</f>
        <v>617296.52</v>
      </c>
      <c r="AF195" s="17">
        <f>AE195-AG195</f>
        <v>-29703.479999999981</v>
      </c>
      <c r="AG195" s="16">
        <v>647000</v>
      </c>
      <c r="AH195" s="15">
        <f>AF195/AG195</f>
        <v>-4.5909551777434283E-2</v>
      </c>
      <c r="AI195" s="14">
        <f>1-R195/(AG195-AM195-AN195-AO195)</f>
        <v>-2.0442930153321992E-2</v>
      </c>
      <c r="AJ195" s="114">
        <f>(1-R195/F195)-(1-(AD195)/F195)</f>
        <v>2.9504687424102616E-2</v>
      </c>
      <c r="AK195" s="115"/>
      <c r="AM195" s="13">
        <v>60000</v>
      </c>
      <c r="AN195" s="12">
        <v>0</v>
      </c>
      <c r="AO195" s="12"/>
      <c r="AP195" s="12"/>
      <c r="AQ195" s="11">
        <f>AE195-(AG195-AM195-AN195-AO195-AP195)</f>
        <v>30296.520000000019</v>
      </c>
      <c r="AR195" s="8">
        <f>AQ195/AG195</f>
        <v>4.6826151468315327E-2</v>
      </c>
      <c r="AT195" s="10">
        <v>0</v>
      </c>
      <c r="AU195" s="10">
        <v>0</v>
      </c>
      <c r="AV195" s="9">
        <f>AQ195-AT195-AU195</f>
        <v>30296.520000000019</v>
      </c>
      <c r="AW195" s="8">
        <f>AV195/AG195</f>
        <v>4.6826151468315327E-2</v>
      </c>
      <c r="AY195" s="7"/>
      <c r="AZ195" s="50"/>
      <c r="BA195" s="52"/>
      <c r="BB195" s="7"/>
    </row>
    <row r="196" spans="1:54" ht="16.5" customHeight="1" x14ac:dyDescent="0.3">
      <c r="C196" s="57" t="s">
        <v>68</v>
      </c>
      <c r="D196" s="57">
        <v>4583391989</v>
      </c>
      <c r="E196" s="5">
        <v>679000</v>
      </c>
      <c r="F196" s="4">
        <f>ROUNDDOWN(E196/(1-F194),-1)</f>
        <v>679000</v>
      </c>
      <c r="G196" s="105">
        <f>ROUNDDOWN(IF(F196*G194&gt;H194,H194,F196*G194),-1)</f>
        <v>40740</v>
      </c>
      <c r="H196" s="105"/>
      <c r="J196" s="54">
        <f>F195*4%</f>
        <v>32939.199999999997</v>
      </c>
      <c r="R196" s="4">
        <v>523000</v>
      </c>
      <c r="X196" s="3">
        <f>G196*X194</f>
        <v>0</v>
      </c>
      <c r="Y196" s="3"/>
      <c r="Z196" s="3"/>
      <c r="AG196" s="4">
        <v>625000</v>
      </c>
    </row>
    <row r="197" spans="1:54" ht="27" customHeight="1" x14ac:dyDescent="0.3">
      <c r="A197" s="124" t="s">
        <v>34</v>
      </c>
      <c r="B197" s="135" t="s">
        <v>126</v>
      </c>
      <c r="C197" s="136"/>
      <c r="D197" s="136"/>
      <c r="E197" s="136"/>
      <c r="F197" s="136"/>
      <c r="G197" s="136"/>
      <c r="H197" s="136"/>
      <c r="I197" s="136"/>
      <c r="J197" s="136"/>
      <c r="K197" s="136"/>
      <c r="L197" s="136"/>
      <c r="M197" s="136"/>
      <c r="N197" s="136"/>
      <c r="O197" s="136"/>
      <c r="P197" s="136"/>
      <c r="Q197" s="136"/>
      <c r="R197" s="137"/>
      <c r="T197" s="130" t="s">
        <v>33</v>
      </c>
      <c r="U197" s="131"/>
      <c r="V197" s="131"/>
      <c r="W197" s="131"/>
      <c r="X197" s="131"/>
      <c r="Y197" s="131"/>
      <c r="Z197" s="131"/>
      <c r="AA197" s="131"/>
      <c r="AB197" s="131"/>
      <c r="AC197" s="131"/>
      <c r="AD197" s="131"/>
      <c r="AE197" s="131"/>
      <c r="AF197" s="131"/>
      <c r="AG197" s="131"/>
      <c r="AH197" s="132"/>
      <c r="AI197" s="37"/>
      <c r="AM197" s="130" t="s">
        <v>32</v>
      </c>
      <c r="AN197" s="131"/>
      <c r="AO197" s="131"/>
      <c r="AP197" s="131"/>
      <c r="AQ197" s="131"/>
      <c r="AR197" s="132"/>
      <c r="AT197" s="130" t="s">
        <v>31</v>
      </c>
      <c r="AU197" s="131"/>
      <c r="AV197" s="131"/>
      <c r="AW197" s="132"/>
      <c r="AY197" s="36" t="s">
        <v>36</v>
      </c>
      <c r="AZ197" s="48"/>
      <c r="BA197" s="52"/>
      <c r="BB197" s="36"/>
    </row>
    <row r="198" spans="1:54" ht="32.25" customHeight="1" x14ac:dyDescent="0.3">
      <c r="A198" s="125"/>
      <c r="B198" s="133" t="s">
        <v>30</v>
      </c>
      <c r="C198" s="133" t="s">
        <v>29</v>
      </c>
      <c r="D198" s="116" t="s">
        <v>28</v>
      </c>
      <c r="E198" s="116" t="s">
        <v>27</v>
      </c>
      <c r="F198" s="34" t="s">
        <v>26</v>
      </c>
      <c r="G198" s="122" t="s">
        <v>63</v>
      </c>
      <c r="H198" s="123"/>
      <c r="I198" s="122" t="s">
        <v>50</v>
      </c>
      <c r="J198" s="123"/>
      <c r="K198" s="122" t="s">
        <v>62</v>
      </c>
      <c r="L198" s="123"/>
      <c r="M198" s="122" t="s">
        <v>25</v>
      </c>
      <c r="N198" s="123"/>
      <c r="O198" s="122" t="s">
        <v>24</v>
      </c>
      <c r="P198" s="123"/>
      <c r="Q198" s="106" t="s">
        <v>23</v>
      </c>
      <c r="R198" s="106" t="s">
        <v>22</v>
      </c>
      <c r="S198" s="21"/>
      <c r="T198" s="34" t="s">
        <v>21</v>
      </c>
      <c r="U198" s="34" t="s">
        <v>20</v>
      </c>
      <c r="V198" s="34" t="s">
        <v>95</v>
      </c>
      <c r="W198" s="34" t="s">
        <v>19</v>
      </c>
      <c r="X198" s="34" t="s">
        <v>18</v>
      </c>
      <c r="Y198" s="34" t="s">
        <v>48</v>
      </c>
      <c r="Z198" s="34" t="s">
        <v>49</v>
      </c>
      <c r="AA198" s="34" t="s">
        <v>17</v>
      </c>
      <c r="AB198" s="106" t="s">
        <v>16</v>
      </c>
      <c r="AC198" s="106" t="s">
        <v>15</v>
      </c>
      <c r="AD198" s="106" t="s">
        <v>14</v>
      </c>
      <c r="AE198" s="106" t="s">
        <v>13</v>
      </c>
      <c r="AF198" s="106" t="s">
        <v>12</v>
      </c>
      <c r="AG198" s="116" t="s">
        <v>11</v>
      </c>
      <c r="AH198" s="118" t="s">
        <v>10</v>
      </c>
      <c r="AI198" s="120" t="s">
        <v>9</v>
      </c>
      <c r="AJ198" s="35">
        <f>(1-R200/F200)</f>
        <v>0.2231425702811245</v>
      </c>
      <c r="AK198" s="35">
        <f>1-(AD200+AM200)/F200</f>
        <v>0.14530105421686745</v>
      </c>
      <c r="AM198" s="106" t="s">
        <v>8</v>
      </c>
      <c r="AN198" s="106" t="s">
        <v>7</v>
      </c>
      <c r="AO198" s="106" t="s">
        <v>37</v>
      </c>
      <c r="AP198" s="106" t="s">
        <v>38</v>
      </c>
      <c r="AQ198" s="106" t="s">
        <v>6</v>
      </c>
      <c r="AR198" s="106" t="s">
        <v>5</v>
      </c>
      <c r="AT198" s="106" t="s">
        <v>4</v>
      </c>
      <c r="AU198" s="106" t="s">
        <v>3</v>
      </c>
      <c r="AV198" s="106" t="s">
        <v>2</v>
      </c>
      <c r="AW198" s="106" t="s">
        <v>1</v>
      </c>
      <c r="AY198" s="106"/>
      <c r="AZ198" s="108"/>
      <c r="BA198" s="52"/>
      <c r="BB198" s="106"/>
    </row>
    <row r="199" spans="1:54" ht="27" customHeight="1" x14ac:dyDescent="0.3">
      <c r="A199" s="126"/>
      <c r="B199" s="134"/>
      <c r="C199" s="134"/>
      <c r="D199" s="117"/>
      <c r="E199" s="117"/>
      <c r="F199" s="31">
        <v>0</v>
      </c>
      <c r="G199" s="33">
        <v>0.06</v>
      </c>
      <c r="H199" s="32">
        <v>1000000</v>
      </c>
      <c r="I199" s="31">
        <v>0</v>
      </c>
      <c r="J199" s="32">
        <v>0</v>
      </c>
      <c r="K199" s="31">
        <v>1</v>
      </c>
      <c r="L199" s="32">
        <v>130000</v>
      </c>
      <c r="M199" s="31">
        <v>0</v>
      </c>
      <c r="N199" s="32">
        <v>0</v>
      </c>
      <c r="O199" s="31">
        <v>0</v>
      </c>
      <c r="P199" s="32">
        <v>0</v>
      </c>
      <c r="Q199" s="107"/>
      <c r="R199" s="107"/>
      <c r="S199" s="21"/>
      <c r="T199" s="31">
        <f>IF(C200="노트북",7%,IF(C200="저장&amp;주변기기",9%,IF(C200="모니터",7%)))</f>
        <v>7.0000000000000007E-2</v>
      </c>
      <c r="U199" s="31">
        <v>0</v>
      </c>
      <c r="V199" s="31">
        <v>0</v>
      </c>
      <c r="W199" s="31">
        <f>IF(G199=0%,20%,0%)</f>
        <v>0</v>
      </c>
      <c r="X199" s="30">
        <v>0</v>
      </c>
      <c r="Y199" s="30">
        <v>1</v>
      </c>
      <c r="Z199" s="53">
        <v>0.92307600000000001</v>
      </c>
      <c r="AA199" s="29">
        <v>0.5</v>
      </c>
      <c r="AB199" s="107"/>
      <c r="AC199" s="107"/>
      <c r="AD199" s="107"/>
      <c r="AE199" s="107"/>
      <c r="AF199" s="107"/>
      <c r="AG199" s="117"/>
      <c r="AH199" s="119"/>
      <c r="AI199" s="121"/>
      <c r="AJ199" s="55" t="s">
        <v>52</v>
      </c>
      <c r="AK199" s="56">
        <f>AJ198-AK198</f>
        <v>7.7841516064257044E-2</v>
      </c>
      <c r="AM199" s="107"/>
      <c r="AN199" s="107"/>
      <c r="AO199" s="107"/>
      <c r="AP199" s="107"/>
      <c r="AQ199" s="107"/>
      <c r="AR199" s="107"/>
      <c r="AS199" s="39"/>
      <c r="AT199" s="107"/>
      <c r="AU199" s="107"/>
      <c r="AV199" s="107"/>
      <c r="AW199" s="107"/>
      <c r="AY199" s="107"/>
      <c r="AZ199" s="109"/>
      <c r="BA199" s="52"/>
      <c r="BB199" s="107"/>
    </row>
    <row r="200" spans="1:54" ht="27" customHeight="1" x14ac:dyDescent="0.3">
      <c r="A200" s="51" t="s">
        <v>47</v>
      </c>
      <c r="B200" s="38" t="s">
        <v>35</v>
      </c>
      <c r="C200" s="27" t="s">
        <v>0</v>
      </c>
      <c r="D200" s="26">
        <v>4363376144</v>
      </c>
      <c r="E200" s="25">
        <v>796800</v>
      </c>
      <c r="F200" s="24">
        <f>ROUNDDOWN(E200/(1-F199),-1)</f>
        <v>796800</v>
      </c>
      <c r="G200" s="110">
        <f>ROUNDDOWN(IF(F200*G199&gt;H199,H199,F200*G199),-1)</f>
        <v>47800</v>
      </c>
      <c r="H200" s="111"/>
      <c r="I200" s="112">
        <f>ROUNDDOWN(IF(F200*I199&gt;J199,J199,F200*I199),-1)</f>
        <v>0</v>
      </c>
      <c r="J200" s="113"/>
      <c r="K200" s="112">
        <f>ROUNDDOWN(IF(F200*K199&gt;L199,L199,F200*K199),-1)</f>
        <v>130000</v>
      </c>
      <c r="L200" s="113"/>
      <c r="M200" s="110">
        <f>ROUNDDOWN(IF(Q200*M199&gt;N199,N199,Q200*M199),-1)</f>
        <v>0</v>
      </c>
      <c r="N200" s="111"/>
      <c r="O200" s="110">
        <f>ROUNDDOWN(IF(F200*O199&gt;P199,P199,F200*O199),-1)</f>
        <v>0</v>
      </c>
      <c r="P200" s="111"/>
      <c r="Q200" s="23">
        <f>F200-G200-I200-K200</f>
        <v>619000</v>
      </c>
      <c r="R200" s="22">
        <f>F200-G200-I200-K200-M200-O200</f>
        <v>619000</v>
      </c>
      <c r="S200" s="21"/>
      <c r="T200" s="20">
        <f>F200*T199</f>
        <v>55776.000000000007</v>
      </c>
      <c r="U200" s="20">
        <f>F200*U199</f>
        <v>0</v>
      </c>
      <c r="V200" s="20">
        <f>(F200-I200)*V199</f>
        <v>0</v>
      </c>
      <c r="W200" s="19">
        <f>(F200*F199)*W199</f>
        <v>0</v>
      </c>
      <c r="X200" s="19">
        <f>G200*X199</f>
        <v>0</v>
      </c>
      <c r="Y200" s="19">
        <f>I200*Y199</f>
        <v>0</v>
      </c>
      <c r="Z200" s="19">
        <f>K200*Z199</f>
        <v>119999.88</v>
      </c>
      <c r="AA200" s="19">
        <f>M200*AA199</f>
        <v>0</v>
      </c>
      <c r="AB200" s="19">
        <v>0</v>
      </c>
      <c r="AC200" s="16">
        <v>6000</v>
      </c>
      <c r="AD200" s="18">
        <f>F200-T200-U200-V200-W200-AA200-X200-Y200-Z200-AB200</f>
        <v>621024.12</v>
      </c>
      <c r="AE200" s="18">
        <f>F200-T200-U200-V200-W200-X200-Y200-Z200-AA200-AB200-AC200</f>
        <v>615024.12</v>
      </c>
      <c r="AF200" s="17">
        <f>AE200-AG200</f>
        <v>-31975.880000000005</v>
      </c>
      <c r="AG200" s="16">
        <v>647000</v>
      </c>
      <c r="AH200" s="15">
        <f>AF200/AG200</f>
        <v>-4.9421761978361678E-2</v>
      </c>
      <c r="AI200" s="14">
        <f>1-R200/(AG200-AM200-AN200-AO200)</f>
        <v>-5.4514480408858645E-2</v>
      </c>
      <c r="AJ200" s="114">
        <f>(1-R200/F200)-(1-(AD200)/F200)</f>
        <v>2.540311244979887E-3</v>
      </c>
      <c r="AK200" s="115"/>
      <c r="AM200" s="13">
        <v>60000</v>
      </c>
      <c r="AN200" s="12">
        <v>0</v>
      </c>
      <c r="AO200" s="12"/>
      <c r="AP200" s="12"/>
      <c r="AQ200" s="11">
        <f>AE200-(AG200-AM200-AN200-AO200-AP200)</f>
        <v>28024.119999999995</v>
      </c>
      <c r="AR200" s="8">
        <f>AQ200/AG200</f>
        <v>4.331394126738794E-2</v>
      </c>
      <c r="AT200" s="10">
        <v>0</v>
      </c>
      <c r="AU200" s="10">
        <v>0</v>
      </c>
      <c r="AV200" s="9">
        <f>AQ200-AT200-AU200</f>
        <v>28024.119999999995</v>
      </c>
      <c r="AW200" s="8">
        <f>AV200/AG200</f>
        <v>4.331394126738794E-2</v>
      </c>
      <c r="AY200" s="7"/>
      <c r="AZ200" s="50"/>
      <c r="BA200" s="52"/>
      <c r="BB200" s="7"/>
    </row>
    <row r="201" spans="1:54" ht="16.5" customHeight="1" x14ac:dyDescent="0.3">
      <c r="C201" s="57" t="s">
        <v>68</v>
      </c>
      <c r="D201" s="57">
        <v>4583391989</v>
      </c>
      <c r="E201" s="5">
        <v>679000</v>
      </c>
      <c r="F201" s="4">
        <f>ROUNDDOWN(E201/(1-F199),-1)</f>
        <v>679000</v>
      </c>
      <c r="G201" s="105">
        <f>ROUNDDOWN(IF(F201*G199&gt;H199,H199,F201*G199),-1)</f>
        <v>40740</v>
      </c>
      <c r="H201" s="105"/>
      <c r="J201" s="54">
        <f>F200*4%</f>
        <v>31872</v>
      </c>
      <c r="R201" s="4">
        <v>523000</v>
      </c>
      <c r="X201" s="3">
        <f>G201*X199</f>
        <v>0</v>
      </c>
      <c r="Y201" s="3"/>
      <c r="Z201" s="3"/>
      <c r="AG201" s="4">
        <v>625000</v>
      </c>
    </row>
    <row r="202" spans="1:54" ht="16.5" customHeight="1" x14ac:dyDescent="0.3">
      <c r="C202" s="57"/>
      <c r="D202" s="57"/>
      <c r="E202" s="5"/>
      <c r="F202" s="4"/>
      <c r="G202" s="74"/>
      <c r="H202" s="74"/>
      <c r="J202" s="54"/>
      <c r="R202" s="4"/>
      <c r="X202" s="3"/>
      <c r="Y202" s="3"/>
      <c r="Z202" s="3"/>
      <c r="AG202" s="4"/>
    </row>
    <row r="203" spans="1:54" ht="16.5" customHeight="1" x14ac:dyDescent="0.3">
      <c r="C203" s="57"/>
      <c r="D203" s="57"/>
      <c r="E203" s="5"/>
      <c r="F203" s="4"/>
      <c r="G203" s="74"/>
      <c r="H203" s="74"/>
      <c r="J203" s="54"/>
      <c r="R203" s="4"/>
      <c r="X203" s="3"/>
      <c r="Y203" s="3"/>
      <c r="Z203" s="3"/>
      <c r="AG203" s="4"/>
    </row>
    <row r="204" spans="1:54" ht="27" customHeight="1" x14ac:dyDescent="0.3">
      <c r="A204" s="124" t="s">
        <v>34</v>
      </c>
      <c r="B204" s="127" t="s">
        <v>125</v>
      </c>
      <c r="C204" s="128"/>
      <c r="D204" s="128"/>
      <c r="E204" s="128"/>
      <c r="F204" s="128"/>
      <c r="G204" s="128"/>
      <c r="H204" s="128"/>
      <c r="I204" s="128"/>
      <c r="J204" s="128"/>
      <c r="K204" s="128"/>
      <c r="L204" s="128"/>
      <c r="M204" s="128"/>
      <c r="N204" s="128"/>
      <c r="O204" s="128"/>
      <c r="P204" s="128"/>
      <c r="Q204" s="128"/>
      <c r="R204" s="129"/>
      <c r="T204" s="130" t="s">
        <v>33</v>
      </c>
      <c r="U204" s="131"/>
      <c r="V204" s="131"/>
      <c r="W204" s="131"/>
      <c r="X204" s="131"/>
      <c r="Y204" s="131"/>
      <c r="Z204" s="131"/>
      <c r="AA204" s="131"/>
      <c r="AB204" s="131"/>
      <c r="AC204" s="131"/>
      <c r="AD204" s="131"/>
      <c r="AE204" s="131"/>
      <c r="AF204" s="131"/>
      <c r="AG204" s="131"/>
      <c r="AH204" s="132"/>
      <c r="AI204" s="37"/>
      <c r="AM204" s="130" t="s">
        <v>32</v>
      </c>
      <c r="AN204" s="131"/>
      <c r="AO204" s="131"/>
      <c r="AP204" s="131"/>
      <c r="AQ204" s="131"/>
      <c r="AR204" s="132"/>
      <c r="AT204" s="130" t="s">
        <v>31</v>
      </c>
      <c r="AU204" s="131"/>
      <c r="AV204" s="131"/>
      <c r="AW204" s="132"/>
      <c r="AY204" s="36" t="s">
        <v>36</v>
      </c>
      <c r="AZ204" s="48"/>
      <c r="BA204" s="52"/>
      <c r="BB204" s="36"/>
    </row>
    <row r="205" spans="1:54" ht="32.25" customHeight="1" x14ac:dyDescent="0.3">
      <c r="A205" s="125"/>
      <c r="B205" s="133" t="s">
        <v>30</v>
      </c>
      <c r="C205" s="133" t="s">
        <v>29</v>
      </c>
      <c r="D205" s="116" t="s">
        <v>28</v>
      </c>
      <c r="E205" s="116" t="s">
        <v>27</v>
      </c>
      <c r="F205" s="34" t="s">
        <v>26</v>
      </c>
      <c r="G205" s="122" t="s">
        <v>63</v>
      </c>
      <c r="H205" s="123"/>
      <c r="I205" s="122" t="s">
        <v>50</v>
      </c>
      <c r="J205" s="123"/>
      <c r="K205" s="122" t="s">
        <v>62</v>
      </c>
      <c r="L205" s="123"/>
      <c r="M205" s="122" t="s">
        <v>25</v>
      </c>
      <c r="N205" s="123"/>
      <c r="O205" s="122" t="s">
        <v>24</v>
      </c>
      <c r="P205" s="123"/>
      <c r="Q205" s="106" t="s">
        <v>23</v>
      </c>
      <c r="R205" s="106" t="s">
        <v>22</v>
      </c>
      <c r="S205" s="21"/>
      <c r="T205" s="34" t="s">
        <v>21</v>
      </c>
      <c r="U205" s="34" t="s">
        <v>20</v>
      </c>
      <c r="V205" s="34" t="s">
        <v>95</v>
      </c>
      <c r="W205" s="34" t="s">
        <v>19</v>
      </c>
      <c r="X205" s="34" t="s">
        <v>18</v>
      </c>
      <c r="Y205" s="34" t="s">
        <v>48</v>
      </c>
      <c r="Z205" s="34" t="s">
        <v>49</v>
      </c>
      <c r="AA205" s="34" t="s">
        <v>17</v>
      </c>
      <c r="AB205" s="106" t="s">
        <v>16</v>
      </c>
      <c r="AC205" s="106" t="s">
        <v>15</v>
      </c>
      <c r="AD205" s="106" t="s">
        <v>14</v>
      </c>
      <c r="AE205" s="106" t="s">
        <v>13</v>
      </c>
      <c r="AF205" s="106" t="s">
        <v>12</v>
      </c>
      <c r="AG205" s="116" t="s">
        <v>11</v>
      </c>
      <c r="AH205" s="118" t="s">
        <v>10</v>
      </c>
      <c r="AI205" s="120" t="s">
        <v>9</v>
      </c>
      <c r="AJ205" s="35">
        <f>(1-R207/F207)</f>
        <v>0.23476285760640314</v>
      </c>
      <c r="AK205" s="35">
        <f>1-(AD207+AM207)/F207</f>
        <v>0.20695841220052991</v>
      </c>
      <c r="AM205" s="106" t="s">
        <v>8</v>
      </c>
      <c r="AN205" s="106" t="s">
        <v>7</v>
      </c>
      <c r="AO205" s="106" t="s">
        <v>37</v>
      </c>
      <c r="AP205" s="106" t="s">
        <v>38</v>
      </c>
      <c r="AQ205" s="106" t="s">
        <v>6</v>
      </c>
      <c r="AR205" s="106" t="s">
        <v>5</v>
      </c>
      <c r="AT205" s="106" t="s">
        <v>4</v>
      </c>
      <c r="AU205" s="106" t="s">
        <v>3</v>
      </c>
      <c r="AV205" s="106" t="s">
        <v>2</v>
      </c>
      <c r="AW205" s="106" t="s">
        <v>1</v>
      </c>
      <c r="AY205" s="106"/>
      <c r="AZ205" s="108"/>
      <c r="BA205" s="52"/>
      <c r="BB205" s="106"/>
    </row>
    <row r="206" spans="1:54" ht="27" customHeight="1" x14ac:dyDescent="0.3">
      <c r="A206" s="126"/>
      <c r="B206" s="134"/>
      <c r="C206" s="134"/>
      <c r="D206" s="117"/>
      <c r="E206" s="117"/>
      <c r="F206" s="31">
        <v>0</v>
      </c>
      <c r="G206" s="33">
        <v>0.06</v>
      </c>
      <c r="H206" s="32">
        <v>1000000</v>
      </c>
      <c r="I206" s="31">
        <v>1</v>
      </c>
      <c r="J206" s="32">
        <v>0</v>
      </c>
      <c r="K206" s="31">
        <v>1</v>
      </c>
      <c r="L206" s="32">
        <v>130000</v>
      </c>
      <c r="M206" s="31">
        <v>7.0000000000000007E-2</v>
      </c>
      <c r="N206" s="32">
        <v>70000</v>
      </c>
      <c r="O206" s="31">
        <v>0</v>
      </c>
      <c r="P206" s="32">
        <v>0</v>
      </c>
      <c r="Q206" s="107"/>
      <c r="R206" s="107"/>
      <c r="S206" s="21"/>
      <c r="T206" s="31">
        <f>IF(C207="노트북",7%,IF(C207="저장&amp;주변기기",9%,IF(C207="모니터",7%)))</f>
        <v>7.0000000000000007E-2</v>
      </c>
      <c r="U206" s="31">
        <v>0</v>
      </c>
      <c r="V206" s="31">
        <v>0</v>
      </c>
      <c r="W206" s="31">
        <f>IF(G206=0%,20%,0%)</f>
        <v>0</v>
      </c>
      <c r="X206" s="30">
        <v>0</v>
      </c>
      <c r="Y206" s="30">
        <v>1</v>
      </c>
      <c r="Z206" s="53">
        <v>0.92307600000000001</v>
      </c>
      <c r="AA206" s="29">
        <v>0.5</v>
      </c>
      <c r="AB206" s="107"/>
      <c r="AC206" s="107"/>
      <c r="AD206" s="107"/>
      <c r="AE206" s="107"/>
      <c r="AF206" s="107"/>
      <c r="AG206" s="117"/>
      <c r="AH206" s="119"/>
      <c r="AI206" s="121"/>
      <c r="AJ206" s="55" t="s">
        <v>52</v>
      </c>
      <c r="AK206" s="56">
        <f>AJ205-AK205</f>
        <v>2.7804445405873235E-2</v>
      </c>
      <c r="AM206" s="107"/>
      <c r="AN206" s="107"/>
      <c r="AO206" s="107"/>
      <c r="AP206" s="107"/>
      <c r="AQ206" s="107"/>
      <c r="AR206" s="107"/>
      <c r="AS206" s="39"/>
      <c r="AT206" s="107"/>
      <c r="AU206" s="107"/>
      <c r="AV206" s="107"/>
      <c r="AW206" s="107"/>
      <c r="AY206" s="107"/>
      <c r="AZ206" s="109"/>
      <c r="BA206" s="52"/>
      <c r="BB206" s="107"/>
    </row>
    <row r="207" spans="1:54" ht="27" customHeight="1" x14ac:dyDescent="0.3">
      <c r="A207" s="51" t="s">
        <v>97</v>
      </c>
      <c r="B207" s="38" t="s">
        <v>35</v>
      </c>
      <c r="C207" s="27" t="s">
        <v>0</v>
      </c>
      <c r="D207" s="26">
        <v>4602770526</v>
      </c>
      <c r="E207" s="25">
        <v>1109460</v>
      </c>
      <c r="F207" s="24">
        <f>ROUNDDOWN(E207/(1-F206),-1)</f>
        <v>1109460</v>
      </c>
      <c r="G207" s="110">
        <f>ROUNDDOWN(IF(F207*G206&gt;H206,H206,F207*G206),-1)</f>
        <v>66560</v>
      </c>
      <c r="H207" s="111"/>
      <c r="I207" s="112">
        <f>ROUNDDOWN(IF(F207*I206&gt;J206,J206,F207*I206),-1)</f>
        <v>0</v>
      </c>
      <c r="J207" s="113"/>
      <c r="K207" s="112">
        <f>ROUNDDOWN(IF(F207*K206&gt;L206,L206,F207*K206),-1)</f>
        <v>130000</v>
      </c>
      <c r="L207" s="113"/>
      <c r="M207" s="110">
        <f>ROUNDDOWN(IF(Q207*M206&gt;N206,N206,Q207*M206),-1)</f>
        <v>63900</v>
      </c>
      <c r="N207" s="111"/>
      <c r="O207" s="110">
        <f>ROUNDDOWN(IF(F207*O206&gt;P206,P206,F207*O206),-1)</f>
        <v>0</v>
      </c>
      <c r="P207" s="111"/>
      <c r="Q207" s="23">
        <f>F207-G207-I207-K207</f>
        <v>912900</v>
      </c>
      <c r="R207" s="22">
        <f>F207-G207-I207-K207-M207-O207</f>
        <v>849000</v>
      </c>
      <c r="S207" s="21"/>
      <c r="T207" s="20">
        <f>F207*T206</f>
        <v>77662.200000000012</v>
      </c>
      <c r="U207" s="20">
        <f>F207*U206</f>
        <v>0</v>
      </c>
      <c r="V207" s="20">
        <f>(F207-I207)*V206</f>
        <v>0</v>
      </c>
      <c r="W207" s="19">
        <f>(F207*F206)*W206</f>
        <v>0</v>
      </c>
      <c r="X207" s="19">
        <f>G207*X206</f>
        <v>0</v>
      </c>
      <c r="Y207" s="19">
        <f>I207*Y206</f>
        <v>0</v>
      </c>
      <c r="Z207" s="19">
        <f>K207*Z206</f>
        <v>119999.88</v>
      </c>
      <c r="AA207" s="19">
        <f>M207*AA206</f>
        <v>31950</v>
      </c>
      <c r="AB207" s="19">
        <v>0</v>
      </c>
      <c r="AC207" s="16">
        <v>6000</v>
      </c>
      <c r="AD207" s="18">
        <f>F207-T207-U207-V207-W207-AA207-X207-Y207-Z207-AB207</f>
        <v>879847.92</v>
      </c>
      <c r="AE207" s="18">
        <f>F207-T207-U207-V207-W207-X207-Y207-Z207-AA207-AB207-AC207</f>
        <v>873847.92</v>
      </c>
      <c r="AF207" s="17">
        <f>AE207-AG207</f>
        <v>257847.92000000004</v>
      </c>
      <c r="AG207" s="16">
        <v>616000</v>
      </c>
      <c r="AH207" s="15">
        <f>AF207/AG207</f>
        <v>0.4185842857142858</v>
      </c>
      <c r="AI207" s="14">
        <f>1-R207/(AG207-AM207-AN207-AO207)</f>
        <v>-0.37824675324675328</v>
      </c>
      <c r="AJ207" s="114">
        <f>(1-R207/F207)-(1-(AD207)/F207)</f>
        <v>2.7804445405873235E-2</v>
      </c>
      <c r="AK207" s="115"/>
      <c r="AM207" s="13">
        <v>0</v>
      </c>
      <c r="AN207" s="12">
        <v>0</v>
      </c>
      <c r="AO207" s="12"/>
      <c r="AP207" s="12"/>
      <c r="AQ207" s="11">
        <f>AE207-(AG207-AM207-AN207-AO207-AP207)</f>
        <v>257847.92000000004</v>
      </c>
      <c r="AR207" s="8">
        <f>AQ207/AG207</f>
        <v>0.4185842857142858</v>
      </c>
      <c r="AT207" s="10">
        <v>0</v>
      </c>
      <c r="AU207" s="10">
        <v>0</v>
      </c>
      <c r="AV207" s="9">
        <f>AQ207-AT207-AU207</f>
        <v>257847.92000000004</v>
      </c>
      <c r="AW207" s="8">
        <f>AV207/AG207</f>
        <v>0.4185842857142858</v>
      </c>
      <c r="AY207" s="7"/>
      <c r="AZ207" s="50"/>
      <c r="BA207" s="52"/>
      <c r="BB207" s="7"/>
    </row>
    <row r="208" spans="1:54" ht="16.5" customHeight="1" x14ac:dyDescent="0.3">
      <c r="C208" s="57" t="s">
        <v>68</v>
      </c>
      <c r="D208" s="57">
        <v>4583391989</v>
      </c>
      <c r="E208" s="5">
        <v>799000</v>
      </c>
      <c r="F208" s="4">
        <f>ROUNDDOWN(E208/(1-F206),-1)</f>
        <v>799000</v>
      </c>
      <c r="G208" s="105">
        <f>ROUNDDOWN(IF(F208*G206&gt;H206,H206,F208*G206),-1)</f>
        <v>47940</v>
      </c>
      <c r="H208" s="105"/>
      <c r="J208" s="54">
        <f>F207*4%</f>
        <v>44378.400000000001</v>
      </c>
      <c r="R208" s="4">
        <v>523000</v>
      </c>
      <c r="X208" s="3">
        <f>G208*X206</f>
        <v>0</v>
      </c>
      <c r="Y208" s="3"/>
      <c r="Z208" s="3"/>
      <c r="AG208" s="4">
        <v>625000</v>
      </c>
    </row>
    <row r="209" spans="1:54" ht="27" customHeight="1" x14ac:dyDescent="0.3">
      <c r="A209" s="124" t="s">
        <v>34</v>
      </c>
      <c r="B209" s="135" t="s">
        <v>126</v>
      </c>
      <c r="C209" s="136"/>
      <c r="D209" s="136"/>
      <c r="E209" s="136"/>
      <c r="F209" s="136"/>
      <c r="G209" s="136"/>
      <c r="H209" s="136"/>
      <c r="I209" s="136"/>
      <c r="J209" s="136"/>
      <c r="K209" s="136"/>
      <c r="L209" s="136"/>
      <c r="M209" s="136"/>
      <c r="N209" s="136"/>
      <c r="O209" s="136"/>
      <c r="P209" s="136"/>
      <c r="Q209" s="136"/>
      <c r="R209" s="137"/>
      <c r="T209" s="130" t="s">
        <v>33</v>
      </c>
      <c r="U209" s="131"/>
      <c r="V209" s="131"/>
      <c r="W209" s="131"/>
      <c r="X209" s="131"/>
      <c r="Y209" s="131"/>
      <c r="Z209" s="131"/>
      <c r="AA209" s="131"/>
      <c r="AB209" s="131"/>
      <c r="AC209" s="131"/>
      <c r="AD209" s="131"/>
      <c r="AE209" s="131"/>
      <c r="AF209" s="131"/>
      <c r="AG209" s="131"/>
      <c r="AH209" s="132"/>
      <c r="AI209" s="37"/>
      <c r="AM209" s="130" t="s">
        <v>32</v>
      </c>
      <c r="AN209" s="131"/>
      <c r="AO209" s="131"/>
      <c r="AP209" s="131"/>
      <c r="AQ209" s="131"/>
      <c r="AR209" s="132"/>
      <c r="AT209" s="130" t="s">
        <v>31</v>
      </c>
      <c r="AU209" s="131"/>
      <c r="AV209" s="131"/>
      <c r="AW209" s="132"/>
      <c r="AY209" s="36" t="s">
        <v>36</v>
      </c>
      <c r="AZ209" s="48"/>
      <c r="BA209" s="52"/>
      <c r="BB209" s="36"/>
    </row>
    <row r="210" spans="1:54" ht="32.25" customHeight="1" x14ac:dyDescent="0.3">
      <c r="A210" s="125"/>
      <c r="B210" s="133" t="s">
        <v>30</v>
      </c>
      <c r="C210" s="133" t="s">
        <v>29</v>
      </c>
      <c r="D210" s="116" t="s">
        <v>28</v>
      </c>
      <c r="E210" s="116" t="s">
        <v>27</v>
      </c>
      <c r="F210" s="34" t="s">
        <v>26</v>
      </c>
      <c r="G210" s="122" t="s">
        <v>63</v>
      </c>
      <c r="H210" s="123"/>
      <c r="I210" s="122" t="s">
        <v>50</v>
      </c>
      <c r="J210" s="123"/>
      <c r="K210" s="122" t="s">
        <v>62</v>
      </c>
      <c r="L210" s="123"/>
      <c r="M210" s="122" t="s">
        <v>25</v>
      </c>
      <c r="N210" s="123"/>
      <c r="O210" s="122" t="s">
        <v>24</v>
      </c>
      <c r="P210" s="123"/>
      <c r="Q210" s="106" t="s">
        <v>23</v>
      </c>
      <c r="R210" s="106" t="s">
        <v>22</v>
      </c>
      <c r="S210" s="21"/>
      <c r="T210" s="34" t="s">
        <v>21</v>
      </c>
      <c r="U210" s="34" t="s">
        <v>20</v>
      </c>
      <c r="V210" s="34" t="s">
        <v>95</v>
      </c>
      <c r="W210" s="34" t="s">
        <v>19</v>
      </c>
      <c r="X210" s="34" t="s">
        <v>18</v>
      </c>
      <c r="Y210" s="34" t="s">
        <v>48</v>
      </c>
      <c r="Z210" s="34" t="s">
        <v>49</v>
      </c>
      <c r="AA210" s="34" t="s">
        <v>17</v>
      </c>
      <c r="AB210" s="106" t="s">
        <v>16</v>
      </c>
      <c r="AC210" s="106" t="s">
        <v>15</v>
      </c>
      <c r="AD210" s="106" t="s">
        <v>14</v>
      </c>
      <c r="AE210" s="106" t="s">
        <v>13</v>
      </c>
      <c r="AF210" s="106" t="s">
        <v>12</v>
      </c>
      <c r="AG210" s="116" t="s">
        <v>11</v>
      </c>
      <c r="AH210" s="118" t="s">
        <v>10</v>
      </c>
      <c r="AI210" s="120" t="s">
        <v>9</v>
      </c>
      <c r="AJ210" s="35">
        <f>(1-R212/F212)</f>
        <v>0.17991956016383159</v>
      </c>
      <c r="AK210" s="35">
        <f>1-(AD212+AM212)/F212</f>
        <v>0.18069691155307932</v>
      </c>
      <c r="AM210" s="106" t="s">
        <v>8</v>
      </c>
      <c r="AN210" s="106" t="s">
        <v>7</v>
      </c>
      <c r="AO210" s="106" t="s">
        <v>37</v>
      </c>
      <c r="AP210" s="106" t="s">
        <v>38</v>
      </c>
      <c r="AQ210" s="106" t="s">
        <v>6</v>
      </c>
      <c r="AR210" s="106" t="s">
        <v>5</v>
      </c>
      <c r="AT210" s="106" t="s">
        <v>4</v>
      </c>
      <c r="AU210" s="106" t="s">
        <v>3</v>
      </c>
      <c r="AV210" s="106" t="s">
        <v>2</v>
      </c>
      <c r="AW210" s="106" t="s">
        <v>1</v>
      </c>
      <c r="AY210" s="106"/>
      <c r="AZ210" s="108"/>
      <c r="BA210" s="52"/>
      <c r="BB210" s="106"/>
    </row>
    <row r="211" spans="1:54" ht="27" customHeight="1" x14ac:dyDescent="0.3">
      <c r="A211" s="126"/>
      <c r="B211" s="134"/>
      <c r="C211" s="134"/>
      <c r="D211" s="117"/>
      <c r="E211" s="117"/>
      <c r="F211" s="31">
        <v>0</v>
      </c>
      <c r="G211" s="33">
        <v>0.06</v>
      </c>
      <c r="H211" s="32">
        <v>1000000</v>
      </c>
      <c r="I211" s="31">
        <v>0</v>
      </c>
      <c r="J211" s="32">
        <v>0</v>
      </c>
      <c r="K211" s="31">
        <v>1</v>
      </c>
      <c r="L211" s="32">
        <v>130000</v>
      </c>
      <c r="M211" s="31">
        <v>0</v>
      </c>
      <c r="N211" s="32">
        <v>0</v>
      </c>
      <c r="O211" s="31">
        <v>0</v>
      </c>
      <c r="P211" s="32">
        <v>0</v>
      </c>
      <c r="Q211" s="107"/>
      <c r="R211" s="107"/>
      <c r="S211" s="21"/>
      <c r="T211" s="31">
        <f>IF(C212="노트북",7%,IF(C212="저장&amp;주변기기",9%,IF(C212="모니터",7%)))</f>
        <v>7.0000000000000007E-2</v>
      </c>
      <c r="U211" s="31">
        <v>0</v>
      </c>
      <c r="V211" s="31">
        <v>0</v>
      </c>
      <c r="W211" s="31">
        <f>IF(G211=0%,20%,0%)</f>
        <v>0</v>
      </c>
      <c r="X211" s="30">
        <v>0</v>
      </c>
      <c r="Y211" s="30">
        <v>1</v>
      </c>
      <c r="Z211" s="53">
        <v>0.92307600000000001</v>
      </c>
      <c r="AA211" s="29">
        <v>0.5</v>
      </c>
      <c r="AB211" s="107"/>
      <c r="AC211" s="107"/>
      <c r="AD211" s="107"/>
      <c r="AE211" s="107"/>
      <c r="AF211" s="107"/>
      <c r="AG211" s="117"/>
      <c r="AH211" s="119"/>
      <c r="AI211" s="121"/>
      <c r="AJ211" s="55" t="s">
        <v>52</v>
      </c>
      <c r="AK211" s="56">
        <f>AJ210-AK210</f>
        <v>-7.7735138924772684E-4</v>
      </c>
      <c r="AM211" s="107"/>
      <c r="AN211" s="107"/>
      <c r="AO211" s="107"/>
      <c r="AP211" s="107"/>
      <c r="AQ211" s="107"/>
      <c r="AR211" s="107"/>
      <c r="AS211" s="39"/>
      <c r="AT211" s="107"/>
      <c r="AU211" s="107"/>
      <c r="AV211" s="107"/>
      <c r="AW211" s="107"/>
      <c r="AY211" s="107"/>
      <c r="AZ211" s="109"/>
      <c r="BA211" s="52"/>
      <c r="BB211" s="107"/>
    </row>
    <row r="212" spans="1:54" ht="27" customHeight="1" x14ac:dyDescent="0.3">
      <c r="A212" s="51" t="s">
        <v>97</v>
      </c>
      <c r="B212" s="38" t="s">
        <v>35</v>
      </c>
      <c r="C212" s="27" t="s">
        <v>0</v>
      </c>
      <c r="D212" s="26">
        <v>4602770526</v>
      </c>
      <c r="E212" s="25">
        <v>1084040</v>
      </c>
      <c r="F212" s="24">
        <f>ROUNDDOWN(E212/(1-F211),-1)</f>
        <v>1084040</v>
      </c>
      <c r="G212" s="110">
        <f>ROUNDDOWN(IF(F212*G211&gt;H211,H211,F212*G211),-1)</f>
        <v>65040</v>
      </c>
      <c r="H212" s="111"/>
      <c r="I212" s="112">
        <f>ROUNDDOWN(IF(F212*I211&gt;J211,J211,F212*I211),-1)</f>
        <v>0</v>
      </c>
      <c r="J212" s="113"/>
      <c r="K212" s="112">
        <f>ROUNDDOWN(IF(F212*K211&gt;L211,L211,F212*K211),-1)</f>
        <v>130000</v>
      </c>
      <c r="L212" s="113"/>
      <c r="M212" s="110">
        <f>ROUNDDOWN(IF(Q212*M211&gt;N211,N211,Q212*M211),-1)</f>
        <v>0</v>
      </c>
      <c r="N212" s="111"/>
      <c r="O212" s="110">
        <f>ROUNDDOWN(IF(F212*O211&gt;P211,P211,F212*O211),-1)</f>
        <v>0</v>
      </c>
      <c r="P212" s="111"/>
      <c r="Q212" s="23">
        <f>F212-G212-I212-K212</f>
        <v>889000</v>
      </c>
      <c r="R212" s="22">
        <f>F212-G212-I212-K212-M212-O212</f>
        <v>889000</v>
      </c>
      <c r="S212" s="21"/>
      <c r="T212" s="20">
        <f>F212*T211</f>
        <v>75882.8</v>
      </c>
      <c r="U212" s="20">
        <f>F212*U211</f>
        <v>0</v>
      </c>
      <c r="V212" s="20">
        <f>(F212-I212)*V211</f>
        <v>0</v>
      </c>
      <c r="W212" s="19">
        <f>(F212*F211)*W211</f>
        <v>0</v>
      </c>
      <c r="X212" s="19">
        <f>G212*X211</f>
        <v>0</v>
      </c>
      <c r="Y212" s="19">
        <f>I212*Y211</f>
        <v>0</v>
      </c>
      <c r="Z212" s="19">
        <f>K212*Z211</f>
        <v>119999.88</v>
      </c>
      <c r="AA212" s="19">
        <f>M212*AA211</f>
        <v>0</v>
      </c>
      <c r="AB212" s="19">
        <v>0</v>
      </c>
      <c r="AC212" s="16">
        <v>6000</v>
      </c>
      <c r="AD212" s="18">
        <f>F212-T212-U212-V212-W212-AA212-X212-Y212-Z212-AB212</f>
        <v>888157.32</v>
      </c>
      <c r="AE212" s="18">
        <f>F212-T212-U212-V212-W212-X212-Y212-Z212-AA212-AB212-AC212</f>
        <v>882157.32</v>
      </c>
      <c r="AF212" s="17">
        <f>AE212-AG212</f>
        <v>266157.31999999995</v>
      </c>
      <c r="AG212" s="16">
        <v>616000</v>
      </c>
      <c r="AH212" s="15">
        <f>AF212/AG212</f>
        <v>0.43207357142857133</v>
      </c>
      <c r="AI212" s="14">
        <f>1-R212/(AG212-AM212-AN212-AO212)</f>
        <v>-0.44318181818181812</v>
      </c>
      <c r="AJ212" s="114">
        <f>(1-R212/F212)-(1-(AD212)/F212)</f>
        <v>-7.7735138924772684E-4</v>
      </c>
      <c r="AK212" s="115"/>
      <c r="AM212" s="13">
        <v>0</v>
      </c>
      <c r="AN212" s="12">
        <v>0</v>
      </c>
      <c r="AO212" s="12"/>
      <c r="AP212" s="12"/>
      <c r="AQ212" s="11">
        <f>AE212-(AG212-AM212-AN212-AO212-AP212)</f>
        <v>266157.31999999995</v>
      </c>
      <c r="AR212" s="8">
        <f>AQ212/AG212</f>
        <v>0.43207357142857133</v>
      </c>
      <c r="AT212" s="10">
        <v>0</v>
      </c>
      <c r="AU212" s="10">
        <v>0</v>
      </c>
      <c r="AV212" s="9">
        <f>AQ212-AT212-AU212</f>
        <v>266157.31999999995</v>
      </c>
      <c r="AW212" s="8">
        <f>AV212/AG212</f>
        <v>0.43207357142857133</v>
      </c>
      <c r="AY212" s="7"/>
      <c r="AZ212" s="50"/>
      <c r="BA212" s="52"/>
      <c r="BB212" s="7"/>
    </row>
    <row r="213" spans="1:54" ht="16.5" customHeight="1" x14ac:dyDescent="0.3">
      <c r="C213" s="57" t="s">
        <v>68</v>
      </c>
      <c r="D213" s="57">
        <v>4583391989</v>
      </c>
      <c r="E213" s="5">
        <v>799000</v>
      </c>
      <c r="F213" s="4">
        <f>ROUNDDOWN(E213/(1-F211),-1)</f>
        <v>799000</v>
      </c>
      <c r="G213" s="105">
        <f>ROUNDDOWN(IF(F213*G211&gt;H211,H211,F213*G211),-1)</f>
        <v>47940</v>
      </c>
      <c r="H213" s="105"/>
      <c r="J213" s="54">
        <f>F212*4%</f>
        <v>43361.599999999999</v>
      </c>
      <c r="R213" s="4">
        <v>523000</v>
      </c>
      <c r="X213" s="3">
        <f>G213*X211</f>
        <v>0</v>
      </c>
      <c r="Y213" s="3"/>
      <c r="Z213" s="3"/>
      <c r="AG213" s="4">
        <v>625000</v>
      </c>
    </row>
    <row r="214" spans="1:54" ht="16.5" customHeight="1" x14ac:dyDescent="0.3">
      <c r="C214" s="57"/>
      <c r="D214" s="57"/>
      <c r="E214" s="5"/>
      <c r="F214" s="4"/>
      <c r="G214" s="42"/>
      <c r="H214" s="42"/>
      <c r="J214" s="54"/>
      <c r="R214" s="4"/>
      <c r="X214" s="3"/>
      <c r="Y214" s="3"/>
      <c r="Z214" s="3"/>
      <c r="AG214" s="4"/>
    </row>
    <row r="216" spans="1:54" ht="27" customHeight="1" x14ac:dyDescent="0.3">
      <c r="A216" s="124" t="s">
        <v>34</v>
      </c>
      <c r="B216" s="127" t="s">
        <v>125</v>
      </c>
      <c r="C216" s="128"/>
      <c r="D216" s="128"/>
      <c r="E216" s="128"/>
      <c r="F216" s="128"/>
      <c r="G216" s="128"/>
      <c r="H216" s="128"/>
      <c r="I216" s="128"/>
      <c r="J216" s="128"/>
      <c r="K216" s="128"/>
      <c r="L216" s="128"/>
      <c r="M216" s="128"/>
      <c r="N216" s="128"/>
      <c r="O216" s="128"/>
      <c r="P216" s="128"/>
      <c r="Q216" s="128"/>
      <c r="R216" s="129"/>
      <c r="T216" s="130" t="s">
        <v>33</v>
      </c>
      <c r="U216" s="131"/>
      <c r="V216" s="131"/>
      <c r="W216" s="131"/>
      <c r="X216" s="131"/>
      <c r="Y216" s="131"/>
      <c r="Z216" s="131"/>
      <c r="AA216" s="131"/>
      <c r="AB216" s="131"/>
      <c r="AC216" s="131"/>
      <c r="AD216" s="131"/>
      <c r="AE216" s="131"/>
      <c r="AF216" s="131"/>
      <c r="AG216" s="131"/>
      <c r="AH216" s="132"/>
      <c r="AI216" s="37"/>
      <c r="AM216" s="130" t="s">
        <v>32</v>
      </c>
      <c r="AN216" s="131"/>
      <c r="AO216" s="131"/>
      <c r="AP216" s="131"/>
      <c r="AQ216" s="131"/>
      <c r="AR216" s="132"/>
      <c r="AT216" s="130" t="s">
        <v>31</v>
      </c>
      <c r="AU216" s="131"/>
      <c r="AV216" s="131"/>
      <c r="AW216" s="132"/>
      <c r="AY216" s="36" t="s">
        <v>36</v>
      </c>
      <c r="AZ216" s="48"/>
      <c r="BA216" s="52"/>
      <c r="BB216" s="36"/>
    </row>
    <row r="217" spans="1:54" ht="32.25" customHeight="1" x14ac:dyDescent="0.3">
      <c r="A217" s="125"/>
      <c r="B217" s="133" t="s">
        <v>30</v>
      </c>
      <c r="C217" s="133" t="s">
        <v>29</v>
      </c>
      <c r="D217" s="116" t="s">
        <v>28</v>
      </c>
      <c r="E217" s="116" t="s">
        <v>27</v>
      </c>
      <c r="F217" s="34" t="s">
        <v>26</v>
      </c>
      <c r="G217" s="122" t="s">
        <v>63</v>
      </c>
      <c r="H217" s="123"/>
      <c r="I217" s="122" t="s">
        <v>50</v>
      </c>
      <c r="J217" s="123"/>
      <c r="K217" s="122" t="s">
        <v>62</v>
      </c>
      <c r="L217" s="123"/>
      <c r="M217" s="122" t="s">
        <v>25</v>
      </c>
      <c r="N217" s="123"/>
      <c r="O217" s="122" t="s">
        <v>24</v>
      </c>
      <c r="P217" s="123"/>
      <c r="Q217" s="106" t="s">
        <v>23</v>
      </c>
      <c r="R217" s="106" t="s">
        <v>22</v>
      </c>
      <c r="S217" s="21"/>
      <c r="T217" s="34" t="s">
        <v>21</v>
      </c>
      <c r="U217" s="34" t="s">
        <v>20</v>
      </c>
      <c r="V217" s="34" t="s">
        <v>95</v>
      </c>
      <c r="W217" s="34" t="s">
        <v>19</v>
      </c>
      <c r="X217" s="34" t="s">
        <v>18</v>
      </c>
      <c r="Y217" s="34" t="s">
        <v>48</v>
      </c>
      <c r="Z217" s="34" t="s">
        <v>49</v>
      </c>
      <c r="AA217" s="34" t="s">
        <v>17</v>
      </c>
      <c r="AB217" s="106" t="s">
        <v>16</v>
      </c>
      <c r="AC217" s="106" t="s">
        <v>15</v>
      </c>
      <c r="AD217" s="106" t="s">
        <v>14</v>
      </c>
      <c r="AE217" s="106" t="s">
        <v>13</v>
      </c>
      <c r="AF217" s="106" t="s">
        <v>12</v>
      </c>
      <c r="AG217" s="116" t="s">
        <v>11</v>
      </c>
      <c r="AH217" s="118" t="s">
        <v>10</v>
      </c>
      <c r="AI217" s="120" t="s">
        <v>9</v>
      </c>
      <c r="AJ217" s="35">
        <f>(1-R219/F219)</f>
        <v>0.29659119496855346</v>
      </c>
      <c r="AK217" s="35">
        <f>1-(AD219+AM219)/F219</f>
        <v>0.26754072955974839</v>
      </c>
      <c r="AM217" s="106" t="s">
        <v>8</v>
      </c>
      <c r="AN217" s="106" t="s">
        <v>7</v>
      </c>
      <c r="AO217" s="106" t="s">
        <v>37</v>
      </c>
      <c r="AP217" s="106" t="s">
        <v>38</v>
      </c>
      <c r="AQ217" s="106" t="s">
        <v>6</v>
      </c>
      <c r="AR217" s="106" t="s">
        <v>5</v>
      </c>
      <c r="AT217" s="106" t="s">
        <v>4</v>
      </c>
      <c r="AU217" s="106" t="s">
        <v>3</v>
      </c>
      <c r="AV217" s="106" t="s">
        <v>2</v>
      </c>
      <c r="AW217" s="106" t="s">
        <v>1</v>
      </c>
      <c r="AY217" s="106"/>
      <c r="AZ217" s="108"/>
      <c r="BA217" s="52"/>
      <c r="BB217" s="106"/>
    </row>
    <row r="218" spans="1:54" ht="27" customHeight="1" x14ac:dyDescent="0.3">
      <c r="A218" s="126"/>
      <c r="B218" s="134"/>
      <c r="C218" s="134"/>
      <c r="D218" s="117"/>
      <c r="E218" s="117"/>
      <c r="F218" s="31">
        <v>0</v>
      </c>
      <c r="G218" s="33">
        <v>0.06</v>
      </c>
      <c r="H218" s="32">
        <v>1000000</v>
      </c>
      <c r="I218" s="31">
        <v>1</v>
      </c>
      <c r="J218" s="32">
        <v>16000</v>
      </c>
      <c r="K218" s="31">
        <v>1</v>
      </c>
      <c r="L218" s="32">
        <v>130000</v>
      </c>
      <c r="M218" s="31">
        <v>7.0000000000000007E-2</v>
      </c>
      <c r="N218" s="32">
        <v>70000</v>
      </c>
      <c r="O218" s="31">
        <v>0</v>
      </c>
      <c r="P218" s="32">
        <v>0</v>
      </c>
      <c r="Q218" s="107"/>
      <c r="R218" s="107"/>
      <c r="S218" s="21"/>
      <c r="T218" s="31">
        <f>IF(C219="노트북",7%,IF(C219="저장&amp;주변기기",9%,IF(C219="모니터",7%)))</f>
        <v>7.0000000000000007E-2</v>
      </c>
      <c r="U218" s="31">
        <v>0</v>
      </c>
      <c r="V218" s="31">
        <v>0</v>
      </c>
      <c r="W218" s="31">
        <f>IF(G218=0%,20%,0%)</f>
        <v>0</v>
      </c>
      <c r="X218" s="30">
        <v>0</v>
      </c>
      <c r="Y218" s="30">
        <v>1</v>
      </c>
      <c r="Z218" s="53">
        <v>0.92307600000000001</v>
      </c>
      <c r="AA218" s="29">
        <v>0.5</v>
      </c>
      <c r="AB218" s="107"/>
      <c r="AC218" s="107"/>
      <c r="AD218" s="107"/>
      <c r="AE218" s="107"/>
      <c r="AF218" s="107"/>
      <c r="AG218" s="117"/>
      <c r="AH218" s="119"/>
      <c r="AI218" s="121"/>
      <c r="AJ218" s="55" t="s">
        <v>52</v>
      </c>
      <c r="AK218" s="56">
        <f>AJ217-AK217</f>
        <v>2.9050465408805071E-2</v>
      </c>
      <c r="AM218" s="107"/>
      <c r="AN218" s="107"/>
      <c r="AO218" s="107"/>
      <c r="AP218" s="107"/>
      <c r="AQ218" s="107"/>
      <c r="AR218" s="107"/>
      <c r="AS218" s="39"/>
      <c r="AT218" s="107"/>
      <c r="AU218" s="107"/>
      <c r="AV218" s="107"/>
      <c r="AW218" s="107"/>
      <c r="AY218" s="107"/>
      <c r="AZ218" s="109"/>
      <c r="BA218" s="52"/>
      <c r="BB218" s="107"/>
    </row>
    <row r="219" spans="1:54" ht="27" customHeight="1" x14ac:dyDescent="0.3">
      <c r="A219" s="51" t="s">
        <v>57</v>
      </c>
      <c r="B219" s="38" t="s">
        <v>35</v>
      </c>
      <c r="C219" s="27" t="s">
        <v>0</v>
      </c>
      <c r="D219" s="26">
        <v>4538541227</v>
      </c>
      <c r="E219" s="25">
        <v>795000</v>
      </c>
      <c r="F219" s="24">
        <f>ROUNDDOWN(E219/(1-F218),-1)</f>
        <v>795000</v>
      </c>
      <c r="G219" s="110">
        <f>ROUNDDOWN(IF(F219*G218&gt;H218,H218,F219*G218),-1)</f>
        <v>47700</v>
      </c>
      <c r="H219" s="111"/>
      <c r="I219" s="112">
        <f>ROUNDDOWN(IF(F219*I218&gt;J218,J218,F219*I218),-1)</f>
        <v>16000</v>
      </c>
      <c r="J219" s="113"/>
      <c r="K219" s="112">
        <f>ROUNDDOWN(IF(F219*K218&gt;L218,L218,F219*K218),-1)</f>
        <v>130000</v>
      </c>
      <c r="L219" s="113"/>
      <c r="M219" s="110">
        <f>ROUNDDOWN(IF(Q219*M218&gt;N218,N218,Q219*M218),-1)</f>
        <v>42090</v>
      </c>
      <c r="N219" s="111"/>
      <c r="O219" s="110">
        <f>ROUNDDOWN(IF(F219*O218&gt;P218,P218,F219*O218),-1)</f>
        <v>0</v>
      </c>
      <c r="P219" s="111"/>
      <c r="Q219" s="23">
        <f>F219-G219-I219-K219</f>
        <v>601300</v>
      </c>
      <c r="R219" s="22">
        <f>F219-G219-I219-K219-M219-O219</f>
        <v>559210</v>
      </c>
      <c r="S219" s="21"/>
      <c r="T219" s="20">
        <f>F219*T218</f>
        <v>55650.000000000007</v>
      </c>
      <c r="U219" s="20">
        <f>F219*U218</f>
        <v>0</v>
      </c>
      <c r="V219" s="20">
        <f>(F219-I219)*V218</f>
        <v>0</v>
      </c>
      <c r="W219" s="19">
        <f>(F219*F218)*W218</f>
        <v>0</v>
      </c>
      <c r="X219" s="19">
        <f>G219*X218</f>
        <v>0</v>
      </c>
      <c r="Y219" s="19">
        <f>I219*Y218</f>
        <v>16000</v>
      </c>
      <c r="Z219" s="19">
        <f>K219*Z218</f>
        <v>119999.88</v>
      </c>
      <c r="AA219" s="19">
        <f>M219*AA218</f>
        <v>21045</v>
      </c>
      <c r="AB219" s="19">
        <v>0</v>
      </c>
      <c r="AC219" s="16">
        <v>6000</v>
      </c>
      <c r="AD219" s="18">
        <f>F219-T219-U219-V219-W219-AA219-X219-Y219-Z219-AB219</f>
        <v>582305.12</v>
      </c>
      <c r="AE219" s="18">
        <f>F219-T219-U219-V219-W219-X219-Y219-Z219-AA219-AB219-AC219</f>
        <v>576305.12</v>
      </c>
      <c r="AF219" s="17">
        <f>AE219-AG219</f>
        <v>51305.119999999995</v>
      </c>
      <c r="AG219" s="16">
        <v>525000</v>
      </c>
      <c r="AH219" s="15">
        <f>AF219/AG219</f>
        <v>9.772403809523808E-2</v>
      </c>
      <c r="AI219" s="14">
        <f>1-R219/(AG219-AM219-AN219-AO219)</f>
        <v>-6.5161904761904754E-2</v>
      </c>
      <c r="AJ219" s="114">
        <f>(1-R219/F219)-(1-(AD219)/F219)</f>
        <v>2.9050465408805071E-2</v>
      </c>
      <c r="AK219" s="115"/>
      <c r="AM219" s="13">
        <v>0</v>
      </c>
      <c r="AN219" s="12"/>
      <c r="AO219" s="12"/>
      <c r="AP219" s="12"/>
      <c r="AQ219" s="11">
        <f>AE219-(AG219-AM219-AN219-AO219-AP219)</f>
        <v>51305.119999999995</v>
      </c>
      <c r="AR219" s="8">
        <f>AQ219/AG219</f>
        <v>9.772403809523808E-2</v>
      </c>
      <c r="AT219" s="10">
        <v>0</v>
      </c>
      <c r="AU219" s="10">
        <v>0</v>
      </c>
      <c r="AV219" s="9">
        <f>AQ219-AT219-AU219</f>
        <v>51305.119999999995</v>
      </c>
      <c r="AW219" s="8">
        <f>AV219/AG219</f>
        <v>9.772403809523808E-2</v>
      </c>
      <c r="AY219" s="7"/>
      <c r="AZ219" s="50"/>
      <c r="BA219" s="52"/>
      <c r="BB219" s="7"/>
    </row>
    <row r="220" spans="1:54" ht="16.5" customHeight="1" x14ac:dyDescent="0.3">
      <c r="C220" s="57" t="s">
        <v>68</v>
      </c>
      <c r="D220" s="57">
        <v>4583400092</v>
      </c>
      <c r="E220" s="5">
        <v>649000</v>
      </c>
      <c r="F220" s="4">
        <f>ROUNDDOWN(E220/(1-F218),-1)</f>
        <v>649000</v>
      </c>
      <c r="G220" s="105">
        <f>ROUNDDOWN(IF(F220*G218&gt;H218,H218,F220*G218),-1)</f>
        <v>38940</v>
      </c>
      <c r="H220" s="105"/>
      <c r="J220" s="54">
        <f>F219*4%</f>
        <v>31800</v>
      </c>
      <c r="R220" s="4">
        <v>539550</v>
      </c>
      <c r="X220" s="3">
        <f>G220*X218</f>
        <v>0</v>
      </c>
      <c r="Y220" s="3"/>
      <c r="Z220" s="3"/>
    </row>
    <row r="221" spans="1:54" ht="27" customHeight="1" x14ac:dyDescent="0.3">
      <c r="A221" s="124" t="s">
        <v>34</v>
      </c>
      <c r="B221" s="135" t="s">
        <v>126</v>
      </c>
      <c r="C221" s="136"/>
      <c r="D221" s="136"/>
      <c r="E221" s="136"/>
      <c r="F221" s="136"/>
      <c r="G221" s="136"/>
      <c r="H221" s="136"/>
      <c r="I221" s="136"/>
      <c r="J221" s="136"/>
      <c r="K221" s="136"/>
      <c r="L221" s="136"/>
      <c r="M221" s="136"/>
      <c r="N221" s="136"/>
      <c r="O221" s="136"/>
      <c r="P221" s="136"/>
      <c r="Q221" s="136"/>
      <c r="R221" s="137"/>
      <c r="T221" s="130" t="s">
        <v>33</v>
      </c>
      <c r="U221" s="131"/>
      <c r="V221" s="131"/>
      <c r="W221" s="131"/>
      <c r="X221" s="131"/>
      <c r="Y221" s="131"/>
      <c r="Z221" s="131"/>
      <c r="AA221" s="131"/>
      <c r="AB221" s="131"/>
      <c r="AC221" s="131"/>
      <c r="AD221" s="131"/>
      <c r="AE221" s="131"/>
      <c r="AF221" s="131"/>
      <c r="AG221" s="131"/>
      <c r="AH221" s="132"/>
      <c r="AI221" s="37"/>
      <c r="AM221" s="130" t="s">
        <v>32</v>
      </c>
      <c r="AN221" s="131"/>
      <c r="AO221" s="131"/>
      <c r="AP221" s="131"/>
      <c r="AQ221" s="131"/>
      <c r="AR221" s="132"/>
      <c r="AT221" s="130" t="s">
        <v>31</v>
      </c>
      <c r="AU221" s="131"/>
      <c r="AV221" s="131"/>
      <c r="AW221" s="132"/>
      <c r="AY221" s="36" t="s">
        <v>36</v>
      </c>
      <c r="AZ221" s="48"/>
      <c r="BA221" s="52"/>
      <c r="BB221" s="36"/>
    </row>
    <row r="222" spans="1:54" ht="32.25" customHeight="1" x14ac:dyDescent="0.3">
      <c r="A222" s="125"/>
      <c r="B222" s="133" t="s">
        <v>30</v>
      </c>
      <c r="C222" s="133" t="s">
        <v>29</v>
      </c>
      <c r="D222" s="116" t="s">
        <v>28</v>
      </c>
      <c r="E222" s="116" t="s">
        <v>27</v>
      </c>
      <c r="F222" s="34" t="s">
        <v>26</v>
      </c>
      <c r="G222" s="122" t="s">
        <v>63</v>
      </c>
      <c r="H222" s="123"/>
      <c r="I222" s="122" t="s">
        <v>50</v>
      </c>
      <c r="J222" s="123"/>
      <c r="K222" s="122" t="s">
        <v>62</v>
      </c>
      <c r="L222" s="123"/>
      <c r="M222" s="122" t="s">
        <v>25</v>
      </c>
      <c r="N222" s="123"/>
      <c r="O222" s="122" t="s">
        <v>24</v>
      </c>
      <c r="P222" s="123"/>
      <c r="Q222" s="106" t="s">
        <v>23</v>
      </c>
      <c r="R222" s="106" t="s">
        <v>22</v>
      </c>
      <c r="S222" s="21"/>
      <c r="T222" s="34" t="s">
        <v>21</v>
      </c>
      <c r="U222" s="34" t="s">
        <v>20</v>
      </c>
      <c r="V222" s="34" t="s">
        <v>95</v>
      </c>
      <c r="W222" s="34" t="s">
        <v>19</v>
      </c>
      <c r="X222" s="34" t="s">
        <v>18</v>
      </c>
      <c r="Y222" s="34" t="s">
        <v>48</v>
      </c>
      <c r="Z222" s="34" t="s">
        <v>49</v>
      </c>
      <c r="AA222" s="34" t="s">
        <v>17</v>
      </c>
      <c r="AB222" s="106" t="s">
        <v>16</v>
      </c>
      <c r="AC222" s="106" t="s">
        <v>15</v>
      </c>
      <c r="AD222" s="106" t="s">
        <v>14</v>
      </c>
      <c r="AE222" s="106" t="s">
        <v>13</v>
      </c>
      <c r="AF222" s="106" t="s">
        <v>12</v>
      </c>
      <c r="AG222" s="116" t="s">
        <v>11</v>
      </c>
      <c r="AH222" s="118" t="s">
        <v>10</v>
      </c>
      <c r="AI222" s="120" t="s">
        <v>9</v>
      </c>
      <c r="AJ222" s="35">
        <f>(1-R224/F224)</f>
        <v>0.22762497904658752</v>
      </c>
      <c r="AK222" s="35">
        <f>1-(AD224+AM224)/F224</f>
        <v>0.22473273761169776</v>
      </c>
      <c r="AM222" s="106" t="s">
        <v>8</v>
      </c>
      <c r="AN222" s="106" t="s">
        <v>7</v>
      </c>
      <c r="AO222" s="106" t="s">
        <v>37</v>
      </c>
      <c r="AP222" s="106" t="s">
        <v>38</v>
      </c>
      <c r="AQ222" s="106" t="s">
        <v>6</v>
      </c>
      <c r="AR222" s="106" t="s">
        <v>5</v>
      </c>
      <c r="AT222" s="106" t="s">
        <v>4</v>
      </c>
      <c r="AU222" s="106" t="s">
        <v>3</v>
      </c>
      <c r="AV222" s="106" t="s">
        <v>2</v>
      </c>
      <c r="AW222" s="106" t="s">
        <v>1</v>
      </c>
      <c r="AY222" s="106"/>
      <c r="AZ222" s="108"/>
      <c r="BA222" s="52"/>
      <c r="BB222" s="106"/>
    </row>
    <row r="223" spans="1:54" ht="27" customHeight="1" x14ac:dyDescent="0.3">
      <c r="A223" s="126"/>
      <c r="B223" s="134"/>
      <c r="C223" s="134"/>
      <c r="D223" s="117"/>
      <c r="E223" s="117"/>
      <c r="F223" s="31">
        <v>0</v>
      </c>
      <c r="G223" s="33">
        <v>0.06</v>
      </c>
      <c r="H223" s="32">
        <v>1000000</v>
      </c>
      <c r="I223" s="31">
        <v>0</v>
      </c>
      <c r="J223" s="32">
        <v>0</v>
      </c>
      <c r="K223" s="31">
        <v>1</v>
      </c>
      <c r="L223" s="32">
        <v>130000</v>
      </c>
      <c r="M223" s="31">
        <v>0</v>
      </c>
      <c r="N223" s="32">
        <v>0</v>
      </c>
      <c r="O223" s="31">
        <v>0</v>
      </c>
      <c r="P223" s="32">
        <v>0</v>
      </c>
      <c r="Q223" s="107"/>
      <c r="R223" s="107"/>
      <c r="S223" s="21"/>
      <c r="T223" s="31">
        <f>IF(C224="노트북",7%,IF(C224="저장&amp;주변기기",9%,IF(C224="모니터",7%)))</f>
        <v>7.0000000000000007E-2</v>
      </c>
      <c r="U223" s="31">
        <v>0</v>
      </c>
      <c r="V223" s="31">
        <v>0</v>
      </c>
      <c r="W223" s="31">
        <f>IF(G223=0%,20%,0%)</f>
        <v>0</v>
      </c>
      <c r="X223" s="30">
        <v>0</v>
      </c>
      <c r="Y223" s="30">
        <v>1</v>
      </c>
      <c r="Z223" s="53">
        <v>0.92307600000000001</v>
      </c>
      <c r="AA223" s="29">
        <v>0.5</v>
      </c>
      <c r="AB223" s="107"/>
      <c r="AC223" s="107"/>
      <c r="AD223" s="107"/>
      <c r="AE223" s="107"/>
      <c r="AF223" s="107"/>
      <c r="AG223" s="117"/>
      <c r="AH223" s="119"/>
      <c r="AI223" s="121"/>
      <c r="AJ223" s="55" t="s">
        <v>52</v>
      </c>
      <c r="AK223" s="56">
        <f>AJ222-AK222</f>
        <v>2.8922414348897529E-3</v>
      </c>
      <c r="AM223" s="107"/>
      <c r="AN223" s="107"/>
      <c r="AO223" s="107"/>
      <c r="AP223" s="107"/>
      <c r="AQ223" s="107"/>
      <c r="AR223" s="107"/>
      <c r="AS223" s="39"/>
      <c r="AT223" s="107"/>
      <c r="AU223" s="107"/>
      <c r="AV223" s="107"/>
      <c r="AW223" s="107"/>
      <c r="AY223" s="107"/>
      <c r="AZ223" s="109"/>
      <c r="BA223" s="52"/>
      <c r="BB223" s="107"/>
    </row>
    <row r="224" spans="1:54" ht="27" customHeight="1" x14ac:dyDescent="0.3">
      <c r="A224" s="51" t="s">
        <v>57</v>
      </c>
      <c r="B224" s="38" t="s">
        <v>35</v>
      </c>
      <c r="C224" s="27" t="s">
        <v>0</v>
      </c>
      <c r="D224" s="26">
        <v>4538541227</v>
      </c>
      <c r="E224" s="25">
        <v>775530</v>
      </c>
      <c r="F224" s="24">
        <f>ROUNDDOWN(E224/(1-F223),-1)</f>
        <v>775530</v>
      </c>
      <c r="G224" s="110">
        <f>ROUNDDOWN(IF(F224*G223&gt;H223,H223,F224*G223),-1)</f>
        <v>46530</v>
      </c>
      <c r="H224" s="111"/>
      <c r="I224" s="112">
        <f>ROUNDDOWN(IF(F224*I223&gt;J223,J223,F224*I223),-1)</f>
        <v>0</v>
      </c>
      <c r="J224" s="113"/>
      <c r="K224" s="112">
        <f>ROUNDDOWN(IF(F224*K223&gt;L223,L223,F224*K223),-1)</f>
        <v>130000</v>
      </c>
      <c r="L224" s="113"/>
      <c r="M224" s="110">
        <f>ROUNDDOWN(IF(Q224*M223&gt;N223,N223,Q224*M223),-1)</f>
        <v>0</v>
      </c>
      <c r="N224" s="111"/>
      <c r="O224" s="110">
        <f>ROUNDDOWN(IF(F224*O223&gt;P223,P223,F224*O223),-1)</f>
        <v>0</v>
      </c>
      <c r="P224" s="111"/>
      <c r="Q224" s="23">
        <f>F224-G224-I224-K224</f>
        <v>599000</v>
      </c>
      <c r="R224" s="22">
        <f>F224-G224-I224-K224-M224-O224</f>
        <v>599000</v>
      </c>
      <c r="S224" s="21"/>
      <c r="T224" s="20">
        <f>F224*T223</f>
        <v>54287.100000000006</v>
      </c>
      <c r="U224" s="20">
        <f>F224*U223</f>
        <v>0</v>
      </c>
      <c r="V224" s="20">
        <f>(F224-I224)*V223</f>
        <v>0</v>
      </c>
      <c r="W224" s="19">
        <f>(F224*F223)*W223</f>
        <v>0</v>
      </c>
      <c r="X224" s="19">
        <f>G224*X223</f>
        <v>0</v>
      </c>
      <c r="Y224" s="19">
        <f>I224*Y223</f>
        <v>0</v>
      </c>
      <c r="Z224" s="19">
        <f>K224*Z223</f>
        <v>119999.88</v>
      </c>
      <c r="AA224" s="19">
        <f>M224*AA223</f>
        <v>0</v>
      </c>
      <c r="AB224" s="19">
        <v>0</v>
      </c>
      <c r="AC224" s="16">
        <v>6000</v>
      </c>
      <c r="AD224" s="18">
        <f>F224-T224-U224-V224-W224-AA224-X224-Y224-Z224-AB224</f>
        <v>601243.02</v>
      </c>
      <c r="AE224" s="18">
        <f>F224-T224-U224-V224-W224-X224-Y224-Z224-AA224-AB224-AC224</f>
        <v>595243.02</v>
      </c>
      <c r="AF224" s="17">
        <f>AE224-AG224</f>
        <v>70243.020000000019</v>
      </c>
      <c r="AG224" s="16">
        <v>525000</v>
      </c>
      <c r="AH224" s="15">
        <f>AF224/AG224</f>
        <v>0.13379622857142862</v>
      </c>
      <c r="AI224" s="14">
        <f>1-R224/(AG224-AM224-AN224-AO224)</f>
        <v>-0.14095238095238094</v>
      </c>
      <c r="AJ224" s="114">
        <f>(1-R224/F224)-(1-(AD224)/F224)</f>
        <v>2.8922414348897529E-3</v>
      </c>
      <c r="AK224" s="115"/>
      <c r="AM224" s="13">
        <v>0</v>
      </c>
      <c r="AN224" s="12"/>
      <c r="AO224" s="12"/>
      <c r="AP224" s="12"/>
      <c r="AQ224" s="11">
        <f>AE224-(AG224-AM224-AN224-AO224-AP224)</f>
        <v>70243.020000000019</v>
      </c>
      <c r="AR224" s="8">
        <f>AQ224/AG224</f>
        <v>0.13379622857142862</v>
      </c>
      <c r="AT224" s="10">
        <v>0</v>
      </c>
      <c r="AU224" s="10">
        <v>0</v>
      </c>
      <c r="AV224" s="9">
        <f>AQ224-AT224-AU224</f>
        <v>70243.020000000019</v>
      </c>
      <c r="AW224" s="8">
        <f>AV224/AG224</f>
        <v>0.13379622857142862</v>
      </c>
      <c r="AY224" s="7"/>
      <c r="AZ224" s="50"/>
      <c r="BA224" s="52"/>
      <c r="BB224" s="7"/>
    </row>
    <row r="225" spans="1:54" ht="16.5" customHeight="1" x14ac:dyDescent="0.3">
      <c r="C225" s="57" t="s">
        <v>68</v>
      </c>
      <c r="D225" s="57">
        <v>4583400092</v>
      </c>
      <c r="E225" s="5">
        <v>649000</v>
      </c>
      <c r="F225" s="4">
        <f>ROUNDDOWN(E225/(1-F223),-1)</f>
        <v>649000</v>
      </c>
      <c r="G225" s="105">
        <f>ROUNDDOWN(IF(F225*G223&gt;H223,H223,F225*G223),-1)</f>
        <v>38940</v>
      </c>
      <c r="H225" s="105"/>
      <c r="J225" s="54">
        <f>F224*4%</f>
        <v>31021.200000000001</v>
      </c>
      <c r="R225" s="4">
        <v>539550</v>
      </c>
      <c r="X225" s="3">
        <f>G225*X223</f>
        <v>0</v>
      </c>
      <c r="Y225" s="3"/>
      <c r="Z225" s="3"/>
    </row>
    <row r="228" spans="1:54" ht="27" customHeight="1" x14ac:dyDescent="0.3">
      <c r="A228" s="124" t="s">
        <v>34</v>
      </c>
      <c r="B228" s="127" t="s">
        <v>125</v>
      </c>
      <c r="C228" s="128"/>
      <c r="D228" s="128"/>
      <c r="E228" s="128"/>
      <c r="F228" s="128"/>
      <c r="G228" s="128"/>
      <c r="H228" s="128"/>
      <c r="I228" s="128"/>
      <c r="J228" s="128"/>
      <c r="K228" s="128"/>
      <c r="L228" s="128"/>
      <c r="M228" s="128"/>
      <c r="N228" s="128"/>
      <c r="O228" s="128"/>
      <c r="P228" s="128"/>
      <c r="Q228" s="128"/>
      <c r="R228" s="129"/>
      <c r="T228" s="130" t="s">
        <v>33</v>
      </c>
      <c r="U228" s="131"/>
      <c r="V228" s="131"/>
      <c r="W228" s="131"/>
      <c r="X228" s="131"/>
      <c r="Y228" s="131"/>
      <c r="Z228" s="131"/>
      <c r="AA228" s="131"/>
      <c r="AB228" s="131"/>
      <c r="AC228" s="131"/>
      <c r="AD228" s="131"/>
      <c r="AE228" s="131"/>
      <c r="AF228" s="131"/>
      <c r="AG228" s="131"/>
      <c r="AH228" s="132"/>
      <c r="AI228" s="37"/>
      <c r="AM228" s="130" t="s">
        <v>32</v>
      </c>
      <c r="AN228" s="131"/>
      <c r="AO228" s="131"/>
      <c r="AP228" s="131"/>
      <c r="AQ228" s="131"/>
      <c r="AR228" s="132"/>
      <c r="AT228" s="130" t="s">
        <v>31</v>
      </c>
      <c r="AU228" s="131"/>
      <c r="AV228" s="131"/>
      <c r="AW228" s="132"/>
      <c r="AY228" s="36" t="s">
        <v>36</v>
      </c>
      <c r="AZ228" s="48"/>
      <c r="BA228" s="52"/>
      <c r="BB228" s="36"/>
    </row>
    <row r="229" spans="1:54" ht="32.25" customHeight="1" x14ac:dyDescent="0.3">
      <c r="A229" s="125"/>
      <c r="B229" s="133" t="s">
        <v>30</v>
      </c>
      <c r="C229" s="133" t="s">
        <v>29</v>
      </c>
      <c r="D229" s="116" t="s">
        <v>28</v>
      </c>
      <c r="E229" s="116" t="s">
        <v>27</v>
      </c>
      <c r="F229" s="34" t="s">
        <v>26</v>
      </c>
      <c r="G229" s="122" t="s">
        <v>63</v>
      </c>
      <c r="H229" s="123"/>
      <c r="I229" s="122" t="s">
        <v>50</v>
      </c>
      <c r="J229" s="123"/>
      <c r="K229" s="122" t="s">
        <v>62</v>
      </c>
      <c r="L229" s="123"/>
      <c r="M229" s="122" t="s">
        <v>25</v>
      </c>
      <c r="N229" s="123"/>
      <c r="O229" s="122" t="s">
        <v>24</v>
      </c>
      <c r="P229" s="123"/>
      <c r="Q229" s="106" t="s">
        <v>23</v>
      </c>
      <c r="R229" s="106" t="s">
        <v>22</v>
      </c>
      <c r="S229" s="21"/>
      <c r="T229" s="34" t="s">
        <v>21</v>
      </c>
      <c r="U229" s="34" t="s">
        <v>20</v>
      </c>
      <c r="V229" s="34" t="s">
        <v>95</v>
      </c>
      <c r="W229" s="34" t="s">
        <v>19</v>
      </c>
      <c r="X229" s="34" t="s">
        <v>18</v>
      </c>
      <c r="Y229" s="34" t="s">
        <v>48</v>
      </c>
      <c r="Z229" s="34" t="s">
        <v>49</v>
      </c>
      <c r="AA229" s="34" t="s">
        <v>17</v>
      </c>
      <c r="AB229" s="106" t="s">
        <v>16</v>
      </c>
      <c r="AC229" s="106" t="s">
        <v>15</v>
      </c>
      <c r="AD229" s="106" t="s">
        <v>14</v>
      </c>
      <c r="AE229" s="106" t="s">
        <v>13</v>
      </c>
      <c r="AF229" s="106" t="s">
        <v>12</v>
      </c>
      <c r="AG229" s="116" t="s">
        <v>11</v>
      </c>
      <c r="AH229" s="118" t="s">
        <v>10</v>
      </c>
      <c r="AI229" s="120" t="s">
        <v>9</v>
      </c>
      <c r="AJ229" s="35">
        <f>(1-R231/F231)</f>
        <v>0.22262482168330955</v>
      </c>
      <c r="AK229" s="35">
        <f>1-(AD231+AM231)/F231</f>
        <v>0.20052773181169747</v>
      </c>
      <c r="AM229" s="106" t="s">
        <v>71</v>
      </c>
      <c r="AN229" s="106" t="s">
        <v>7</v>
      </c>
      <c r="AO229" s="106" t="s">
        <v>37</v>
      </c>
      <c r="AP229" s="106" t="s">
        <v>38</v>
      </c>
      <c r="AQ229" s="106" t="s">
        <v>6</v>
      </c>
      <c r="AR229" s="106" t="s">
        <v>5</v>
      </c>
      <c r="AT229" s="106" t="s">
        <v>4</v>
      </c>
      <c r="AU229" s="106" t="s">
        <v>3</v>
      </c>
      <c r="AV229" s="106" t="s">
        <v>2</v>
      </c>
      <c r="AW229" s="106" t="s">
        <v>1</v>
      </c>
      <c r="AY229" s="106"/>
      <c r="AZ229" s="108"/>
      <c r="BA229" s="52"/>
      <c r="BB229" s="106"/>
    </row>
    <row r="230" spans="1:54" ht="27" customHeight="1" x14ac:dyDescent="0.3">
      <c r="A230" s="126"/>
      <c r="B230" s="134"/>
      <c r="C230" s="134"/>
      <c r="D230" s="117"/>
      <c r="E230" s="117"/>
      <c r="F230" s="31">
        <v>0</v>
      </c>
      <c r="G230" s="33">
        <v>0.06</v>
      </c>
      <c r="H230" s="32">
        <v>1000000</v>
      </c>
      <c r="I230" s="31">
        <v>1</v>
      </c>
      <c r="J230" s="32">
        <v>28000</v>
      </c>
      <c r="K230" s="31">
        <v>1</v>
      </c>
      <c r="L230" s="32">
        <v>130000</v>
      </c>
      <c r="M230" s="31">
        <v>7.0000000000000007E-2</v>
      </c>
      <c r="N230" s="32">
        <v>70000</v>
      </c>
      <c r="O230" s="31">
        <v>0</v>
      </c>
      <c r="P230" s="32">
        <v>0</v>
      </c>
      <c r="Q230" s="107"/>
      <c r="R230" s="107"/>
      <c r="S230" s="21"/>
      <c r="T230" s="31">
        <f>IF(C231="노트북",7%,IF(C231="저장&amp;주변기기",9%,IF(C231="모니터",7%)))</f>
        <v>7.0000000000000007E-2</v>
      </c>
      <c r="U230" s="31">
        <v>0</v>
      </c>
      <c r="V230" s="31">
        <v>0</v>
      </c>
      <c r="W230" s="31">
        <f>IF(G230=0%,20%,0%)</f>
        <v>0</v>
      </c>
      <c r="X230" s="30">
        <v>0</v>
      </c>
      <c r="Y230" s="30">
        <v>1</v>
      </c>
      <c r="Z230" s="53">
        <v>0.92307600000000001</v>
      </c>
      <c r="AA230" s="29">
        <v>0.5</v>
      </c>
      <c r="AB230" s="107"/>
      <c r="AC230" s="107"/>
      <c r="AD230" s="107"/>
      <c r="AE230" s="107"/>
      <c r="AF230" s="107"/>
      <c r="AG230" s="117"/>
      <c r="AH230" s="119"/>
      <c r="AI230" s="121"/>
      <c r="AJ230" s="55" t="s">
        <v>52</v>
      </c>
      <c r="AK230" s="56">
        <f>AJ229-AK229</f>
        <v>2.2097089871612074E-2</v>
      </c>
      <c r="AM230" s="107"/>
      <c r="AN230" s="107"/>
      <c r="AO230" s="107"/>
      <c r="AP230" s="107"/>
      <c r="AQ230" s="107"/>
      <c r="AR230" s="107"/>
      <c r="AS230" s="39"/>
      <c r="AT230" s="107"/>
      <c r="AU230" s="107"/>
      <c r="AV230" s="107"/>
      <c r="AW230" s="107"/>
      <c r="AY230" s="107"/>
      <c r="AZ230" s="109"/>
      <c r="BA230" s="52"/>
      <c r="BB230" s="107"/>
    </row>
    <row r="231" spans="1:54" ht="27" customHeight="1" x14ac:dyDescent="0.3">
      <c r="A231" s="51" t="s">
        <v>60</v>
      </c>
      <c r="B231" s="38" t="s">
        <v>35</v>
      </c>
      <c r="C231" s="27" t="s">
        <v>0</v>
      </c>
      <c r="D231" s="26">
        <v>4504312202</v>
      </c>
      <c r="E231" s="25">
        <v>1402000</v>
      </c>
      <c r="F231" s="24">
        <f>ROUNDDOWN(E231/(1-F230),-1)</f>
        <v>1402000</v>
      </c>
      <c r="G231" s="110">
        <f>ROUNDDOWN(IF(F231*G230&gt;H230,H230,F231*G230),-1)</f>
        <v>84120</v>
      </c>
      <c r="H231" s="111"/>
      <c r="I231" s="112">
        <f>ROUNDDOWN(IF(F231*I230&gt;J230,J230,F231*I230),-1)</f>
        <v>28000</v>
      </c>
      <c r="J231" s="113"/>
      <c r="K231" s="112">
        <f>ROUNDDOWN(IF(F231*K230&gt;L230,L230,F231*K230),-1)</f>
        <v>130000</v>
      </c>
      <c r="L231" s="113"/>
      <c r="M231" s="110">
        <f>ROUNDDOWN(IF(Q231*M230&gt;N230,N230,Q231*M230),-1)</f>
        <v>70000</v>
      </c>
      <c r="N231" s="111"/>
      <c r="O231" s="110">
        <f>ROUNDDOWN(IF(F231*O230&gt;P230,P230,F231*O230),-1)</f>
        <v>0</v>
      </c>
      <c r="P231" s="111"/>
      <c r="Q231" s="23">
        <f>F231-G231-I231-K231</f>
        <v>1159880</v>
      </c>
      <c r="R231" s="22">
        <f>F231-G231-I231-K231-M231-O231</f>
        <v>1089880</v>
      </c>
      <c r="S231" s="21"/>
      <c r="T231" s="20">
        <f>F231*T230</f>
        <v>98140.000000000015</v>
      </c>
      <c r="U231" s="20">
        <f>F231*U230</f>
        <v>0</v>
      </c>
      <c r="V231" s="20">
        <f>(F231-I231)*V230</f>
        <v>0</v>
      </c>
      <c r="W231" s="19">
        <f>(F231*F230)*W230</f>
        <v>0</v>
      </c>
      <c r="X231" s="19">
        <f>G231*X230</f>
        <v>0</v>
      </c>
      <c r="Y231" s="19">
        <f>I231*Y230</f>
        <v>28000</v>
      </c>
      <c r="Z231" s="19">
        <f>K231*Z230</f>
        <v>119999.88</v>
      </c>
      <c r="AA231" s="19">
        <f>M231*AA230</f>
        <v>35000</v>
      </c>
      <c r="AB231" s="19">
        <v>0</v>
      </c>
      <c r="AC231" s="16">
        <v>6000</v>
      </c>
      <c r="AD231" s="18">
        <f>F231-T231-U231-V231-W231-AA231-X231-Y231-Z231-AB231</f>
        <v>1120860.1200000001</v>
      </c>
      <c r="AE231" s="18">
        <f>F231-T231-U231-V231-W231-X231-Y231-Z231-AA231-AB231-AC231</f>
        <v>1114860.1200000001</v>
      </c>
      <c r="AF231" s="17">
        <f>AE231-AG231</f>
        <v>171860.12000000011</v>
      </c>
      <c r="AG231" s="16">
        <v>943000</v>
      </c>
      <c r="AH231" s="15">
        <f>AF231/AG231</f>
        <v>0.1822482714740192</v>
      </c>
      <c r="AI231" s="14">
        <f>1-R231/(AG231-AM231-AN231-AO231)</f>
        <v>-0.15575821845174964</v>
      </c>
      <c r="AJ231" s="114">
        <f>(1-R231/F231)-(1-(AD231)/F231)</f>
        <v>2.2097089871612074E-2</v>
      </c>
      <c r="AK231" s="115"/>
      <c r="AM231" s="13"/>
      <c r="AN231" s="12"/>
      <c r="AO231" s="12"/>
      <c r="AP231" s="12"/>
      <c r="AQ231" s="11">
        <f>AE231-(AG231-AM231-AN231-AO231-AP231)</f>
        <v>171860.12000000011</v>
      </c>
      <c r="AR231" s="8">
        <f>AQ231/AG231</f>
        <v>0.1822482714740192</v>
      </c>
      <c r="AT231" s="10">
        <v>0</v>
      </c>
      <c r="AU231" s="10">
        <v>0</v>
      </c>
      <c r="AV231" s="9">
        <f>AQ231-AT231-AU231</f>
        <v>171860.12000000011</v>
      </c>
      <c r="AW231" s="8">
        <f>AV231/AG231</f>
        <v>0.1822482714740192</v>
      </c>
      <c r="AY231" s="7"/>
      <c r="AZ231" s="50"/>
      <c r="BA231" s="52"/>
      <c r="BB231" s="7"/>
    </row>
    <row r="232" spans="1:54" ht="16.5" customHeight="1" x14ac:dyDescent="0.3">
      <c r="A232" s="21" t="s">
        <v>118</v>
      </c>
      <c r="E232" s="5">
        <v>849000</v>
      </c>
      <c r="F232" s="4">
        <f>ROUNDDOWN(E232/(1-F230),-1)</f>
        <v>849000</v>
      </c>
      <c r="G232" s="105">
        <f>ROUNDDOWN(IF(F232*G230&gt;H230,H230,F232*G230),-1)</f>
        <v>50940</v>
      </c>
      <c r="H232" s="105"/>
      <c r="J232" s="54">
        <f>F231*4%</f>
        <v>56080</v>
      </c>
      <c r="R232" s="4">
        <v>739470</v>
      </c>
      <c r="X232" s="3">
        <f>G232*X230</f>
        <v>0</v>
      </c>
      <c r="Y232" s="3"/>
      <c r="Z232" s="3"/>
      <c r="AG232" s="5"/>
    </row>
    <row r="233" spans="1:54" ht="27" customHeight="1" x14ac:dyDescent="0.3">
      <c r="A233" s="124" t="s">
        <v>34</v>
      </c>
      <c r="B233" s="135" t="s">
        <v>126</v>
      </c>
      <c r="C233" s="136"/>
      <c r="D233" s="136"/>
      <c r="E233" s="136"/>
      <c r="F233" s="136"/>
      <c r="G233" s="136"/>
      <c r="H233" s="136"/>
      <c r="I233" s="136"/>
      <c r="J233" s="136"/>
      <c r="K233" s="136"/>
      <c r="L233" s="136"/>
      <c r="M233" s="136"/>
      <c r="N233" s="136"/>
      <c r="O233" s="136"/>
      <c r="P233" s="136"/>
      <c r="Q233" s="136"/>
      <c r="R233" s="137"/>
      <c r="T233" s="130" t="s">
        <v>33</v>
      </c>
      <c r="U233" s="131"/>
      <c r="V233" s="131"/>
      <c r="W233" s="131"/>
      <c r="X233" s="131"/>
      <c r="Y233" s="131"/>
      <c r="Z233" s="131"/>
      <c r="AA233" s="131"/>
      <c r="AB233" s="131"/>
      <c r="AC233" s="131"/>
      <c r="AD233" s="131"/>
      <c r="AE233" s="131"/>
      <c r="AF233" s="131"/>
      <c r="AG233" s="131"/>
      <c r="AH233" s="132"/>
      <c r="AI233" s="37"/>
      <c r="AM233" s="130" t="s">
        <v>32</v>
      </c>
      <c r="AN233" s="131"/>
      <c r="AO233" s="131"/>
      <c r="AP233" s="131"/>
      <c r="AQ233" s="131"/>
      <c r="AR233" s="132"/>
      <c r="AT233" s="130" t="s">
        <v>31</v>
      </c>
      <c r="AU233" s="131"/>
      <c r="AV233" s="131"/>
      <c r="AW233" s="132"/>
      <c r="AY233" s="36" t="s">
        <v>36</v>
      </c>
      <c r="AZ233" s="48"/>
      <c r="BA233" s="52"/>
      <c r="BB233" s="36"/>
    </row>
    <row r="234" spans="1:54" ht="32.25" customHeight="1" x14ac:dyDescent="0.3">
      <c r="A234" s="125"/>
      <c r="B234" s="133" t="s">
        <v>30</v>
      </c>
      <c r="C234" s="133" t="s">
        <v>29</v>
      </c>
      <c r="D234" s="116" t="s">
        <v>28</v>
      </c>
      <c r="E234" s="116" t="s">
        <v>27</v>
      </c>
      <c r="F234" s="34" t="s">
        <v>26</v>
      </c>
      <c r="G234" s="122" t="s">
        <v>63</v>
      </c>
      <c r="H234" s="123"/>
      <c r="I234" s="122" t="s">
        <v>50</v>
      </c>
      <c r="J234" s="123"/>
      <c r="K234" s="122" t="s">
        <v>62</v>
      </c>
      <c r="L234" s="123"/>
      <c r="M234" s="122" t="s">
        <v>25</v>
      </c>
      <c r="N234" s="123"/>
      <c r="O234" s="122" t="s">
        <v>24</v>
      </c>
      <c r="P234" s="123"/>
      <c r="Q234" s="106" t="s">
        <v>23</v>
      </c>
      <c r="R234" s="106" t="s">
        <v>22</v>
      </c>
      <c r="S234" s="21"/>
      <c r="T234" s="34" t="s">
        <v>21</v>
      </c>
      <c r="U234" s="34" t="s">
        <v>20</v>
      </c>
      <c r="V234" s="34" t="s">
        <v>95</v>
      </c>
      <c r="W234" s="34" t="s">
        <v>19</v>
      </c>
      <c r="X234" s="34" t="s">
        <v>18</v>
      </c>
      <c r="Y234" s="34" t="s">
        <v>48</v>
      </c>
      <c r="Z234" s="34" t="s">
        <v>49</v>
      </c>
      <c r="AA234" s="34" t="s">
        <v>17</v>
      </c>
      <c r="AB234" s="106" t="s">
        <v>16</v>
      </c>
      <c r="AC234" s="106" t="s">
        <v>15</v>
      </c>
      <c r="AD234" s="106" t="s">
        <v>14</v>
      </c>
      <c r="AE234" s="106" t="s">
        <v>13</v>
      </c>
      <c r="AF234" s="106" t="s">
        <v>12</v>
      </c>
      <c r="AG234" s="116" t="s">
        <v>11</v>
      </c>
      <c r="AH234" s="118" t="s">
        <v>10</v>
      </c>
      <c r="AI234" s="120" t="s">
        <v>9</v>
      </c>
      <c r="AJ234" s="35">
        <f>(1-R236/F236)</f>
        <v>0.15701492537313433</v>
      </c>
      <c r="AK234" s="35">
        <f>1-(AD236+AM236)/F236</f>
        <v>0.15955214925373129</v>
      </c>
      <c r="AM234" s="106" t="s">
        <v>71</v>
      </c>
      <c r="AN234" s="106" t="s">
        <v>7</v>
      </c>
      <c r="AO234" s="106" t="s">
        <v>37</v>
      </c>
      <c r="AP234" s="106" t="s">
        <v>38</v>
      </c>
      <c r="AQ234" s="106" t="s">
        <v>6</v>
      </c>
      <c r="AR234" s="106" t="s">
        <v>5</v>
      </c>
      <c r="AT234" s="106" t="s">
        <v>4</v>
      </c>
      <c r="AU234" s="106" t="s">
        <v>3</v>
      </c>
      <c r="AV234" s="106" t="s">
        <v>2</v>
      </c>
      <c r="AW234" s="106" t="s">
        <v>1</v>
      </c>
      <c r="AY234" s="106"/>
      <c r="AZ234" s="108"/>
      <c r="BA234" s="52"/>
      <c r="BB234" s="106"/>
    </row>
    <row r="235" spans="1:54" ht="27" customHeight="1" x14ac:dyDescent="0.3">
      <c r="A235" s="126"/>
      <c r="B235" s="134"/>
      <c r="C235" s="134"/>
      <c r="D235" s="117"/>
      <c r="E235" s="117"/>
      <c r="F235" s="31">
        <v>0</v>
      </c>
      <c r="G235" s="33">
        <v>0.06</v>
      </c>
      <c r="H235" s="32">
        <v>1000000</v>
      </c>
      <c r="I235" s="31">
        <v>0</v>
      </c>
      <c r="J235" s="32">
        <v>0</v>
      </c>
      <c r="K235" s="31">
        <v>1</v>
      </c>
      <c r="L235" s="32">
        <v>130000</v>
      </c>
      <c r="M235" s="31">
        <v>0</v>
      </c>
      <c r="N235" s="32">
        <v>0</v>
      </c>
      <c r="O235" s="31">
        <v>0</v>
      </c>
      <c r="P235" s="32">
        <v>0</v>
      </c>
      <c r="Q235" s="107"/>
      <c r="R235" s="107"/>
      <c r="S235" s="21"/>
      <c r="T235" s="31">
        <f>IF(C236="노트북",7%,IF(C236="저장&amp;주변기기",9%,IF(C236="모니터",7%)))</f>
        <v>7.0000000000000007E-2</v>
      </c>
      <c r="U235" s="31">
        <v>0</v>
      </c>
      <c r="V235" s="31">
        <v>0</v>
      </c>
      <c r="W235" s="31">
        <f>IF(G235=0%,20%,0%)</f>
        <v>0</v>
      </c>
      <c r="X235" s="30">
        <v>0</v>
      </c>
      <c r="Y235" s="30">
        <v>1</v>
      </c>
      <c r="Z235" s="53">
        <v>0.92307600000000001</v>
      </c>
      <c r="AA235" s="29">
        <v>0.5</v>
      </c>
      <c r="AB235" s="107"/>
      <c r="AC235" s="107"/>
      <c r="AD235" s="107"/>
      <c r="AE235" s="107"/>
      <c r="AF235" s="107"/>
      <c r="AG235" s="117"/>
      <c r="AH235" s="119"/>
      <c r="AI235" s="121"/>
      <c r="AJ235" s="55" t="s">
        <v>52</v>
      </c>
      <c r="AK235" s="56">
        <f>AJ234-AK234</f>
        <v>-2.5372238805969616E-3</v>
      </c>
      <c r="AM235" s="107"/>
      <c r="AN235" s="107"/>
      <c r="AO235" s="107"/>
      <c r="AP235" s="107"/>
      <c r="AQ235" s="107"/>
      <c r="AR235" s="107"/>
      <c r="AS235" s="39"/>
      <c r="AT235" s="107"/>
      <c r="AU235" s="107"/>
      <c r="AV235" s="107"/>
      <c r="AW235" s="107"/>
      <c r="AY235" s="107"/>
      <c r="AZ235" s="109"/>
      <c r="BA235" s="52"/>
      <c r="BB235" s="107"/>
    </row>
    <row r="236" spans="1:54" ht="27" customHeight="1" x14ac:dyDescent="0.3">
      <c r="A236" s="51" t="s">
        <v>60</v>
      </c>
      <c r="B236" s="38" t="s">
        <v>35</v>
      </c>
      <c r="C236" s="27" t="s">
        <v>0</v>
      </c>
      <c r="D236" s="26">
        <v>4504312202</v>
      </c>
      <c r="E236" s="25">
        <v>1340000</v>
      </c>
      <c r="F236" s="24">
        <f>ROUNDDOWN(E236/(1-F235),-1)</f>
        <v>1340000</v>
      </c>
      <c r="G236" s="110">
        <f>ROUNDDOWN(IF(F236*G235&gt;H235,H235,F236*G235),-1)</f>
        <v>80400</v>
      </c>
      <c r="H236" s="111"/>
      <c r="I236" s="112">
        <f>ROUNDDOWN(IF(F236*I235&gt;J235,J235,F236*I235),-1)</f>
        <v>0</v>
      </c>
      <c r="J236" s="113"/>
      <c r="K236" s="112">
        <f>ROUNDDOWN(IF(F236*K235&gt;L235,L235,F236*K235),-1)</f>
        <v>130000</v>
      </c>
      <c r="L236" s="113"/>
      <c r="M236" s="110">
        <f>ROUNDDOWN(IF(Q236*M235&gt;N235,N235,Q236*M235),-1)</f>
        <v>0</v>
      </c>
      <c r="N236" s="111"/>
      <c r="O236" s="110">
        <f>ROUNDDOWN(IF(F236*O235&gt;P235,P235,F236*O235),-1)</f>
        <v>0</v>
      </c>
      <c r="P236" s="111"/>
      <c r="Q236" s="23">
        <f>F236-G236-I236-K236</f>
        <v>1129600</v>
      </c>
      <c r="R236" s="22">
        <f>F236-G236-I236-K236-M236-O236</f>
        <v>1129600</v>
      </c>
      <c r="S236" s="21"/>
      <c r="T236" s="20">
        <f>F236*T235</f>
        <v>93800.000000000015</v>
      </c>
      <c r="U236" s="20">
        <f>F236*U235</f>
        <v>0</v>
      </c>
      <c r="V236" s="20">
        <f>(F236-I236)*V235</f>
        <v>0</v>
      </c>
      <c r="W236" s="19">
        <f>(F236*F235)*W235</f>
        <v>0</v>
      </c>
      <c r="X236" s="19">
        <f>G236*X235</f>
        <v>0</v>
      </c>
      <c r="Y236" s="19">
        <f>I236*Y235</f>
        <v>0</v>
      </c>
      <c r="Z236" s="19">
        <f>K236*Z235</f>
        <v>119999.88</v>
      </c>
      <c r="AA236" s="19">
        <f>M236*AA235</f>
        <v>0</v>
      </c>
      <c r="AB236" s="19">
        <v>0</v>
      </c>
      <c r="AC236" s="16">
        <v>6000</v>
      </c>
      <c r="AD236" s="18">
        <f>F236-T236-U236-V236-W236-AA236-X236-Y236-Z236-AB236</f>
        <v>1126200.1200000001</v>
      </c>
      <c r="AE236" s="18">
        <f>F236-T236-U236-V236-W236-X236-Y236-Z236-AA236-AB236-AC236</f>
        <v>1120200.1200000001</v>
      </c>
      <c r="AF236" s="17">
        <f>AE236-AG236</f>
        <v>177200.12000000011</v>
      </c>
      <c r="AG236" s="16">
        <v>943000</v>
      </c>
      <c r="AH236" s="15">
        <f>AF236/AG236</f>
        <v>0.18791104984093332</v>
      </c>
      <c r="AI236" s="14">
        <f>1-R236/(AG236-AM236-AN236-AO236)</f>
        <v>-0.19787910922587493</v>
      </c>
      <c r="AJ236" s="114">
        <f>(1-R236/F236)-(1-(AD236)/F236)</f>
        <v>-2.5372238805969616E-3</v>
      </c>
      <c r="AK236" s="115"/>
      <c r="AM236" s="13"/>
      <c r="AN236" s="12"/>
      <c r="AO236" s="12"/>
      <c r="AP236" s="12"/>
      <c r="AQ236" s="11">
        <f>AE236-(AG236-AM236-AN236-AO236-AP236)</f>
        <v>177200.12000000011</v>
      </c>
      <c r="AR236" s="8">
        <f>AQ236/AG236</f>
        <v>0.18791104984093332</v>
      </c>
      <c r="AT236" s="10">
        <v>0</v>
      </c>
      <c r="AU236" s="10">
        <v>0</v>
      </c>
      <c r="AV236" s="9">
        <f>AQ236-AT236-AU236</f>
        <v>177200.12000000011</v>
      </c>
      <c r="AW236" s="8">
        <f>AV236/AG236</f>
        <v>0.18791104984093332</v>
      </c>
      <c r="AY236" s="7"/>
      <c r="AZ236" s="50"/>
      <c r="BA236" s="52"/>
      <c r="BB236" s="7"/>
    </row>
    <row r="237" spans="1:54" ht="16.5" customHeight="1" x14ac:dyDescent="0.3">
      <c r="A237" s="21" t="s">
        <v>118</v>
      </c>
      <c r="E237" s="5">
        <v>849000</v>
      </c>
      <c r="F237" s="4">
        <f>ROUNDDOWN(E237/(1-F235),-1)</f>
        <v>849000</v>
      </c>
      <c r="G237" s="105">
        <f>ROUNDDOWN(IF(F237*G235&gt;H235,H235,F237*G235),-1)</f>
        <v>50940</v>
      </c>
      <c r="H237" s="105"/>
      <c r="J237" s="54">
        <f>F236*4%</f>
        <v>53600</v>
      </c>
      <c r="R237" s="4">
        <v>739470</v>
      </c>
      <c r="X237" s="3">
        <f>G237*X235</f>
        <v>0</v>
      </c>
      <c r="Y237" s="3"/>
      <c r="Z237" s="3"/>
      <c r="AG237" s="5"/>
    </row>
    <row r="238" spans="1:54" ht="16.5" customHeight="1" x14ac:dyDescent="0.3">
      <c r="E238" s="5"/>
      <c r="F238" s="4"/>
      <c r="G238" s="42"/>
      <c r="H238" s="42"/>
      <c r="J238" s="54"/>
      <c r="X238" s="3"/>
      <c r="Y238" s="3"/>
      <c r="Z238" s="3"/>
      <c r="AG238" s="5"/>
    </row>
    <row r="239" spans="1:54" ht="16.5" customHeight="1" x14ac:dyDescent="0.3">
      <c r="E239" s="5"/>
      <c r="F239" s="4"/>
      <c r="G239" s="42"/>
      <c r="H239" s="42"/>
      <c r="J239" s="54"/>
      <c r="X239" s="3"/>
      <c r="Y239" s="3"/>
      <c r="Z239" s="3"/>
      <c r="AG239" s="5"/>
    </row>
    <row r="240" spans="1:54" ht="27" customHeight="1" x14ac:dyDescent="0.3">
      <c r="A240" s="124" t="s">
        <v>34</v>
      </c>
      <c r="B240" s="127" t="s">
        <v>125</v>
      </c>
      <c r="C240" s="128"/>
      <c r="D240" s="128"/>
      <c r="E240" s="128"/>
      <c r="F240" s="128"/>
      <c r="G240" s="128"/>
      <c r="H240" s="128"/>
      <c r="I240" s="128"/>
      <c r="J240" s="128"/>
      <c r="K240" s="128"/>
      <c r="L240" s="128"/>
      <c r="M240" s="128"/>
      <c r="N240" s="128"/>
      <c r="O240" s="128"/>
      <c r="P240" s="128"/>
      <c r="Q240" s="128"/>
      <c r="R240" s="129"/>
      <c r="T240" s="130" t="s">
        <v>33</v>
      </c>
      <c r="U240" s="131"/>
      <c r="V240" s="131"/>
      <c r="W240" s="131"/>
      <c r="X240" s="131"/>
      <c r="Y240" s="131"/>
      <c r="Z240" s="131"/>
      <c r="AA240" s="131"/>
      <c r="AB240" s="131"/>
      <c r="AC240" s="131"/>
      <c r="AD240" s="131"/>
      <c r="AE240" s="131"/>
      <c r="AF240" s="131"/>
      <c r="AG240" s="131"/>
      <c r="AH240" s="132"/>
      <c r="AI240" s="37"/>
      <c r="AM240" s="130" t="s">
        <v>32</v>
      </c>
      <c r="AN240" s="131"/>
      <c r="AO240" s="131"/>
      <c r="AP240" s="131"/>
      <c r="AQ240" s="131"/>
      <c r="AR240" s="132"/>
      <c r="AT240" s="130" t="s">
        <v>31</v>
      </c>
      <c r="AU240" s="131"/>
      <c r="AV240" s="131"/>
      <c r="AW240" s="132"/>
      <c r="AY240" s="36" t="s">
        <v>36</v>
      </c>
      <c r="AZ240" s="48"/>
      <c r="BA240" s="52"/>
      <c r="BB240" s="36"/>
    </row>
    <row r="241" spans="1:54" ht="32.25" customHeight="1" x14ac:dyDescent="0.3">
      <c r="A241" s="125"/>
      <c r="B241" s="133" t="s">
        <v>30</v>
      </c>
      <c r="C241" s="133" t="s">
        <v>29</v>
      </c>
      <c r="D241" s="116" t="s">
        <v>28</v>
      </c>
      <c r="E241" s="116" t="s">
        <v>27</v>
      </c>
      <c r="F241" s="34" t="s">
        <v>26</v>
      </c>
      <c r="G241" s="122" t="s">
        <v>63</v>
      </c>
      <c r="H241" s="123"/>
      <c r="I241" s="122" t="s">
        <v>50</v>
      </c>
      <c r="J241" s="123"/>
      <c r="K241" s="122" t="s">
        <v>62</v>
      </c>
      <c r="L241" s="123"/>
      <c r="M241" s="122" t="s">
        <v>25</v>
      </c>
      <c r="N241" s="123"/>
      <c r="O241" s="122" t="s">
        <v>24</v>
      </c>
      <c r="P241" s="123"/>
      <c r="Q241" s="106" t="s">
        <v>23</v>
      </c>
      <c r="R241" s="106" t="s">
        <v>22</v>
      </c>
      <c r="S241" s="21"/>
      <c r="T241" s="34" t="s">
        <v>21</v>
      </c>
      <c r="U241" s="34" t="s">
        <v>20</v>
      </c>
      <c r="V241" s="34" t="s">
        <v>95</v>
      </c>
      <c r="W241" s="34" t="s">
        <v>19</v>
      </c>
      <c r="X241" s="34" t="s">
        <v>18</v>
      </c>
      <c r="Y241" s="34" t="s">
        <v>48</v>
      </c>
      <c r="Z241" s="34" t="s">
        <v>49</v>
      </c>
      <c r="AA241" s="34" t="s">
        <v>17</v>
      </c>
      <c r="AB241" s="106" t="s">
        <v>16</v>
      </c>
      <c r="AC241" s="106" t="s">
        <v>15</v>
      </c>
      <c r="AD241" s="106" t="s">
        <v>14</v>
      </c>
      <c r="AE241" s="106" t="s">
        <v>13</v>
      </c>
      <c r="AF241" s="106" t="s">
        <v>12</v>
      </c>
      <c r="AG241" s="116" t="s">
        <v>11</v>
      </c>
      <c r="AH241" s="118" t="s">
        <v>10</v>
      </c>
      <c r="AI241" s="120" t="s">
        <v>9</v>
      </c>
      <c r="AJ241" s="35">
        <f>(1-R243/F243)</f>
        <v>0.22055345911949686</v>
      </c>
      <c r="AK241" s="35">
        <f>1-(AD243+AM243)/F243</f>
        <v>0.1949307421383647</v>
      </c>
      <c r="AM241" s="106" t="s">
        <v>8</v>
      </c>
      <c r="AN241" s="106" t="s">
        <v>7</v>
      </c>
      <c r="AO241" s="106" t="s">
        <v>37</v>
      </c>
      <c r="AP241" s="106" t="s">
        <v>38</v>
      </c>
      <c r="AQ241" s="106" t="s">
        <v>6</v>
      </c>
      <c r="AR241" s="106" t="s">
        <v>5</v>
      </c>
      <c r="AT241" s="106" t="s">
        <v>4</v>
      </c>
      <c r="AU241" s="106" t="s">
        <v>3</v>
      </c>
      <c r="AV241" s="106" t="s">
        <v>2</v>
      </c>
      <c r="AW241" s="106" t="s">
        <v>1</v>
      </c>
      <c r="AY241" s="106"/>
      <c r="AZ241" s="108"/>
      <c r="BA241" s="52"/>
      <c r="BB241" s="106"/>
    </row>
    <row r="242" spans="1:54" ht="27" customHeight="1" x14ac:dyDescent="0.3">
      <c r="A242" s="126"/>
      <c r="B242" s="134"/>
      <c r="C242" s="134"/>
      <c r="D242" s="117"/>
      <c r="E242" s="117"/>
      <c r="F242" s="31">
        <v>0</v>
      </c>
      <c r="G242" s="33">
        <v>0.06</v>
      </c>
      <c r="H242" s="32">
        <v>1000000</v>
      </c>
      <c r="I242" s="31">
        <v>1</v>
      </c>
      <c r="J242" s="32">
        <v>32000</v>
      </c>
      <c r="K242" s="31">
        <v>1</v>
      </c>
      <c r="L242" s="32">
        <v>130000</v>
      </c>
      <c r="M242" s="31">
        <v>7.0000000000000007E-2</v>
      </c>
      <c r="N242" s="32">
        <v>150000</v>
      </c>
      <c r="O242" s="31">
        <v>0</v>
      </c>
      <c r="P242" s="32">
        <v>0</v>
      </c>
      <c r="Q242" s="107"/>
      <c r="R242" s="107"/>
      <c r="S242" s="21"/>
      <c r="T242" s="31">
        <f>IF(C243="노트북",7%,IF(C243="저장&amp;주변기기",9%,IF(C243="모니터",7%)))</f>
        <v>7.0000000000000007E-2</v>
      </c>
      <c r="U242" s="31">
        <v>0</v>
      </c>
      <c r="V242" s="31">
        <v>0</v>
      </c>
      <c r="W242" s="31">
        <f>IF(G242=0%,20%,0%)</f>
        <v>0</v>
      </c>
      <c r="X242" s="30">
        <v>0</v>
      </c>
      <c r="Y242" s="30">
        <v>1</v>
      </c>
      <c r="Z242" s="53">
        <v>0.92307600000000001</v>
      </c>
      <c r="AA242" s="29">
        <v>0.5</v>
      </c>
      <c r="AB242" s="107"/>
      <c r="AC242" s="107"/>
      <c r="AD242" s="107"/>
      <c r="AE242" s="107"/>
      <c r="AF242" s="107"/>
      <c r="AG242" s="117"/>
      <c r="AH242" s="119"/>
      <c r="AI242" s="121"/>
      <c r="AJ242" s="55" t="s">
        <v>52</v>
      </c>
      <c r="AK242" s="56">
        <f>AJ241-AK241</f>
        <v>2.5622716981132165E-2</v>
      </c>
      <c r="AM242" s="107"/>
      <c r="AN242" s="107"/>
      <c r="AO242" s="107"/>
      <c r="AP242" s="107"/>
      <c r="AQ242" s="107"/>
      <c r="AR242" s="107"/>
      <c r="AS242" s="39"/>
      <c r="AT242" s="107"/>
      <c r="AU242" s="107"/>
      <c r="AV242" s="107"/>
      <c r="AW242" s="107"/>
      <c r="AY242" s="107"/>
      <c r="AZ242" s="109"/>
      <c r="BA242" s="52"/>
      <c r="BB242" s="107"/>
    </row>
    <row r="243" spans="1:54" ht="27" customHeight="1" x14ac:dyDescent="0.3">
      <c r="A243" s="51" t="s">
        <v>64</v>
      </c>
      <c r="B243" s="38" t="s">
        <v>35</v>
      </c>
      <c r="C243" s="27" t="s">
        <v>0</v>
      </c>
      <c r="D243" s="26">
        <v>4624621015</v>
      </c>
      <c r="E243" s="25">
        <v>1590000</v>
      </c>
      <c r="F243" s="24">
        <f>ROUNDDOWN(E243/(1-F242),-1)</f>
        <v>1590000</v>
      </c>
      <c r="G243" s="110">
        <f>ROUNDDOWN(IF(F243*G242&gt;H242,H242,F243*G242),-1)</f>
        <v>95400</v>
      </c>
      <c r="H243" s="111"/>
      <c r="I243" s="112">
        <f>ROUNDDOWN(IF(F243*I242&gt;J242,J242,F243*I242),-1)</f>
        <v>32000</v>
      </c>
      <c r="J243" s="113"/>
      <c r="K243" s="112">
        <f>ROUNDDOWN(IF(F243*K242&gt;L242,L242,F243*K242),-1)</f>
        <v>130000</v>
      </c>
      <c r="L243" s="113"/>
      <c r="M243" s="110">
        <f>ROUNDDOWN(IF(Q243*M242&gt;N242,N242,Q243*M242),-1)</f>
        <v>93280</v>
      </c>
      <c r="N243" s="111"/>
      <c r="O243" s="110">
        <f>ROUNDDOWN(IF(F243*O242&gt;P242,P242,F243*O242),-1)</f>
        <v>0</v>
      </c>
      <c r="P243" s="111"/>
      <c r="Q243" s="23">
        <f>F243-G243-I243-K243</f>
        <v>1332600</v>
      </c>
      <c r="R243" s="22">
        <f>F243-G243-I243-K243-M243-O243</f>
        <v>1239320</v>
      </c>
      <c r="S243" s="21"/>
      <c r="T243" s="20">
        <f>F243*T242</f>
        <v>111300.00000000001</v>
      </c>
      <c r="U243" s="20">
        <f>F243*U242</f>
        <v>0</v>
      </c>
      <c r="V243" s="20">
        <f>(F243-I243)*V242</f>
        <v>0</v>
      </c>
      <c r="W243" s="19">
        <f>(F243*F242)*W242</f>
        <v>0</v>
      </c>
      <c r="X243" s="19">
        <f>G243*X242</f>
        <v>0</v>
      </c>
      <c r="Y243" s="19">
        <f>I243*Y242</f>
        <v>32000</v>
      </c>
      <c r="Z243" s="19">
        <f>K243*Z242</f>
        <v>119999.88</v>
      </c>
      <c r="AA243" s="19">
        <f>M243*AA242</f>
        <v>46640</v>
      </c>
      <c r="AB243" s="19">
        <v>0</v>
      </c>
      <c r="AC243" s="16">
        <v>6000</v>
      </c>
      <c r="AD243" s="18">
        <f>F243-T243-U243-V243-W243-AA243-X243-Y243-Z243-AB243</f>
        <v>1280060.1200000001</v>
      </c>
      <c r="AE243" s="18">
        <f>F243-T243-U243-V243-W243-X243-Y243-Z243-AA243-AB243-AC243</f>
        <v>1274060.1200000001</v>
      </c>
      <c r="AF243" s="17">
        <f>AE243-AG243</f>
        <v>214060.12000000011</v>
      </c>
      <c r="AG243" s="16">
        <v>1060000</v>
      </c>
      <c r="AH243" s="15">
        <f>AF243/AG243</f>
        <v>0.20194350943396236</v>
      </c>
      <c r="AI243" s="14">
        <f>1-R243/(AG243-AM243-AN243-AO243)</f>
        <v>-0.1691698113207547</v>
      </c>
      <c r="AJ243" s="114">
        <f>(1-R243/F243)-(1-(AD243)/F243)</f>
        <v>2.5622716981132165E-2</v>
      </c>
      <c r="AK243" s="115"/>
      <c r="AM243" s="13"/>
      <c r="AN243" s="12"/>
      <c r="AO243" s="12"/>
      <c r="AP243" s="12"/>
      <c r="AQ243" s="11">
        <f>AE243-(AG243-AM243-AN243-AO243-AP243)</f>
        <v>214060.12000000011</v>
      </c>
      <c r="AR243" s="8">
        <f>AQ243/AG243</f>
        <v>0.20194350943396236</v>
      </c>
      <c r="AT243" s="10">
        <v>0</v>
      </c>
      <c r="AU243" s="10">
        <v>0</v>
      </c>
      <c r="AV243" s="9">
        <f>AQ243-AT243-AU243</f>
        <v>214060.12000000011</v>
      </c>
      <c r="AW243" s="8">
        <f>AV243/AG243</f>
        <v>0.20194350943396236</v>
      </c>
      <c r="AY243" s="7"/>
      <c r="AZ243" s="50"/>
      <c r="BA243" s="52"/>
      <c r="BB243" s="7"/>
    </row>
    <row r="244" spans="1:54" ht="16.5" customHeight="1" x14ac:dyDescent="0.3">
      <c r="D244" s="21">
        <v>4578276650</v>
      </c>
      <c r="E244" s="5">
        <v>1299000</v>
      </c>
      <c r="F244" s="4">
        <f>ROUNDDOWN(E244/(1-F242),-1)</f>
        <v>1299000</v>
      </c>
      <c r="G244" s="105">
        <f>ROUNDDOWN(IF(F244*G242&gt;H242,H242,F244*G242),-1)</f>
        <v>77940</v>
      </c>
      <c r="H244" s="105"/>
      <c r="J244" s="54">
        <f>F243*4%</f>
        <v>63600</v>
      </c>
      <c r="L244" s="21" t="s">
        <v>89</v>
      </c>
      <c r="R244" s="4">
        <v>868000</v>
      </c>
      <c r="X244" s="3">
        <f>G244*X242</f>
        <v>0</v>
      </c>
      <c r="Y244" s="3"/>
      <c r="Z244" s="3"/>
      <c r="AG244" s="57"/>
    </row>
    <row r="245" spans="1:54" ht="27" customHeight="1" x14ac:dyDescent="0.3">
      <c r="A245" s="124" t="s">
        <v>34</v>
      </c>
      <c r="B245" s="135" t="s">
        <v>126</v>
      </c>
      <c r="C245" s="136"/>
      <c r="D245" s="136"/>
      <c r="E245" s="136"/>
      <c r="F245" s="136"/>
      <c r="G245" s="136"/>
      <c r="H245" s="136"/>
      <c r="I245" s="136"/>
      <c r="J245" s="136"/>
      <c r="K245" s="136"/>
      <c r="L245" s="136"/>
      <c r="M245" s="136"/>
      <c r="N245" s="136"/>
      <c r="O245" s="136"/>
      <c r="P245" s="136"/>
      <c r="Q245" s="136"/>
      <c r="R245" s="137"/>
      <c r="T245" s="130" t="s">
        <v>33</v>
      </c>
      <c r="U245" s="131"/>
      <c r="V245" s="131"/>
      <c r="W245" s="131"/>
      <c r="X245" s="131"/>
      <c r="Y245" s="131"/>
      <c r="Z245" s="131"/>
      <c r="AA245" s="131"/>
      <c r="AB245" s="131"/>
      <c r="AC245" s="131"/>
      <c r="AD245" s="131"/>
      <c r="AE245" s="131"/>
      <c r="AF245" s="131"/>
      <c r="AG245" s="131"/>
      <c r="AH245" s="132"/>
      <c r="AI245" s="37"/>
      <c r="AM245" s="130" t="s">
        <v>32</v>
      </c>
      <c r="AN245" s="131"/>
      <c r="AO245" s="131"/>
      <c r="AP245" s="131"/>
      <c r="AQ245" s="131"/>
      <c r="AR245" s="132"/>
      <c r="AT245" s="130" t="s">
        <v>31</v>
      </c>
      <c r="AU245" s="131"/>
      <c r="AV245" s="131"/>
      <c r="AW245" s="132"/>
      <c r="AY245" s="36" t="s">
        <v>36</v>
      </c>
      <c r="AZ245" s="48"/>
      <c r="BA245" s="52"/>
      <c r="BB245" s="36"/>
    </row>
    <row r="246" spans="1:54" ht="32.25" customHeight="1" x14ac:dyDescent="0.3">
      <c r="A246" s="125"/>
      <c r="B246" s="133" t="s">
        <v>30</v>
      </c>
      <c r="C246" s="133" t="s">
        <v>29</v>
      </c>
      <c r="D246" s="116" t="s">
        <v>28</v>
      </c>
      <c r="E246" s="116" t="s">
        <v>27</v>
      </c>
      <c r="F246" s="34" t="s">
        <v>26</v>
      </c>
      <c r="G246" s="122" t="s">
        <v>63</v>
      </c>
      <c r="H246" s="123"/>
      <c r="I246" s="122" t="s">
        <v>50</v>
      </c>
      <c r="J246" s="123"/>
      <c r="K246" s="122" t="s">
        <v>62</v>
      </c>
      <c r="L246" s="123"/>
      <c r="M246" s="122" t="s">
        <v>25</v>
      </c>
      <c r="N246" s="123"/>
      <c r="O246" s="122" t="s">
        <v>24</v>
      </c>
      <c r="P246" s="123"/>
      <c r="Q246" s="106" t="s">
        <v>23</v>
      </c>
      <c r="R246" s="106" t="s">
        <v>22</v>
      </c>
      <c r="S246" s="21"/>
      <c r="T246" s="34" t="s">
        <v>21</v>
      </c>
      <c r="U246" s="34" t="s">
        <v>20</v>
      </c>
      <c r="V246" s="34" t="s">
        <v>95</v>
      </c>
      <c r="W246" s="34" t="s">
        <v>19</v>
      </c>
      <c r="X246" s="34" t="s">
        <v>18</v>
      </c>
      <c r="Y246" s="34" t="s">
        <v>48</v>
      </c>
      <c r="Z246" s="34" t="s">
        <v>49</v>
      </c>
      <c r="AA246" s="34" t="s">
        <v>17</v>
      </c>
      <c r="AB246" s="106" t="s">
        <v>16</v>
      </c>
      <c r="AC246" s="106" t="s">
        <v>15</v>
      </c>
      <c r="AD246" s="106" t="s">
        <v>14</v>
      </c>
      <c r="AE246" s="106" t="s">
        <v>13</v>
      </c>
      <c r="AF246" s="106" t="s">
        <v>12</v>
      </c>
      <c r="AG246" s="116" t="s">
        <v>11</v>
      </c>
      <c r="AH246" s="118" t="s">
        <v>10</v>
      </c>
      <c r="AI246" s="120" t="s">
        <v>9</v>
      </c>
      <c r="AJ246" s="35">
        <f>(1-R248/F248)</f>
        <v>0.14605164732595011</v>
      </c>
      <c r="AK246" s="35">
        <f>1-(AD248+AM248)/F248</f>
        <v>0.14943697662564626</v>
      </c>
      <c r="AM246" s="106" t="s">
        <v>8</v>
      </c>
      <c r="AN246" s="106" t="s">
        <v>7</v>
      </c>
      <c r="AO246" s="106" t="s">
        <v>37</v>
      </c>
      <c r="AP246" s="106" t="s">
        <v>38</v>
      </c>
      <c r="AQ246" s="106" t="s">
        <v>6</v>
      </c>
      <c r="AR246" s="106" t="s">
        <v>5</v>
      </c>
      <c r="AT246" s="106" t="s">
        <v>4</v>
      </c>
      <c r="AU246" s="106" t="s">
        <v>3</v>
      </c>
      <c r="AV246" s="106" t="s">
        <v>2</v>
      </c>
      <c r="AW246" s="106" t="s">
        <v>1</v>
      </c>
      <c r="AY246" s="106"/>
      <c r="AZ246" s="108"/>
      <c r="BA246" s="52"/>
      <c r="BB246" s="106"/>
    </row>
    <row r="247" spans="1:54" ht="27" customHeight="1" x14ac:dyDescent="0.3">
      <c r="A247" s="126"/>
      <c r="B247" s="134"/>
      <c r="C247" s="134"/>
      <c r="D247" s="117"/>
      <c r="E247" s="117"/>
      <c r="F247" s="31">
        <v>0</v>
      </c>
      <c r="G247" s="33">
        <v>0.06</v>
      </c>
      <c r="H247" s="32">
        <v>1000000</v>
      </c>
      <c r="I247" s="31">
        <v>0</v>
      </c>
      <c r="J247" s="32">
        <v>0</v>
      </c>
      <c r="K247" s="31">
        <v>1</v>
      </c>
      <c r="L247" s="32">
        <v>130000</v>
      </c>
      <c r="M247" s="31">
        <v>0</v>
      </c>
      <c r="N247" s="32">
        <v>0</v>
      </c>
      <c r="O247" s="31">
        <v>0</v>
      </c>
      <c r="P247" s="32">
        <v>0</v>
      </c>
      <c r="Q247" s="107"/>
      <c r="R247" s="107"/>
      <c r="S247" s="21"/>
      <c r="T247" s="31">
        <f>IF(C248="노트북",7%,IF(C248="저장&amp;주변기기",9%,IF(C248="모니터",7%)))</f>
        <v>7.0000000000000007E-2</v>
      </c>
      <c r="U247" s="31">
        <v>0</v>
      </c>
      <c r="V247" s="31">
        <v>0</v>
      </c>
      <c r="W247" s="31">
        <f>IF(G247=0%,20%,0%)</f>
        <v>0</v>
      </c>
      <c r="X247" s="30">
        <v>0</v>
      </c>
      <c r="Y247" s="30">
        <v>1</v>
      </c>
      <c r="Z247" s="53">
        <v>0.92307600000000001</v>
      </c>
      <c r="AA247" s="29">
        <v>0.5</v>
      </c>
      <c r="AB247" s="107"/>
      <c r="AC247" s="107"/>
      <c r="AD247" s="107"/>
      <c r="AE247" s="107"/>
      <c r="AF247" s="107"/>
      <c r="AG247" s="117"/>
      <c r="AH247" s="119"/>
      <c r="AI247" s="121"/>
      <c r="AJ247" s="55" t="s">
        <v>52</v>
      </c>
      <c r="AK247" s="56">
        <f>AJ246-AK246</f>
        <v>-3.3853292996961493E-3</v>
      </c>
      <c r="AM247" s="107"/>
      <c r="AN247" s="107"/>
      <c r="AO247" s="107"/>
      <c r="AP247" s="107"/>
      <c r="AQ247" s="107"/>
      <c r="AR247" s="107"/>
      <c r="AS247" s="39"/>
      <c r="AT247" s="107"/>
      <c r="AU247" s="107"/>
      <c r="AV247" s="107"/>
      <c r="AW247" s="107"/>
      <c r="AY247" s="107"/>
      <c r="AZ247" s="109"/>
      <c r="BA247" s="52"/>
      <c r="BB247" s="107"/>
    </row>
    <row r="248" spans="1:54" ht="27" customHeight="1" x14ac:dyDescent="0.3">
      <c r="A248" s="51" t="s">
        <v>64</v>
      </c>
      <c r="B248" s="38" t="s">
        <v>35</v>
      </c>
      <c r="C248" s="27" t="s">
        <v>0</v>
      </c>
      <c r="D248" s="26">
        <v>4624621015</v>
      </c>
      <c r="E248" s="25">
        <v>1510630</v>
      </c>
      <c r="F248" s="24">
        <f>ROUNDDOWN(E248/(1-F247),-1)</f>
        <v>1510630</v>
      </c>
      <c r="G248" s="110">
        <f>ROUNDDOWN(IF(F248*G247&gt;H247,H247,F248*G247),-1)</f>
        <v>90630</v>
      </c>
      <c r="H248" s="111"/>
      <c r="I248" s="112">
        <f>ROUNDDOWN(IF(F248*I247&gt;J247,J247,F248*I247),-1)</f>
        <v>0</v>
      </c>
      <c r="J248" s="113"/>
      <c r="K248" s="112">
        <f>ROUNDDOWN(IF(F248*K247&gt;L247,L247,F248*K247),-1)</f>
        <v>130000</v>
      </c>
      <c r="L248" s="113"/>
      <c r="M248" s="110">
        <f>ROUNDDOWN(IF(Q248*M247&gt;N247,N247,Q248*M247),-1)</f>
        <v>0</v>
      </c>
      <c r="N248" s="111"/>
      <c r="O248" s="110">
        <f>ROUNDDOWN(IF(F248*O247&gt;P247,P247,F248*O247),-1)</f>
        <v>0</v>
      </c>
      <c r="P248" s="111"/>
      <c r="Q248" s="23">
        <f>F248-G248-I248-K248</f>
        <v>1290000</v>
      </c>
      <c r="R248" s="22">
        <f>F248-G248-I248-K248-M248-O248</f>
        <v>1290000</v>
      </c>
      <c r="S248" s="21"/>
      <c r="T248" s="20">
        <f>F248*T247</f>
        <v>105744.1</v>
      </c>
      <c r="U248" s="20">
        <f>F248*U247</f>
        <v>0</v>
      </c>
      <c r="V248" s="20">
        <f>(F248-I248)*V247</f>
        <v>0</v>
      </c>
      <c r="W248" s="19">
        <f>(F248*F247)*W247</f>
        <v>0</v>
      </c>
      <c r="X248" s="19">
        <f>G248*X247</f>
        <v>0</v>
      </c>
      <c r="Y248" s="19">
        <f>I248*Y247</f>
        <v>0</v>
      </c>
      <c r="Z248" s="19">
        <f>K248*Z247</f>
        <v>119999.88</v>
      </c>
      <c r="AA248" s="19">
        <f>M248*AA247</f>
        <v>0</v>
      </c>
      <c r="AB248" s="19">
        <v>0</v>
      </c>
      <c r="AC248" s="16">
        <v>6000</v>
      </c>
      <c r="AD248" s="18">
        <f>F248-T248-U248-V248-W248-AA248-X248-Y248-Z248-AB248</f>
        <v>1284886.02</v>
      </c>
      <c r="AE248" s="18">
        <f>F248-T248-U248-V248-W248-X248-Y248-Z248-AA248-AB248-AC248</f>
        <v>1278886.02</v>
      </c>
      <c r="AF248" s="17">
        <f>AE248-AG248</f>
        <v>218886.02000000002</v>
      </c>
      <c r="AG248" s="16">
        <v>1060000</v>
      </c>
      <c r="AH248" s="15">
        <f>AF248/AG248</f>
        <v>0.20649624528301888</v>
      </c>
      <c r="AI248" s="14">
        <f>1-R248/(AG248-AM248-AN248-AO248)</f>
        <v>-0.21698113207547176</v>
      </c>
      <c r="AJ248" s="114">
        <f>(1-R248/F248)-(1-(AD248)/F248)</f>
        <v>-3.3853292996961493E-3</v>
      </c>
      <c r="AK248" s="115"/>
      <c r="AM248" s="13"/>
      <c r="AN248" s="12"/>
      <c r="AO248" s="12"/>
      <c r="AP248" s="12"/>
      <c r="AQ248" s="11">
        <f>AE248-(AG248-AM248-AN248-AO248-AP248)</f>
        <v>218886.02000000002</v>
      </c>
      <c r="AR248" s="8">
        <f>AQ248/AG248</f>
        <v>0.20649624528301888</v>
      </c>
      <c r="AT248" s="10">
        <v>0</v>
      </c>
      <c r="AU248" s="10">
        <v>0</v>
      </c>
      <c r="AV248" s="9">
        <f>AQ248-AT248-AU248</f>
        <v>218886.02000000002</v>
      </c>
      <c r="AW248" s="8">
        <f>AV248/AG248</f>
        <v>0.20649624528301888</v>
      </c>
      <c r="AY248" s="7"/>
      <c r="AZ248" s="50"/>
      <c r="BA248" s="52"/>
      <c r="BB248" s="7"/>
    </row>
    <row r="249" spans="1:54" ht="16.5" customHeight="1" x14ac:dyDescent="0.3">
      <c r="D249" s="21">
        <v>4578276650</v>
      </c>
      <c r="E249" s="5">
        <v>1299000</v>
      </c>
      <c r="F249" s="4">
        <f>ROUNDDOWN(E249/(1-F247),-1)</f>
        <v>1299000</v>
      </c>
      <c r="G249" s="105">
        <f>ROUNDDOWN(IF(F249*G247&gt;H247,H247,F249*G247),-1)</f>
        <v>77940</v>
      </c>
      <c r="H249" s="105"/>
      <c r="J249" s="54">
        <f>F248*4%</f>
        <v>60425.200000000004</v>
      </c>
      <c r="L249" s="21" t="s">
        <v>89</v>
      </c>
      <c r="R249" s="4">
        <v>868000</v>
      </c>
      <c r="X249" s="3">
        <f>G249*X247</f>
        <v>0</v>
      </c>
      <c r="Y249" s="3"/>
      <c r="Z249" s="3"/>
      <c r="AG249" s="57"/>
    </row>
    <row r="250" spans="1:54" ht="16.5" customHeight="1" x14ac:dyDescent="0.3">
      <c r="E250" s="5"/>
      <c r="F250" s="4"/>
      <c r="G250" s="42"/>
      <c r="H250" s="42"/>
      <c r="J250" s="54"/>
      <c r="X250" s="3"/>
      <c r="Y250" s="3"/>
      <c r="Z250" s="3"/>
      <c r="AG250" s="5"/>
    </row>
    <row r="251" spans="1:54" ht="16.5" customHeight="1" x14ac:dyDescent="0.3">
      <c r="E251" s="5"/>
      <c r="F251" s="4"/>
      <c r="G251" s="42"/>
      <c r="H251" s="42"/>
      <c r="J251" s="54"/>
      <c r="X251" s="3"/>
      <c r="Y251" s="3"/>
      <c r="Z251" s="3"/>
      <c r="AG251" s="5"/>
    </row>
    <row r="252" spans="1:54" ht="27" customHeight="1" x14ac:dyDescent="0.3">
      <c r="A252" s="124" t="s">
        <v>34</v>
      </c>
      <c r="B252" s="127" t="s">
        <v>125</v>
      </c>
      <c r="C252" s="128"/>
      <c r="D252" s="128"/>
      <c r="E252" s="128"/>
      <c r="F252" s="128"/>
      <c r="G252" s="128"/>
      <c r="H252" s="128"/>
      <c r="I252" s="128"/>
      <c r="J252" s="128"/>
      <c r="K252" s="128"/>
      <c r="L252" s="128"/>
      <c r="M252" s="128"/>
      <c r="N252" s="128"/>
      <c r="O252" s="128"/>
      <c r="P252" s="128"/>
      <c r="Q252" s="128"/>
      <c r="R252" s="129"/>
      <c r="T252" s="130" t="s">
        <v>33</v>
      </c>
      <c r="U252" s="131"/>
      <c r="V252" s="131"/>
      <c r="W252" s="131"/>
      <c r="X252" s="131"/>
      <c r="Y252" s="131"/>
      <c r="Z252" s="131"/>
      <c r="AA252" s="131"/>
      <c r="AB252" s="131"/>
      <c r="AC252" s="131"/>
      <c r="AD252" s="131"/>
      <c r="AE252" s="131"/>
      <c r="AF252" s="131"/>
      <c r="AG252" s="131"/>
      <c r="AH252" s="132"/>
      <c r="AI252" s="37"/>
      <c r="AM252" s="130" t="s">
        <v>32</v>
      </c>
      <c r="AN252" s="131"/>
      <c r="AO252" s="131"/>
      <c r="AP252" s="131"/>
      <c r="AQ252" s="131"/>
      <c r="AR252" s="132"/>
      <c r="AT252" s="130" t="s">
        <v>31</v>
      </c>
      <c r="AU252" s="131"/>
      <c r="AV252" s="131"/>
      <c r="AW252" s="132"/>
      <c r="AY252" s="36" t="s">
        <v>36</v>
      </c>
      <c r="AZ252" s="48"/>
      <c r="BA252" s="52"/>
      <c r="BB252" s="36"/>
    </row>
    <row r="253" spans="1:54" ht="32.25" customHeight="1" x14ac:dyDescent="0.3">
      <c r="A253" s="125"/>
      <c r="B253" s="133" t="s">
        <v>30</v>
      </c>
      <c r="C253" s="133" t="s">
        <v>29</v>
      </c>
      <c r="D253" s="116" t="s">
        <v>28</v>
      </c>
      <c r="E253" s="116" t="s">
        <v>27</v>
      </c>
      <c r="F253" s="34" t="s">
        <v>26</v>
      </c>
      <c r="G253" s="122" t="s">
        <v>63</v>
      </c>
      <c r="H253" s="123"/>
      <c r="I253" s="122" t="s">
        <v>50</v>
      </c>
      <c r="J253" s="123"/>
      <c r="K253" s="122" t="s">
        <v>62</v>
      </c>
      <c r="L253" s="123"/>
      <c r="M253" s="122" t="s">
        <v>25</v>
      </c>
      <c r="N253" s="123"/>
      <c r="O253" s="122" t="s">
        <v>24</v>
      </c>
      <c r="P253" s="123"/>
      <c r="Q253" s="106" t="s">
        <v>23</v>
      </c>
      <c r="R253" s="106" t="s">
        <v>22</v>
      </c>
      <c r="S253" s="21"/>
      <c r="T253" s="34" t="s">
        <v>21</v>
      </c>
      <c r="U253" s="34" t="s">
        <v>20</v>
      </c>
      <c r="V253" s="34" t="s">
        <v>95</v>
      </c>
      <c r="W253" s="34" t="s">
        <v>19</v>
      </c>
      <c r="X253" s="34" t="s">
        <v>18</v>
      </c>
      <c r="Y253" s="34" t="s">
        <v>48</v>
      </c>
      <c r="Z253" s="34" t="s">
        <v>49</v>
      </c>
      <c r="AA253" s="34" t="s">
        <v>17</v>
      </c>
      <c r="AB253" s="106" t="s">
        <v>16</v>
      </c>
      <c r="AC253" s="106" t="s">
        <v>15</v>
      </c>
      <c r="AD253" s="106" t="s">
        <v>14</v>
      </c>
      <c r="AE253" s="106" t="s">
        <v>13</v>
      </c>
      <c r="AF253" s="106" t="s">
        <v>12</v>
      </c>
      <c r="AG253" s="116" t="s">
        <v>11</v>
      </c>
      <c r="AH253" s="118" t="s">
        <v>10</v>
      </c>
      <c r="AI253" s="120" t="s">
        <v>9</v>
      </c>
      <c r="AJ253" s="35">
        <f>(1-R255/F255)</f>
        <v>0.22599999999999998</v>
      </c>
      <c r="AK253" s="35">
        <f>1-(AD255+AM255)/F255</f>
        <v>0.20013796632996628</v>
      </c>
      <c r="AM253" s="106" t="s">
        <v>8</v>
      </c>
      <c r="AN253" s="106" t="s">
        <v>7</v>
      </c>
      <c r="AO253" s="106" t="s">
        <v>37</v>
      </c>
      <c r="AP253" s="106" t="s">
        <v>38</v>
      </c>
      <c r="AQ253" s="106" t="s">
        <v>6</v>
      </c>
      <c r="AR253" s="106" t="s">
        <v>5</v>
      </c>
      <c r="AT253" s="106" t="s">
        <v>4</v>
      </c>
      <c r="AU253" s="106" t="s">
        <v>3</v>
      </c>
      <c r="AV253" s="106" t="s">
        <v>2</v>
      </c>
      <c r="AW253" s="106" t="s">
        <v>1</v>
      </c>
      <c r="AY253" s="106"/>
      <c r="AZ253" s="108"/>
      <c r="BA253" s="52"/>
      <c r="BB253" s="106"/>
    </row>
    <row r="254" spans="1:54" ht="27" customHeight="1" x14ac:dyDescent="0.3">
      <c r="A254" s="126"/>
      <c r="B254" s="134"/>
      <c r="C254" s="134"/>
      <c r="D254" s="117"/>
      <c r="E254" s="117"/>
      <c r="F254" s="31">
        <v>0</v>
      </c>
      <c r="G254" s="33">
        <v>0.06</v>
      </c>
      <c r="H254" s="32">
        <v>1000000</v>
      </c>
      <c r="I254" s="31">
        <v>1</v>
      </c>
      <c r="J254" s="32">
        <v>30000</v>
      </c>
      <c r="K254" s="31">
        <v>1</v>
      </c>
      <c r="L254" s="32">
        <v>130000</v>
      </c>
      <c r="M254" s="31">
        <v>7.0000000000000007E-2</v>
      </c>
      <c r="N254" s="32">
        <v>150000</v>
      </c>
      <c r="O254" s="31">
        <v>0</v>
      </c>
      <c r="P254" s="32">
        <v>0</v>
      </c>
      <c r="Q254" s="107"/>
      <c r="R254" s="107"/>
      <c r="S254" s="21"/>
      <c r="T254" s="31">
        <f>IF(C255="노트북",7%,IF(C255="저장&amp;주변기기",9%,IF(C255="모니터",7%)))</f>
        <v>7.0000000000000007E-2</v>
      </c>
      <c r="U254" s="31">
        <v>0</v>
      </c>
      <c r="V254" s="31">
        <v>0</v>
      </c>
      <c r="W254" s="31">
        <f>IF(G254=0%,20%,0%)</f>
        <v>0</v>
      </c>
      <c r="X254" s="30">
        <v>0</v>
      </c>
      <c r="Y254" s="30">
        <v>1</v>
      </c>
      <c r="Z254" s="53">
        <v>0.92307600000000001</v>
      </c>
      <c r="AA254" s="29">
        <v>0.5</v>
      </c>
      <c r="AB254" s="107"/>
      <c r="AC254" s="107"/>
      <c r="AD254" s="107"/>
      <c r="AE254" s="107"/>
      <c r="AF254" s="107"/>
      <c r="AG254" s="117"/>
      <c r="AH254" s="119"/>
      <c r="AI254" s="121"/>
      <c r="AJ254" s="55" t="s">
        <v>52</v>
      </c>
      <c r="AK254" s="56">
        <f>AJ253-AK253</f>
        <v>2.5862033670033702E-2</v>
      </c>
      <c r="AM254" s="107"/>
      <c r="AN254" s="107"/>
      <c r="AO254" s="107"/>
      <c r="AP254" s="107"/>
      <c r="AQ254" s="107"/>
      <c r="AR254" s="107"/>
      <c r="AS254" s="39"/>
      <c r="AT254" s="107"/>
      <c r="AU254" s="107"/>
      <c r="AV254" s="107"/>
      <c r="AW254" s="107"/>
      <c r="AY254" s="107"/>
      <c r="AZ254" s="109"/>
      <c r="BA254" s="52"/>
      <c r="BB254" s="107"/>
    </row>
    <row r="255" spans="1:54" ht="27" customHeight="1" x14ac:dyDescent="0.3">
      <c r="A255" s="51" t="s">
        <v>65</v>
      </c>
      <c r="B255" s="38" t="s">
        <v>35</v>
      </c>
      <c r="C255" s="27" t="s">
        <v>0</v>
      </c>
      <c r="D255" s="26">
        <v>4668034795</v>
      </c>
      <c r="E255" s="25">
        <v>1485000</v>
      </c>
      <c r="F255" s="24">
        <f>ROUNDDOWN(E255/(1-F254),-1)</f>
        <v>1485000</v>
      </c>
      <c r="G255" s="110">
        <f>ROUNDDOWN(IF(F255*G254&gt;H254,H254,F255*G254),-1)</f>
        <v>89100</v>
      </c>
      <c r="H255" s="111"/>
      <c r="I255" s="112">
        <f>ROUNDDOWN(IF(F255*I254&gt;J254,J254,F255*I254),-1)</f>
        <v>30000</v>
      </c>
      <c r="J255" s="113"/>
      <c r="K255" s="112">
        <f>ROUNDDOWN(IF(F255*K254&gt;L254,L254,F255*K254),-1)</f>
        <v>130000</v>
      </c>
      <c r="L255" s="113"/>
      <c r="M255" s="110">
        <f>ROUNDDOWN(IF(Q255*M254&gt;N254,N254,Q255*M254),-1)</f>
        <v>86510</v>
      </c>
      <c r="N255" s="111"/>
      <c r="O255" s="110">
        <f>ROUNDDOWN(IF(F255*O254&gt;P254,P254,F255*O254),-1)</f>
        <v>0</v>
      </c>
      <c r="P255" s="111"/>
      <c r="Q255" s="23">
        <f>F255-G255-I255-K255</f>
        <v>1235900</v>
      </c>
      <c r="R255" s="22">
        <f>F255-G255-I255-K255-M255-O255</f>
        <v>1149390</v>
      </c>
      <c r="S255" s="21"/>
      <c r="T255" s="20">
        <f>F255*T254</f>
        <v>103950.00000000001</v>
      </c>
      <c r="U255" s="20">
        <f>F255*U254</f>
        <v>0</v>
      </c>
      <c r="V255" s="20">
        <f>(F255-I255)*V254</f>
        <v>0</v>
      </c>
      <c r="W255" s="19">
        <f>(F255*F254)*W254</f>
        <v>0</v>
      </c>
      <c r="X255" s="19">
        <f>G255*X254</f>
        <v>0</v>
      </c>
      <c r="Y255" s="19">
        <f>I255*Y254</f>
        <v>30000</v>
      </c>
      <c r="Z255" s="19">
        <f>K255*Z254</f>
        <v>119999.88</v>
      </c>
      <c r="AA255" s="19">
        <f>M255*AA254</f>
        <v>43255</v>
      </c>
      <c r="AB255" s="19">
        <v>0</v>
      </c>
      <c r="AC255" s="16">
        <v>6000</v>
      </c>
      <c r="AD255" s="18">
        <f>F255-T255-U255-V255-W255-AA255-X255-Y255-Z255-AB255</f>
        <v>1187795.1200000001</v>
      </c>
      <c r="AE255" s="18">
        <f>F255-T255-U255-V255-W255-X255-Y255-Z255-AA255-AB255-AC255</f>
        <v>1181795.1200000001</v>
      </c>
      <c r="AF255" s="17">
        <f>AE255-AG255</f>
        <v>113795.12000000011</v>
      </c>
      <c r="AG255" s="16">
        <v>1068000</v>
      </c>
      <c r="AH255" s="15">
        <f>AF255/AG255</f>
        <v>0.10654973782771546</v>
      </c>
      <c r="AI255" s="14">
        <f>1-R255/(AG255-AM255-AN255-AO255)</f>
        <v>-7.620786516853939E-2</v>
      </c>
      <c r="AJ255" s="114">
        <f>(1-R255/F255)-(1-(AD255)/F255)</f>
        <v>2.5862033670033702E-2</v>
      </c>
      <c r="AK255" s="115"/>
      <c r="AM255" s="13"/>
      <c r="AN255" s="12"/>
      <c r="AO255" s="12"/>
      <c r="AP255" s="12"/>
      <c r="AQ255" s="11">
        <f>AE255-(AG255-AM255-AN255-AO255-AP255)</f>
        <v>113795.12000000011</v>
      </c>
      <c r="AR255" s="8">
        <f>AQ255/AG255</f>
        <v>0.10654973782771546</v>
      </c>
      <c r="AT255" s="10">
        <v>0</v>
      </c>
      <c r="AU255" s="10">
        <v>0</v>
      </c>
      <c r="AV255" s="9">
        <f>AQ255-AT255-AU255</f>
        <v>113795.12000000011</v>
      </c>
      <c r="AW255" s="8">
        <f>AV255/AG255</f>
        <v>0.10654973782771546</v>
      </c>
      <c r="AY255" s="7"/>
      <c r="AZ255" s="50"/>
      <c r="BA255" s="52"/>
      <c r="BB255" s="7"/>
    </row>
    <row r="256" spans="1:54" ht="16.5" customHeight="1" x14ac:dyDescent="0.3">
      <c r="D256" s="21">
        <v>4578283620</v>
      </c>
      <c r="E256" s="5">
        <v>1149000</v>
      </c>
      <c r="F256" s="4">
        <f>ROUNDDOWN(E256/(1-F254),-1)</f>
        <v>1149000</v>
      </c>
      <c r="G256" s="105">
        <f>ROUNDDOWN(IF(F256*G254&gt;H254,H254,F256*G254),-1)</f>
        <v>68940</v>
      </c>
      <c r="H256" s="105"/>
      <c r="J256" s="54">
        <f>F255*4%</f>
        <v>59400</v>
      </c>
      <c r="L256" s="21"/>
      <c r="R256" s="4"/>
      <c r="X256" s="3">
        <f>G256*X254</f>
        <v>0</v>
      </c>
      <c r="Y256" s="3"/>
      <c r="Z256" s="3"/>
      <c r="AG256" s="57"/>
    </row>
    <row r="257" spans="1:54" ht="27" customHeight="1" x14ac:dyDescent="0.3">
      <c r="A257" s="124" t="s">
        <v>34</v>
      </c>
      <c r="B257" s="135" t="s">
        <v>126</v>
      </c>
      <c r="C257" s="136"/>
      <c r="D257" s="136"/>
      <c r="E257" s="136"/>
      <c r="F257" s="136"/>
      <c r="G257" s="136"/>
      <c r="H257" s="136"/>
      <c r="I257" s="136"/>
      <c r="J257" s="136"/>
      <c r="K257" s="136"/>
      <c r="L257" s="136"/>
      <c r="M257" s="136"/>
      <c r="N257" s="136"/>
      <c r="O257" s="136"/>
      <c r="P257" s="136"/>
      <c r="Q257" s="136"/>
      <c r="R257" s="137"/>
      <c r="T257" s="130" t="s">
        <v>33</v>
      </c>
      <c r="U257" s="131"/>
      <c r="V257" s="131"/>
      <c r="W257" s="131"/>
      <c r="X257" s="131"/>
      <c r="Y257" s="131"/>
      <c r="Z257" s="131"/>
      <c r="AA257" s="131"/>
      <c r="AB257" s="131"/>
      <c r="AC257" s="131"/>
      <c r="AD257" s="131"/>
      <c r="AE257" s="131"/>
      <c r="AF257" s="131"/>
      <c r="AG257" s="131"/>
      <c r="AH257" s="132"/>
      <c r="AI257" s="37"/>
      <c r="AM257" s="130" t="s">
        <v>32</v>
      </c>
      <c r="AN257" s="131"/>
      <c r="AO257" s="131"/>
      <c r="AP257" s="131"/>
      <c r="AQ257" s="131"/>
      <c r="AR257" s="132"/>
      <c r="AT257" s="130" t="s">
        <v>31</v>
      </c>
      <c r="AU257" s="131"/>
      <c r="AV257" s="131"/>
      <c r="AW257" s="132"/>
      <c r="AY257" s="36" t="s">
        <v>36</v>
      </c>
      <c r="AZ257" s="48"/>
      <c r="BA257" s="52"/>
      <c r="BB257" s="36"/>
    </row>
    <row r="258" spans="1:54" ht="32.25" customHeight="1" x14ac:dyDescent="0.3">
      <c r="A258" s="125"/>
      <c r="B258" s="133" t="s">
        <v>30</v>
      </c>
      <c r="C258" s="133" t="s">
        <v>29</v>
      </c>
      <c r="D258" s="116" t="s">
        <v>28</v>
      </c>
      <c r="E258" s="116" t="s">
        <v>27</v>
      </c>
      <c r="F258" s="34" t="s">
        <v>26</v>
      </c>
      <c r="G258" s="122" t="s">
        <v>63</v>
      </c>
      <c r="H258" s="123"/>
      <c r="I258" s="122" t="s">
        <v>50</v>
      </c>
      <c r="J258" s="123"/>
      <c r="K258" s="122" t="s">
        <v>62</v>
      </c>
      <c r="L258" s="123"/>
      <c r="M258" s="122" t="s">
        <v>25</v>
      </c>
      <c r="N258" s="123"/>
      <c r="O258" s="122" t="s">
        <v>24</v>
      </c>
      <c r="P258" s="123"/>
      <c r="Q258" s="106" t="s">
        <v>23</v>
      </c>
      <c r="R258" s="106" t="s">
        <v>22</v>
      </c>
      <c r="S258" s="21"/>
      <c r="T258" s="34" t="s">
        <v>21</v>
      </c>
      <c r="U258" s="34" t="s">
        <v>20</v>
      </c>
      <c r="V258" s="34" t="s">
        <v>95</v>
      </c>
      <c r="W258" s="34" t="s">
        <v>19</v>
      </c>
      <c r="X258" s="34" t="s">
        <v>18</v>
      </c>
      <c r="Y258" s="34" t="s">
        <v>48</v>
      </c>
      <c r="Z258" s="34" t="s">
        <v>49</v>
      </c>
      <c r="AA258" s="34" t="s">
        <v>17</v>
      </c>
      <c r="AB258" s="106" t="s">
        <v>16</v>
      </c>
      <c r="AC258" s="106" t="s">
        <v>15</v>
      </c>
      <c r="AD258" s="106" t="s">
        <v>14</v>
      </c>
      <c r="AE258" s="106" t="s">
        <v>13</v>
      </c>
      <c r="AF258" s="106" t="s">
        <v>12</v>
      </c>
      <c r="AG258" s="116" t="s">
        <v>11</v>
      </c>
      <c r="AH258" s="118" t="s">
        <v>10</v>
      </c>
      <c r="AI258" s="120" t="s">
        <v>9</v>
      </c>
      <c r="AJ258" s="35">
        <f>(1-R260/F260)</f>
        <v>0.14861419748878679</v>
      </c>
      <c r="AK258" s="35">
        <f>1-(AD260+AM260)/F260</f>
        <v>0.1517983940232579</v>
      </c>
      <c r="AM258" s="106" t="s">
        <v>8</v>
      </c>
      <c r="AN258" s="106" t="s">
        <v>7</v>
      </c>
      <c r="AO258" s="106" t="s">
        <v>37</v>
      </c>
      <c r="AP258" s="106" t="s">
        <v>38</v>
      </c>
      <c r="AQ258" s="106" t="s">
        <v>6</v>
      </c>
      <c r="AR258" s="106" t="s">
        <v>5</v>
      </c>
      <c r="AT258" s="106" t="s">
        <v>4</v>
      </c>
      <c r="AU258" s="106" t="s">
        <v>3</v>
      </c>
      <c r="AV258" s="106" t="s">
        <v>2</v>
      </c>
      <c r="AW258" s="106" t="s">
        <v>1</v>
      </c>
      <c r="AY258" s="106"/>
      <c r="AZ258" s="108"/>
      <c r="BA258" s="52"/>
      <c r="BB258" s="106"/>
    </row>
    <row r="259" spans="1:54" ht="27" customHeight="1" x14ac:dyDescent="0.3">
      <c r="A259" s="126"/>
      <c r="B259" s="134"/>
      <c r="C259" s="134"/>
      <c r="D259" s="117"/>
      <c r="E259" s="117"/>
      <c r="F259" s="31">
        <v>0</v>
      </c>
      <c r="G259" s="33">
        <v>0.06</v>
      </c>
      <c r="H259" s="32">
        <v>1000000</v>
      </c>
      <c r="I259" s="31">
        <v>0</v>
      </c>
      <c r="J259" s="32">
        <v>0</v>
      </c>
      <c r="K259" s="31">
        <v>1</v>
      </c>
      <c r="L259" s="32">
        <v>130000</v>
      </c>
      <c r="M259" s="31">
        <v>0</v>
      </c>
      <c r="N259" s="32">
        <v>0</v>
      </c>
      <c r="O259" s="31">
        <v>0</v>
      </c>
      <c r="P259" s="32">
        <v>0</v>
      </c>
      <c r="Q259" s="107"/>
      <c r="R259" s="107"/>
      <c r="S259" s="21"/>
      <c r="T259" s="31">
        <f>IF(C260="노트북",7%,IF(C260="저장&amp;주변기기",9%,IF(C260="모니터",7%)))</f>
        <v>7.0000000000000007E-2</v>
      </c>
      <c r="U259" s="31">
        <v>0</v>
      </c>
      <c r="V259" s="31">
        <v>0</v>
      </c>
      <c r="W259" s="31">
        <f>IF(G259=0%,20%,0%)</f>
        <v>0</v>
      </c>
      <c r="X259" s="30">
        <v>0</v>
      </c>
      <c r="Y259" s="30">
        <v>1</v>
      </c>
      <c r="Z259" s="53">
        <v>0.92307600000000001</v>
      </c>
      <c r="AA259" s="29">
        <v>0.5</v>
      </c>
      <c r="AB259" s="107"/>
      <c r="AC259" s="107"/>
      <c r="AD259" s="107"/>
      <c r="AE259" s="107"/>
      <c r="AF259" s="107"/>
      <c r="AG259" s="117"/>
      <c r="AH259" s="119"/>
      <c r="AI259" s="121"/>
      <c r="AJ259" s="55" t="s">
        <v>52</v>
      </c>
      <c r="AK259" s="56">
        <f>AJ258-AK258</f>
        <v>-3.1841965344711065E-3</v>
      </c>
      <c r="AM259" s="107"/>
      <c r="AN259" s="107"/>
      <c r="AO259" s="107"/>
      <c r="AP259" s="107"/>
      <c r="AQ259" s="107"/>
      <c r="AR259" s="107"/>
      <c r="AS259" s="39"/>
      <c r="AT259" s="107"/>
      <c r="AU259" s="107"/>
      <c r="AV259" s="107"/>
      <c r="AW259" s="107"/>
      <c r="AY259" s="107"/>
      <c r="AZ259" s="109"/>
      <c r="BA259" s="52"/>
      <c r="BB259" s="107"/>
    </row>
    <row r="260" spans="1:54" ht="27" customHeight="1" x14ac:dyDescent="0.3">
      <c r="A260" s="51" t="s">
        <v>65</v>
      </c>
      <c r="B260" s="38" t="s">
        <v>35</v>
      </c>
      <c r="C260" s="27" t="s">
        <v>0</v>
      </c>
      <c r="D260" s="26">
        <v>4668034795</v>
      </c>
      <c r="E260" s="25">
        <v>1467020</v>
      </c>
      <c r="F260" s="24">
        <f>ROUNDDOWN(E260/(1-F259),-1)</f>
        <v>1467020</v>
      </c>
      <c r="G260" s="110">
        <f>ROUNDDOWN(IF(F260*G259&gt;H259,H259,F260*G259),-1)</f>
        <v>88020</v>
      </c>
      <c r="H260" s="111"/>
      <c r="I260" s="112">
        <f>ROUNDDOWN(IF(F260*I259&gt;J259,J259,F260*I259),-1)</f>
        <v>0</v>
      </c>
      <c r="J260" s="113"/>
      <c r="K260" s="112">
        <f>ROUNDDOWN(IF(F260*K259&gt;L259,L259,F260*K259),-1)</f>
        <v>130000</v>
      </c>
      <c r="L260" s="113"/>
      <c r="M260" s="110">
        <f>ROUNDDOWN(IF(Q260*M259&gt;N259,N259,Q260*M259),-1)</f>
        <v>0</v>
      </c>
      <c r="N260" s="111"/>
      <c r="O260" s="110">
        <f>ROUNDDOWN(IF(F260*O259&gt;P259,P259,F260*O259),-1)</f>
        <v>0</v>
      </c>
      <c r="P260" s="111"/>
      <c r="Q260" s="23">
        <f>F260-G260-I260-K260</f>
        <v>1249000</v>
      </c>
      <c r="R260" s="22">
        <f>F260-G260-I260-K260-M260-O260</f>
        <v>1249000</v>
      </c>
      <c r="S260" s="21"/>
      <c r="T260" s="20">
        <f>F260*T259</f>
        <v>102691.40000000001</v>
      </c>
      <c r="U260" s="20">
        <f>F260*U259</f>
        <v>0</v>
      </c>
      <c r="V260" s="20">
        <f>(F260-I260)*V259</f>
        <v>0</v>
      </c>
      <c r="W260" s="19">
        <f>(F260*F259)*W259</f>
        <v>0</v>
      </c>
      <c r="X260" s="19">
        <f>G260*X259</f>
        <v>0</v>
      </c>
      <c r="Y260" s="19">
        <f>I260*Y259</f>
        <v>0</v>
      </c>
      <c r="Z260" s="19">
        <f>K260*Z259</f>
        <v>119999.88</v>
      </c>
      <c r="AA260" s="19">
        <f>M260*AA259</f>
        <v>0</v>
      </c>
      <c r="AB260" s="19">
        <v>0</v>
      </c>
      <c r="AC260" s="16">
        <v>6000</v>
      </c>
      <c r="AD260" s="18">
        <f>F260-T260-U260-V260-W260-AA260-X260-Y260-Z260-AB260</f>
        <v>1244328.7200000002</v>
      </c>
      <c r="AE260" s="18">
        <f>F260-T260-U260-V260-W260-X260-Y260-Z260-AA260-AB260-AC260</f>
        <v>1238328.7200000002</v>
      </c>
      <c r="AF260" s="17">
        <f>AE260-AG260</f>
        <v>170328.7200000002</v>
      </c>
      <c r="AG260" s="16">
        <v>1068000</v>
      </c>
      <c r="AH260" s="15">
        <f>AF260/AG260</f>
        <v>0.1594838202247193</v>
      </c>
      <c r="AI260" s="14">
        <f>1-R260/(AG260-AM260-AN260-AO260)</f>
        <v>-0.16947565543071152</v>
      </c>
      <c r="AJ260" s="114">
        <f>(1-R260/F260)-(1-(AD260)/F260)</f>
        <v>-3.1841965344711065E-3</v>
      </c>
      <c r="AK260" s="115"/>
      <c r="AM260" s="13"/>
      <c r="AN260" s="12"/>
      <c r="AO260" s="12"/>
      <c r="AP260" s="12"/>
      <c r="AQ260" s="11">
        <f>AE260-(AG260-AM260-AN260-AO260-AP260)</f>
        <v>170328.7200000002</v>
      </c>
      <c r="AR260" s="8">
        <f>AQ260/AG260</f>
        <v>0.1594838202247193</v>
      </c>
      <c r="AT260" s="10">
        <v>0</v>
      </c>
      <c r="AU260" s="10">
        <v>0</v>
      </c>
      <c r="AV260" s="9">
        <f>AQ260-AT260-AU260</f>
        <v>170328.7200000002</v>
      </c>
      <c r="AW260" s="8">
        <f>AV260/AG260</f>
        <v>0.1594838202247193</v>
      </c>
      <c r="AY260" s="7"/>
      <c r="AZ260" s="50"/>
      <c r="BA260" s="52"/>
      <c r="BB260" s="7"/>
    </row>
    <row r="261" spans="1:54" ht="16.5" customHeight="1" x14ac:dyDescent="0.3">
      <c r="D261" s="21">
        <v>4578283620</v>
      </c>
      <c r="E261" s="5">
        <v>1149000</v>
      </c>
      <c r="F261" s="4">
        <f>ROUNDDOWN(E261/(1-F259),-1)</f>
        <v>1149000</v>
      </c>
      <c r="G261" s="105">
        <f>ROUNDDOWN(IF(F261*G259&gt;H259,H259,F261*G259),-1)</f>
        <v>68940</v>
      </c>
      <c r="H261" s="105"/>
      <c r="J261" s="54">
        <f>F260*4%</f>
        <v>58680.800000000003</v>
      </c>
      <c r="L261" s="21"/>
      <c r="R261" s="4"/>
      <c r="X261" s="3">
        <f>G261*X259</f>
        <v>0</v>
      </c>
      <c r="Y261" s="3"/>
      <c r="Z261" s="3"/>
      <c r="AG261" s="57"/>
    </row>
    <row r="262" spans="1:54" ht="16.5" customHeight="1" x14ac:dyDescent="0.3">
      <c r="E262" s="5"/>
      <c r="F262" s="4"/>
      <c r="G262" s="42"/>
      <c r="H262" s="42"/>
      <c r="J262" s="54"/>
      <c r="X262" s="3"/>
      <c r="Y262" s="3"/>
      <c r="Z262" s="3"/>
      <c r="AG262" s="5"/>
    </row>
    <row r="263" spans="1:54" ht="16.5" customHeight="1" x14ac:dyDescent="0.3">
      <c r="E263" s="5"/>
      <c r="F263" s="4"/>
      <c r="G263" s="42"/>
      <c r="H263" s="42"/>
      <c r="J263" s="54"/>
      <c r="X263" s="3"/>
      <c r="Y263" s="3"/>
      <c r="Z263" s="3"/>
      <c r="AG263" s="5"/>
    </row>
    <row r="264" spans="1:54" ht="27" customHeight="1" x14ac:dyDescent="0.3">
      <c r="A264" s="124" t="s">
        <v>34</v>
      </c>
      <c r="B264" s="127" t="s">
        <v>125</v>
      </c>
      <c r="C264" s="128"/>
      <c r="D264" s="128"/>
      <c r="E264" s="128"/>
      <c r="F264" s="128"/>
      <c r="G264" s="128"/>
      <c r="H264" s="128"/>
      <c r="I264" s="128"/>
      <c r="J264" s="128"/>
      <c r="K264" s="128"/>
      <c r="L264" s="128"/>
      <c r="M264" s="128"/>
      <c r="N264" s="128"/>
      <c r="O264" s="128"/>
      <c r="P264" s="128"/>
      <c r="Q264" s="128"/>
      <c r="R264" s="129"/>
      <c r="T264" s="130" t="s">
        <v>33</v>
      </c>
      <c r="U264" s="131"/>
      <c r="V264" s="131"/>
      <c r="W264" s="131"/>
      <c r="X264" s="131"/>
      <c r="Y264" s="131"/>
      <c r="Z264" s="131"/>
      <c r="AA264" s="131"/>
      <c r="AB264" s="131"/>
      <c r="AC264" s="131"/>
      <c r="AD264" s="131"/>
      <c r="AE264" s="131"/>
      <c r="AF264" s="131"/>
      <c r="AG264" s="131"/>
      <c r="AH264" s="132"/>
      <c r="AI264" s="37"/>
      <c r="AM264" s="130" t="s">
        <v>32</v>
      </c>
      <c r="AN264" s="131"/>
      <c r="AO264" s="131"/>
      <c r="AP264" s="131"/>
      <c r="AQ264" s="131"/>
      <c r="AR264" s="132"/>
      <c r="AT264" s="130" t="s">
        <v>31</v>
      </c>
      <c r="AU264" s="131"/>
      <c r="AV264" s="131"/>
      <c r="AW264" s="132"/>
      <c r="AY264" s="36" t="s">
        <v>36</v>
      </c>
      <c r="AZ264" s="48"/>
      <c r="BA264" s="52"/>
      <c r="BB264" s="36"/>
    </row>
    <row r="265" spans="1:54" ht="32.25" customHeight="1" x14ac:dyDescent="0.3">
      <c r="A265" s="125"/>
      <c r="B265" s="133" t="s">
        <v>30</v>
      </c>
      <c r="C265" s="133" t="s">
        <v>29</v>
      </c>
      <c r="D265" s="116" t="s">
        <v>28</v>
      </c>
      <c r="E265" s="116" t="s">
        <v>27</v>
      </c>
      <c r="F265" s="34" t="s">
        <v>26</v>
      </c>
      <c r="G265" s="122" t="s">
        <v>63</v>
      </c>
      <c r="H265" s="123"/>
      <c r="I265" s="122" t="s">
        <v>50</v>
      </c>
      <c r="J265" s="123"/>
      <c r="K265" s="122" t="s">
        <v>62</v>
      </c>
      <c r="L265" s="123"/>
      <c r="M265" s="122" t="s">
        <v>25</v>
      </c>
      <c r="N265" s="123"/>
      <c r="O265" s="122" t="s">
        <v>24</v>
      </c>
      <c r="P265" s="123"/>
      <c r="Q265" s="106" t="s">
        <v>23</v>
      </c>
      <c r="R265" s="106" t="s">
        <v>22</v>
      </c>
      <c r="S265" s="21"/>
      <c r="T265" s="34" t="s">
        <v>21</v>
      </c>
      <c r="U265" s="34" t="s">
        <v>20</v>
      </c>
      <c r="V265" s="34" t="s">
        <v>95</v>
      </c>
      <c r="W265" s="34" t="s">
        <v>19</v>
      </c>
      <c r="X265" s="34" t="s">
        <v>18</v>
      </c>
      <c r="Y265" s="34" t="s">
        <v>48</v>
      </c>
      <c r="Z265" s="34" t="s">
        <v>49</v>
      </c>
      <c r="AA265" s="34" t="s">
        <v>17</v>
      </c>
      <c r="AB265" s="106" t="s">
        <v>16</v>
      </c>
      <c r="AC265" s="106" t="s">
        <v>15</v>
      </c>
      <c r="AD265" s="106" t="s">
        <v>14</v>
      </c>
      <c r="AE265" s="106" t="s">
        <v>13</v>
      </c>
      <c r="AF265" s="106" t="s">
        <v>12</v>
      </c>
      <c r="AG265" s="116" t="s">
        <v>11</v>
      </c>
      <c r="AH265" s="118" t="s">
        <v>10</v>
      </c>
      <c r="AI265" s="120" t="s">
        <v>9</v>
      </c>
      <c r="AJ265" s="35">
        <f>(1-R267/F267)</f>
        <v>0.22055345911949686</v>
      </c>
      <c r="AK265" s="35">
        <f>1-(AD267+AM267)/F267</f>
        <v>0.1949307421383647</v>
      </c>
      <c r="AM265" s="106" t="s">
        <v>8</v>
      </c>
      <c r="AN265" s="106" t="s">
        <v>7</v>
      </c>
      <c r="AO265" s="106" t="s">
        <v>37</v>
      </c>
      <c r="AP265" s="106" t="s">
        <v>38</v>
      </c>
      <c r="AQ265" s="106" t="s">
        <v>6</v>
      </c>
      <c r="AR265" s="106" t="s">
        <v>5</v>
      </c>
      <c r="AT265" s="106" t="s">
        <v>4</v>
      </c>
      <c r="AU265" s="106" t="s">
        <v>3</v>
      </c>
      <c r="AV265" s="106" t="s">
        <v>2</v>
      </c>
      <c r="AW265" s="106" t="s">
        <v>1</v>
      </c>
      <c r="AY265" s="106"/>
      <c r="AZ265" s="108"/>
      <c r="BA265" s="52"/>
      <c r="BB265" s="106"/>
    </row>
    <row r="266" spans="1:54" ht="27" customHeight="1" x14ac:dyDescent="0.3">
      <c r="A266" s="126"/>
      <c r="B266" s="134"/>
      <c r="C266" s="134"/>
      <c r="D266" s="117"/>
      <c r="E266" s="117"/>
      <c r="F266" s="31">
        <v>0</v>
      </c>
      <c r="G266" s="33">
        <v>0.06</v>
      </c>
      <c r="H266" s="32">
        <v>1000000</v>
      </c>
      <c r="I266" s="31">
        <v>1</v>
      </c>
      <c r="J266" s="32">
        <v>32000</v>
      </c>
      <c r="K266" s="31">
        <v>1</v>
      </c>
      <c r="L266" s="32">
        <v>130000</v>
      </c>
      <c r="M266" s="31">
        <v>7.0000000000000007E-2</v>
      </c>
      <c r="N266" s="32">
        <v>150000</v>
      </c>
      <c r="O266" s="31">
        <v>0</v>
      </c>
      <c r="P266" s="32">
        <v>0</v>
      </c>
      <c r="Q266" s="107"/>
      <c r="R266" s="107"/>
      <c r="S266" s="21"/>
      <c r="T266" s="31">
        <f>IF(C267="노트북",7%,IF(C267="저장&amp;주변기기",9%,IF(C267="모니터",7%)))</f>
        <v>7.0000000000000007E-2</v>
      </c>
      <c r="U266" s="31">
        <v>0</v>
      </c>
      <c r="V266" s="31">
        <v>0</v>
      </c>
      <c r="W266" s="31">
        <f>IF(G266=0%,20%,0%)</f>
        <v>0</v>
      </c>
      <c r="X266" s="30">
        <v>0</v>
      </c>
      <c r="Y266" s="30">
        <v>1</v>
      </c>
      <c r="Z266" s="53">
        <v>0.92307600000000001</v>
      </c>
      <c r="AA266" s="29">
        <v>0.5</v>
      </c>
      <c r="AB266" s="107"/>
      <c r="AC266" s="107"/>
      <c r="AD266" s="107"/>
      <c r="AE266" s="107"/>
      <c r="AF266" s="107"/>
      <c r="AG266" s="117"/>
      <c r="AH266" s="119"/>
      <c r="AI266" s="121"/>
      <c r="AJ266" s="55" t="s">
        <v>52</v>
      </c>
      <c r="AK266" s="56">
        <f>AJ265-AK265</f>
        <v>2.5622716981132165E-2</v>
      </c>
      <c r="AM266" s="107"/>
      <c r="AN266" s="107"/>
      <c r="AO266" s="107"/>
      <c r="AP266" s="107"/>
      <c r="AQ266" s="107"/>
      <c r="AR266" s="107"/>
      <c r="AS266" s="39"/>
      <c r="AT266" s="107"/>
      <c r="AU266" s="107"/>
      <c r="AV266" s="107"/>
      <c r="AW266" s="107"/>
      <c r="AY266" s="107"/>
      <c r="AZ266" s="109"/>
      <c r="BA266" s="52"/>
      <c r="BB266" s="107"/>
    </row>
    <row r="267" spans="1:54" ht="27" customHeight="1" x14ac:dyDescent="0.3">
      <c r="A267" s="51" t="s">
        <v>66</v>
      </c>
      <c r="B267" s="38" t="s">
        <v>35</v>
      </c>
      <c r="C267" s="27" t="s">
        <v>0</v>
      </c>
      <c r="D267" s="26">
        <v>4668027223</v>
      </c>
      <c r="E267" s="25">
        <v>1590000</v>
      </c>
      <c r="F267" s="24">
        <f>ROUNDDOWN(E267/(1-F266),-1)</f>
        <v>1590000</v>
      </c>
      <c r="G267" s="110">
        <f>ROUNDDOWN(IF(F267*G266&gt;H266,H266,F267*G266),-1)</f>
        <v>95400</v>
      </c>
      <c r="H267" s="111"/>
      <c r="I267" s="112">
        <f>ROUNDDOWN(IF(F267*I266&gt;J266,J266,F267*I266),-1)</f>
        <v>32000</v>
      </c>
      <c r="J267" s="113"/>
      <c r="K267" s="112">
        <f>ROUNDDOWN(IF(F267*K266&gt;L266,L266,F267*K266),-1)</f>
        <v>130000</v>
      </c>
      <c r="L267" s="113"/>
      <c r="M267" s="110">
        <f>ROUNDDOWN(IF(Q267*M266&gt;N266,N266,Q267*M266),-1)</f>
        <v>93280</v>
      </c>
      <c r="N267" s="111"/>
      <c r="O267" s="110">
        <f>ROUNDDOWN(IF(F267*O266&gt;P266,P266,F267*O266),-1)</f>
        <v>0</v>
      </c>
      <c r="P267" s="111"/>
      <c r="Q267" s="23">
        <f>F267-G267-I267-K267</f>
        <v>1332600</v>
      </c>
      <c r="R267" s="22">
        <f>F267-G267-I267-K267-M267-O267</f>
        <v>1239320</v>
      </c>
      <c r="S267" s="21"/>
      <c r="T267" s="20">
        <f>F267*T266</f>
        <v>111300.00000000001</v>
      </c>
      <c r="U267" s="20">
        <f>F267*U266</f>
        <v>0</v>
      </c>
      <c r="V267" s="20">
        <f>(F267-I267)*V266</f>
        <v>0</v>
      </c>
      <c r="W267" s="19">
        <f>(F267*F266)*W266</f>
        <v>0</v>
      </c>
      <c r="X267" s="19">
        <f>G267*X266</f>
        <v>0</v>
      </c>
      <c r="Y267" s="19">
        <f>I267*Y266</f>
        <v>32000</v>
      </c>
      <c r="Z267" s="19">
        <f>K267*Z266</f>
        <v>119999.88</v>
      </c>
      <c r="AA267" s="19">
        <f>M267*AA266</f>
        <v>46640</v>
      </c>
      <c r="AB267" s="19">
        <v>0</v>
      </c>
      <c r="AC267" s="16">
        <v>6000</v>
      </c>
      <c r="AD267" s="18">
        <f>F267-T267-U267-V267-W267-AA267-X267-Y267-Z267-AB267</f>
        <v>1280060.1200000001</v>
      </c>
      <c r="AE267" s="18">
        <f>F267-T267-U267-V267-W267-X267-Y267-Z267-AA267-AB267-AC267</f>
        <v>1274060.1200000001</v>
      </c>
      <c r="AF267" s="17">
        <f>AE267-AG267</f>
        <v>66060.120000000112</v>
      </c>
      <c r="AG267" s="16">
        <v>1208000</v>
      </c>
      <c r="AH267" s="15">
        <f>AF267/AG267</f>
        <v>5.4685529801324594E-2</v>
      </c>
      <c r="AI267" s="14">
        <f>1-R267/(AG267-AM267-AN267-AO267)</f>
        <v>-2.5927152317880786E-2</v>
      </c>
      <c r="AJ267" s="114">
        <f>(1-R267/F267)-(1-(AD267)/F267)</f>
        <v>2.5622716981132165E-2</v>
      </c>
      <c r="AK267" s="115"/>
      <c r="AM267" s="13"/>
      <c r="AN267" s="12"/>
      <c r="AO267" s="12"/>
      <c r="AP267" s="12"/>
      <c r="AQ267" s="11">
        <f>AE267-(AG267-AM267-AN267-AO267-AP267)</f>
        <v>66060.120000000112</v>
      </c>
      <c r="AR267" s="8">
        <f>AQ267/AG267</f>
        <v>5.4685529801324594E-2</v>
      </c>
      <c r="AT267" s="10">
        <v>0</v>
      </c>
      <c r="AU267" s="10">
        <v>0</v>
      </c>
      <c r="AV267" s="9">
        <f>AQ267-AT267-AU267</f>
        <v>66060.120000000112</v>
      </c>
      <c r="AW267" s="8">
        <f>AV267/AG267</f>
        <v>5.4685529801324594E-2</v>
      </c>
      <c r="AY267" s="7"/>
      <c r="AZ267" s="50"/>
      <c r="BA267" s="52"/>
      <c r="BB267" s="7"/>
    </row>
    <row r="268" spans="1:54" ht="16.5" customHeight="1" x14ac:dyDescent="0.3">
      <c r="D268" s="21">
        <v>4578292820</v>
      </c>
      <c r="E268" s="5">
        <v>1299000</v>
      </c>
      <c r="F268" s="4">
        <f>ROUNDDOWN(E268/(1-F266),-1)</f>
        <v>1299000</v>
      </c>
      <c r="G268" s="105">
        <f>ROUNDDOWN(IF(F268*G266&gt;H266,H266,F268*G266),-1)</f>
        <v>77940</v>
      </c>
      <c r="H268" s="105"/>
      <c r="J268" s="54">
        <f>F267*4%</f>
        <v>63600</v>
      </c>
      <c r="L268" s="21" t="s">
        <v>89</v>
      </c>
      <c r="R268" s="4">
        <v>878000</v>
      </c>
      <c r="X268" s="3">
        <f>G268*X266</f>
        <v>0</v>
      </c>
      <c r="Y268" s="3"/>
      <c r="Z268" s="3"/>
      <c r="AG268" s="57"/>
    </row>
    <row r="269" spans="1:54" ht="27" customHeight="1" x14ac:dyDescent="0.3">
      <c r="A269" s="124" t="s">
        <v>34</v>
      </c>
      <c r="B269" s="135" t="s">
        <v>126</v>
      </c>
      <c r="C269" s="136"/>
      <c r="D269" s="136"/>
      <c r="E269" s="136"/>
      <c r="F269" s="136"/>
      <c r="G269" s="136"/>
      <c r="H269" s="136"/>
      <c r="I269" s="136"/>
      <c r="J269" s="136"/>
      <c r="K269" s="136"/>
      <c r="L269" s="136"/>
      <c r="M269" s="136"/>
      <c r="N269" s="136"/>
      <c r="O269" s="136"/>
      <c r="P269" s="136"/>
      <c r="Q269" s="136"/>
      <c r="R269" s="137"/>
      <c r="T269" s="130" t="s">
        <v>33</v>
      </c>
      <c r="U269" s="131"/>
      <c r="V269" s="131"/>
      <c r="W269" s="131"/>
      <c r="X269" s="131"/>
      <c r="Y269" s="131"/>
      <c r="Z269" s="131"/>
      <c r="AA269" s="131"/>
      <c r="AB269" s="131"/>
      <c r="AC269" s="131"/>
      <c r="AD269" s="131"/>
      <c r="AE269" s="131"/>
      <c r="AF269" s="131"/>
      <c r="AG269" s="131"/>
      <c r="AH269" s="132"/>
      <c r="AI269" s="37"/>
      <c r="AM269" s="130" t="s">
        <v>32</v>
      </c>
      <c r="AN269" s="131"/>
      <c r="AO269" s="131"/>
      <c r="AP269" s="131"/>
      <c r="AQ269" s="131"/>
      <c r="AR269" s="132"/>
      <c r="AT269" s="130" t="s">
        <v>31</v>
      </c>
      <c r="AU269" s="131"/>
      <c r="AV269" s="131"/>
      <c r="AW269" s="132"/>
      <c r="AY269" s="36" t="s">
        <v>36</v>
      </c>
      <c r="AZ269" s="48"/>
      <c r="BA269" s="52"/>
      <c r="BB269" s="36"/>
    </row>
    <row r="270" spans="1:54" ht="32.25" customHeight="1" x14ac:dyDescent="0.3">
      <c r="A270" s="125"/>
      <c r="B270" s="133" t="s">
        <v>30</v>
      </c>
      <c r="C270" s="133" t="s">
        <v>29</v>
      </c>
      <c r="D270" s="116" t="s">
        <v>28</v>
      </c>
      <c r="E270" s="116" t="s">
        <v>27</v>
      </c>
      <c r="F270" s="34" t="s">
        <v>26</v>
      </c>
      <c r="G270" s="122" t="s">
        <v>63</v>
      </c>
      <c r="H270" s="123"/>
      <c r="I270" s="122" t="s">
        <v>50</v>
      </c>
      <c r="J270" s="123"/>
      <c r="K270" s="122" t="s">
        <v>62</v>
      </c>
      <c r="L270" s="123"/>
      <c r="M270" s="122" t="s">
        <v>25</v>
      </c>
      <c r="N270" s="123"/>
      <c r="O270" s="122" t="s">
        <v>24</v>
      </c>
      <c r="P270" s="123"/>
      <c r="Q270" s="106" t="s">
        <v>23</v>
      </c>
      <c r="R270" s="106" t="s">
        <v>22</v>
      </c>
      <c r="S270" s="21"/>
      <c r="T270" s="34" t="s">
        <v>21</v>
      </c>
      <c r="U270" s="34" t="s">
        <v>20</v>
      </c>
      <c r="V270" s="34" t="s">
        <v>95</v>
      </c>
      <c r="W270" s="34" t="s">
        <v>19</v>
      </c>
      <c r="X270" s="34" t="s">
        <v>18</v>
      </c>
      <c r="Y270" s="34" t="s">
        <v>48</v>
      </c>
      <c r="Z270" s="34" t="s">
        <v>49</v>
      </c>
      <c r="AA270" s="34" t="s">
        <v>17</v>
      </c>
      <c r="AB270" s="106" t="s">
        <v>16</v>
      </c>
      <c r="AC270" s="106" t="s">
        <v>15</v>
      </c>
      <c r="AD270" s="106" t="s">
        <v>14</v>
      </c>
      <c r="AE270" s="106" t="s">
        <v>13</v>
      </c>
      <c r="AF270" s="106" t="s">
        <v>12</v>
      </c>
      <c r="AG270" s="116" t="s">
        <v>11</v>
      </c>
      <c r="AH270" s="118" t="s">
        <v>10</v>
      </c>
      <c r="AI270" s="120" t="s">
        <v>9</v>
      </c>
      <c r="AJ270" s="35">
        <f>(1-R272/F272)</f>
        <v>0.1455127909959808</v>
      </c>
      <c r="AK270" s="35">
        <f>1-(AD272+AM272)/F272</f>
        <v>0.14893638378908181</v>
      </c>
      <c r="AM270" s="106" t="s">
        <v>8</v>
      </c>
      <c r="AN270" s="106" t="s">
        <v>7</v>
      </c>
      <c r="AO270" s="106" t="s">
        <v>37</v>
      </c>
      <c r="AP270" s="106" t="s">
        <v>38</v>
      </c>
      <c r="AQ270" s="106" t="s">
        <v>6</v>
      </c>
      <c r="AR270" s="106" t="s">
        <v>5</v>
      </c>
      <c r="AT270" s="106" t="s">
        <v>4</v>
      </c>
      <c r="AU270" s="106" t="s">
        <v>3</v>
      </c>
      <c r="AV270" s="106" t="s">
        <v>2</v>
      </c>
      <c r="AW270" s="106" t="s">
        <v>1</v>
      </c>
      <c r="AY270" s="106"/>
      <c r="AZ270" s="108"/>
      <c r="BA270" s="52"/>
      <c r="BB270" s="106"/>
    </row>
    <row r="271" spans="1:54" ht="27" customHeight="1" x14ac:dyDescent="0.3">
      <c r="A271" s="126"/>
      <c r="B271" s="134"/>
      <c r="C271" s="134"/>
      <c r="D271" s="117"/>
      <c r="E271" s="117"/>
      <c r="F271" s="31">
        <v>0</v>
      </c>
      <c r="G271" s="33">
        <v>0.06</v>
      </c>
      <c r="H271" s="32">
        <v>1000000</v>
      </c>
      <c r="I271" s="31">
        <v>0</v>
      </c>
      <c r="J271" s="32">
        <v>0</v>
      </c>
      <c r="K271" s="31">
        <v>1</v>
      </c>
      <c r="L271" s="32">
        <v>130000</v>
      </c>
      <c r="M271" s="31">
        <v>0</v>
      </c>
      <c r="N271" s="32">
        <v>0</v>
      </c>
      <c r="O271" s="31">
        <v>0</v>
      </c>
      <c r="P271" s="32">
        <v>0</v>
      </c>
      <c r="Q271" s="107"/>
      <c r="R271" s="107"/>
      <c r="S271" s="21"/>
      <c r="T271" s="31">
        <f>IF(C272="노트북",7%,IF(C272="저장&amp;주변기기",9%,IF(C272="모니터",7%)))</f>
        <v>7.0000000000000007E-2</v>
      </c>
      <c r="U271" s="31">
        <v>0</v>
      </c>
      <c r="V271" s="31">
        <v>0</v>
      </c>
      <c r="W271" s="31">
        <f>IF(G271=0%,20%,0%)</f>
        <v>0</v>
      </c>
      <c r="X271" s="30">
        <v>0</v>
      </c>
      <c r="Y271" s="30">
        <v>1</v>
      </c>
      <c r="Z271" s="53">
        <v>0.92307600000000001</v>
      </c>
      <c r="AA271" s="29">
        <v>0.5</v>
      </c>
      <c r="AB271" s="107"/>
      <c r="AC271" s="107"/>
      <c r="AD271" s="107"/>
      <c r="AE271" s="107"/>
      <c r="AF271" s="107"/>
      <c r="AG271" s="117"/>
      <c r="AH271" s="119"/>
      <c r="AI271" s="121"/>
      <c r="AJ271" s="55" t="s">
        <v>52</v>
      </c>
      <c r="AK271" s="56">
        <f>AJ270-AK270</f>
        <v>-3.4235927931010046E-3</v>
      </c>
      <c r="AM271" s="107"/>
      <c r="AN271" s="107"/>
      <c r="AO271" s="107"/>
      <c r="AP271" s="107"/>
      <c r="AQ271" s="107"/>
      <c r="AR271" s="107"/>
      <c r="AS271" s="39"/>
      <c r="AT271" s="107"/>
      <c r="AU271" s="107"/>
      <c r="AV271" s="107"/>
      <c r="AW271" s="107"/>
      <c r="AY271" s="107"/>
      <c r="AZ271" s="109"/>
      <c r="BA271" s="52"/>
      <c r="BB271" s="107"/>
    </row>
    <row r="272" spans="1:54" ht="27" customHeight="1" x14ac:dyDescent="0.3">
      <c r="A272" s="51" t="s">
        <v>66</v>
      </c>
      <c r="B272" s="38" t="s">
        <v>35</v>
      </c>
      <c r="C272" s="27" t="s">
        <v>0</v>
      </c>
      <c r="D272" s="26">
        <v>4668027223</v>
      </c>
      <c r="E272" s="25">
        <v>1520210</v>
      </c>
      <c r="F272" s="24">
        <f>ROUNDDOWN(E272/(1-F271),-1)</f>
        <v>1520210</v>
      </c>
      <c r="G272" s="110">
        <f>ROUNDDOWN(IF(F272*G271&gt;H271,H271,F272*G271),-1)</f>
        <v>91210</v>
      </c>
      <c r="H272" s="111"/>
      <c r="I272" s="112">
        <f>ROUNDDOWN(IF(F272*I271&gt;J271,J271,F272*I271),-1)</f>
        <v>0</v>
      </c>
      <c r="J272" s="113"/>
      <c r="K272" s="112">
        <f>ROUNDDOWN(IF(F272*K271&gt;L271,L271,F272*K271),-1)</f>
        <v>130000</v>
      </c>
      <c r="L272" s="113"/>
      <c r="M272" s="110">
        <f>ROUNDDOWN(IF(Q272*M271&gt;N271,N271,Q272*M271),-1)</f>
        <v>0</v>
      </c>
      <c r="N272" s="111"/>
      <c r="O272" s="110">
        <f>ROUNDDOWN(IF(F272*O271&gt;P271,P271,F272*O271),-1)</f>
        <v>0</v>
      </c>
      <c r="P272" s="111"/>
      <c r="Q272" s="23">
        <f>F272-G272-I272-K272</f>
        <v>1299000</v>
      </c>
      <c r="R272" s="22">
        <f>F272-G272-I272-K272-M272-O272</f>
        <v>1299000</v>
      </c>
      <c r="S272" s="21"/>
      <c r="T272" s="20">
        <f>F272*T271</f>
        <v>106414.70000000001</v>
      </c>
      <c r="U272" s="20">
        <f>F272*U271</f>
        <v>0</v>
      </c>
      <c r="V272" s="20">
        <f>(F272-I272)*V271</f>
        <v>0</v>
      </c>
      <c r="W272" s="19">
        <f>(F272*F271)*W271</f>
        <v>0</v>
      </c>
      <c r="X272" s="19">
        <f>G272*X271</f>
        <v>0</v>
      </c>
      <c r="Y272" s="19">
        <f>I272*Y271</f>
        <v>0</v>
      </c>
      <c r="Z272" s="19">
        <f>K272*Z271</f>
        <v>119999.88</v>
      </c>
      <c r="AA272" s="19">
        <f>M272*AA271</f>
        <v>0</v>
      </c>
      <c r="AB272" s="19">
        <v>0</v>
      </c>
      <c r="AC272" s="16">
        <v>6000</v>
      </c>
      <c r="AD272" s="18">
        <f>F272-T272-U272-V272-W272-AA272-X272-Y272-Z272-AB272</f>
        <v>1293795.42</v>
      </c>
      <c r="AE272" s="18">
        <f>F272-T272-U272-V272-W272-X272-Y272-Z272-AA272-AB272-AC272</f>
        <v>1287795.42</v>
      </c>
      <c r="AF272" s="17">
        <f>AE272-AG272</f>
        <v>79795.419999999925</v>
      </c>
      <c r="AG272" s="16">
        <v>1208000</v>
      </c>
      <c r="AH272" s="15">
        <f>AF272/AG272</f>
        <v>6.6055811258278085E-2</v>
      </c>
      <c r="AI272" s="14">
        <f>1-R272/(AG272-AM272-AN272-AO272)</f>
        <v>-7.5331125827814649E-2</v>
      </c>
      <c r="AJ272" s="114">
        <f>(1-R272/F272)-(1-(AD272)/F272)</f>
        <v>-3.4235927931010046E-3</v>
      </c>
      <c r="AK272" s="115"/>
      <c r="AM272" s="13"/>
      <c r="AN272" s="12"/>
      <c r="AO272" s="12"/>
      <c r="AP272" s="12"/>
      <c r="AQ272" s="11">
        <f>AE272-(AG272-AM272-AN272-AO272-AP272)</f>
        <v>79795.419999999925</v>
      </c>
      <c r="AR272" s="8">
        <f>AQ272/AG272</f>
        <v>6.6055811258278085E-2</v>
      </c>
      <c r="AT272" s="10">
        <v>0</v>
      </c>
      <c r="AU272" s="10">
        <v>0</v>
      </c>
      <c r="AV272" s="9">
        <f>AQ272-AT272-AU272</f>
        <v>79795.419999999925</v>
      </c>
      <c r="AW272" s="8">
        <f>AV272/AG272</f>
        <v>6.6055811258278085E-2</v>
      </c>
      <c r="AY272" s="7"/>
      <c r="AZ272" s="50"/>
      <c r="BA272" s="52"/>
      <c r="BB272" s="7"/>
    </row>
    <row r="273" spans="1:54" ht="16.5" customHeight="1" x14ac:dyDescent="0.3">
      <c r="D273" s="21">
        <v>4578292820</v>
      </c>
      <c r="E273" s="5">
        <v>1299000</v>
      </c>
      <c r="F273" s="4">
        <f>ROUNDDOWN(E273/(1-F271),-1)</f>
        <v>1299000</v>
      </c>
      <c r="G273" s="105">
        <f>ROUNDDOWN(IF(F273*G271&gt;H271,H271,F273*G271),-1)</f>
        <v>77940</v>
      </c>
      <c r="H273" s="105"/>
      <c r="J273" s="54">
        <f>F272*4%</f>
        <v>60808.4</v>
      </c>
      <c r="L273" s="21" t="s">
        <v>89</v>
      </c>
      <c r="R273" s="4">
        <v>878000</v>
      </c>
      <c r="X273" s="3">
        <f>G273*X271</f>
        <v>0</v>
      </c>
      <c r="Y273" s="3"/>
      <c r="Z273" s="3"/>
      <c r="AG273" s="57"/>
    </row>
    <row r="274" spans="1:54" ht="16.5" customHeight="1" x14ac:dyDescent="0.3">
      <c r="E274" s="5"/>
      <c r="F274" s="4"/>
      <c r="G274" s="42"/>
      <c r="H274" s="42"/>
      <c r="J274" s="54"/>
      <c r="X274" s="3"/>
      <c r="Y274" s="3"/>
      <c r="Z274" s="3"/>
      <c r="AG274" s="5"/>
    </row>
    <row r="276" spans="1:54" ht="27" customHeight="1" x14ac:dyDescent="0.3">
      <c r="A276" s="124" t="s">
        <v>34</v>
      </c>
      <c r="B276" s="127" t="s">
        <v>125</v>
      </c>
      <c r="C276" s="128"/>
      <c r="D276" s="128"/>
      <c r="E276" s="128"/>
      <c r="F276" s="128"/>
      <c r="G276" s="128"/>
      <c r="H276" s="128"/>
      <c r="I276" s="128"/>
      <c r="J276" s="128"/>
      <c r="K276" s="128"/>
      <c r="L276" s="128"/>
      <c r="M276" s="128"/>
      <c r="N276" s="128"/>
      <c r="O276" s="128"/>
      <c r="P276" s="128"/>
      <c r="Q276" s="128"/>
      <c r="R276" s="129"/>
      <c r="T276" s="130" t="s">
        <v>33</v>
      </c>
      <c r="U276" s="131"/>
      <c r="V276" s="131"/>
      <c r="W276" s="131"/>
      <c r="X276" s="131"/>
      <c r="Y276" s="131"/>
      <c r="Z276" s="131"/>
      <c r="AA276" s="131"/>
      <c r="AB276" s="131"/>
      <c r="AC276" s="131"/>
      <c r="AD276" s="131"/>
      <c r="AE276" s="131"/>
      <c r="AF276" s="131"/>
      <c r="AG276" s="131"/>
      <c r="AH276" s="132"/>
      <c r="AI276" s="37"/>
      <c r="AM276" s="130" t="s">
        <v>32</v>
      </c>
      <c r="AN276" s="131"/>
      <c r="AO276" s="131"/>
      <c r="AP276" s="131"/>
      <c r="AQ276" s="131"/>
      <c r="AR276" s="132"/>
      <c r="AT276" s="130" t="s">
        <v>31</v>
      </c>
      <c r="AU276" s="131"/>
      <c r="AV276" s="131"/>
      <c r="AW276" s="132"/>
      <c r="AY276" s="36" t="s">
        <v>36</v>
      </c>
      <c r="AZ276" s="48"/>
      <c r="BA276" s="52"/>
      <c r="BB276" s="36"/>
    </row>
    <row r="277" spans="1:54" ht="32.25" customHeight="1" x14ac:dyDescent="0.3">
      <c r="A277" s="125"/>
      <c r="B277" s="133" t="s">
        <v>30</v>
      </c>
      <c r="C277" s="133" t="s">
        <v>29</v>
      </c>
      <c r="D277" s="116" t="s">
        <v>28</v>
      </c>
      <c r="E277" s="116" t="s">
        <v>27</v>
      </c>
      <c r="F277" s="34" t="s">
        <v>26</v>
      </c>
      <c r="G277" s="122" t="s">
        <v>63</v>
      </c>
      <c r="H277" s="123"/>
      <c r="I277" s="122" t="s">
        <v>50</v>
      </c>
      <c r="J277" s="123"/>
      <c r="K277" s="122" t="s">
        <v>62</v>
      </c>
      <c r="L277" s="123"/>
      <c r="M277" s="122" t="s">
        <v>25</v>
      </c>
      <c r="N277" s="123"/>
      <c r="O277" s="122" t="s">
        <v>24</v>
      </c>
      <c r="P277" s="123"/>
      <c r="Q277" s="106" t="s">
        <v>23</v>
      </c>
      <c r="R277" s="106" t="s">
        <v>22</v>
      </c>
      <c r="S277" s="21"/>
      <c r="T277" s="34" t="s">
        <v>21</v>
      </c>
      <c r="U277" s="34" t="s">
        <v>20</v>
      </c>
      <c r="V277" s="34" t="s">
        <v>95</v>
      </c>
      <c r="W277" s="34" t="s">
        <v>19</v>
      </c>
      <c r="X277" s="34" t="s">
        <v>18</v>
      </c>
      <c r="Y277" s="34" t="s">
        <v>48</v>
      </c>
      <c r="Z277" s="34" t="s">
        <v>49</v>
      </c>
      <c r="AA277" s="34" t="s">
        <v>17</v>
      </c>
      <c r="AB277" s="106" t="s">
        <v>16</v>
      </c>
      <c r="AC277" s="106" t="s">
        <v>15</v>
      </c>
      <c r="AD277" s="106" t="s">
        <v>14</v>
      </c>
      <c r="AE277" s="106" t="s">
        <v>13</v>
      </c>
      <c r="AF277" s="106" t="s">
        <v>12</v>
      </c>
      <c r="AG277" s="116" t="s">
        <v>11</v>
      </c>
      <c r="AH277" s="118" t="s">
        <v>10</v>
      </c>
      <c r="AI277" s="120" t="s">
        <v>9</v>
      </c>
      <c r="AJ277" s="35">
        <f>(1-R279/F279)</f>
        <v>0.21388633754305397</v>
      </c>
      <c r="AK277" s="35">
        <f>1-(AD279+AM279)/F279</f>
        <v>0.18856192881745115</v>
      </c>
      <c r="AM277" s="106" t="s">
        <v>8</v>
      </c>
      <c r="AN277" s="106" t="s">
        <v>7</v>
      </c>
      <c r="AO277" s="106" t="s">
        <v>37</v>
      </c>
      <c r="AP277" s="106" t="s">
        <v>38</v>
      </c>
      <c r="AQ277" s="106" t="s">
        <v>6</v>
      </c>
      <c r="AR277" s="106" t="s">
        <v>5</v>
      </c>
      <c r="AT277" s="106" t="s">
        <v>4</v>
      </c>
      <c r="AU277" s="106" t="s">
        <v>3</v>
      </c>
      <c r="AV277" s="106" t="s">
        <v>2</v>
      </c>
      <c r="AW277" s="106" t="s">
        <v>1</v>
      </c>
      <c r="AY277" s="106"/>
      <c r="AZ277" s="108"/>
      <c r="BA277" s="52"/>
      <c r="BB277" s="106"/>
    </row>
    <row r="278" spans="1:54" ht="27" customHeight="1" x14ac:dyDescent="0.3">
      <c r="A278" s="126"/>
      <c r="B278" s="134"/>
      <c r="C278" s="134"/>
      <c r="D278" s="117"/>
      <c r="E278" s="117"/>
      <c r="F278" s="31">
        <v>0</v>
      </c>
      <c r="G278" s="33">
        <v>0.06</v>
      </c>
      <c r="H278" s="32">
        <v>1000000</v>
      </c>
      <c r="I278" s="31">
        <v>1</v>
      </c>
      <c r="J278" s="32">
        <v>35000</v>
      </c>
      <c r="K278" s="31">
        <v>1</v>
      </c>
      <c r="L278" s="32">
        <v>130000</v>
      </c>
      <c r="M278" s="31">
        <v>7.0000000000000007E-2</v>
      </c>
      <c r="N278" s="32">
        <v>150000</v>
      </c>
      <c r="O278" s="31">
        <v>0</v>
      </c>
      <c r="P278" s="32">
        <v>0</v>
      </c>
      <c r="Q278" s="107"/>
      <c r="R278" s="107"/>
      <c r="S278" s="21"/>
      <c r="T278" s="31">
        <f>IF(C279="노트북",7%,IF(C279="저장&amp;주변기기",9%,IF(C279="모니터",7%)))</f>
        <v>7.0000000000000007E-2</v>
      </c>
      <c r="U278" s="31">
        <v>0</v>
      </c>
      <c r="V278" s="31">
        <v>0</v>
      </c>
      <c r="W278" s="31">
        <f>IF(G278=0%,20%,0%)</f>
        <v>0</v>
      </c>
      <c r="X278" s="30">
        <v>0</v>
      </c>
      <c r="Y278" s="30">
        <v>1</v>
      </c>
      <c r="Z278" s="53">
        <v>0.92307600000000001</v>
      </c>
      <c r="AA278" s="29">
        <v>0.5</v>
      </c>
      <c r="AB278" s="107"/>
      <c r="AC278" s="107"/>
      <c r="AD278" s="107"/>
      <c r="AE278" s="107"/>
      <c r="AF278" s="107"/>
      <c r="AG278" s="117"/>
      <c r="AH278" s="119"/>
      <c r="AI278" s="121"/>
      <c r="AJ278" s="55" t="s">
        <v>52</v>
      </c>
      <c r="AK278" s="56">
        <f>AJ277-AK277</f>
        <v>2.5324408725602821E-2</v>
      </c>
      <c r="AM278" s="107"/>
      <c r="AN278" s="107"/>
      <c r="AO278" s="107"/>
      <c r="AP278" s="107"/>
      <c r="AQ278" s="107"/>
      <c r="AR278" s="107"/>
      <c r="AS278" s="39"/>
      <c r="AT278" s="107"/>
      <c r="AU278" s="107"/>
      <c r="AV278" s="107"/>
      <c r="AW278" s="107"/>
      <c r="AY278" s="107"/>
      <c r="AZ278" s="109"/>
      <c r="BA278" s="52"/>
      <c r="BB278" s="107"/>
    </row>
    <row r="279" spans="1:54" ht="27" customHeight="1" x14ac:dyDescent="0.3">
      <c r="A279" s="51" t="s">
        <v>61</v>
      </c>
      <c r="B279" s="38" t="s">
        <v>35</v>
      </c>
      <c r="C279" s="27" t="s">
        <v>0</v>
      </c>
      <c r="D279" s="26">
        <v>4624628196</v>
      </c>
      <c r="E279" s="25">
        <v>1742000</v>
      </c>
      <c r="F279" s="24">
        <f>ROUNDDOWN(E279/(1-F278),-1)</f>
        <v>1742000</v>
      </c>
      <c r="G279" s="110">
        <f>ROUNDDOWN(IF(F279*G278&gt;H278,H278,F279*G278),-1)</f>
        <v>104520</v>
      </c>
      <c r="H279" s="111"/>
      <c r="I279" s="112">
        <f>ROUNDDOWN(IF(F279*I278&gt;J278,J278,F279*I278),-1)</f>
        <v>35000</v>
      </c>
      <c r="J279" s="113"/>
      <c r="K279" s="112">
        <f>ROUNDDOWN(IF(F279*K278&gt;L278,L278,F279*K278),-1)</f>
        <v>130000</v>
      </c>
      <c r="L279" s="113"/>
      <c r="M279" s="110">
        <f>ROUNDDOWN(IF(Q279*M278&gt;N278,N278,Q279*M278),-1)</f>
        <v>103070</v>
      </c>
      <c r="N279" s="111"/>
      <c r="O279" s="110">
        <f>ROUNDDOWN(IF(F279*O278&gt;P278,P278,F279*O278),-1)</f>
        <v>0</v>
      </c>
      <c r="P279" s="111"/>
      <c r="Q279" s="23">
        <f>F279-G279-I279-K279</f>
        <v>1472480</v>
      </c>
      <c r="R279" s="22">
        <f>F279-G279-I279-K279-M279-O279</f>
        <v>1369410</v>
      </c>
      <c r="S279" s="21"/>
      <c r="T279" s="20">
        <f>F279*T278</f>
        <v>121940.00000000001</v>
      </c>
      <c r="U279" s="20">
        <f>F279*U278</f>
        <v>0</v>
      </c>
      <c r="V279" s="20">
        <f>(F279-I279)*V278</f>
        <v>0</v>
      </c>
      <c r="W279" s="19">
        <f>(F279*F278)*W278</f>
        <v>0</v>
      </c>
      <c r="X279" s="19">
        <f>G279*X278</f>
        <v>0</v>
      </c>
      <c r="Y279" s="19">
        <f>I279*Y278</f>
        <v>35000</v>
      </c>
      <c r="Z279" s="19">
        <f>K279*Z278</f>
        <v>119999.88</v>
      </c>
      <c r="AA279" s="19">
        <f>M279*AA278</f>
        <v>51535</v>
      </c>
      <c r="AB279" s="19">
        <v>0</v>
      </c>
      <c r="AC279" s="16">
        <v>6000</v>
      </c>
      <c r="AD279" s="18">
        <f>F279-T279-U279-V279-W279-AA279-X279-Y279-Z279-AB279</f>
        <v>1413525.12</v>
      </c>
      <c r="AE279" s="18">
        <f>F279-T279-U279-V279-W279-X279-Y279-Z279-AA279-AB279-AC279</f>
        <v>1407525.12</v>
      </c>
      <c r="AF279" s="17">
        <f>AE279-AG279</f>
        <v>60525.120000000112</v>
      </c>
      <c r="AG279" s="16">
        <v>1347000</v>
      </c>
      <c r="AH279" s="15">
        <f>AF279/AG279</f>
        <v>4.4933273942093621E-2</v>
      </c>
      <c r="AI279" s="14">
        <f>1-R279/(AG279-AM279-AN279-AO279)</f>
        <v>-1.6636971046770643E-2</v>
      </c>
      <c r="AJ279" s="114">
        <f>(1-R279/F279)-(1-(AD279)/F279)</f>
        <v>2.5324408725602821E-2</v>
      </c>
      <c r="AK279" s="115"/>
      <c r="AM279" s="13"/>
      <c r="AN279" s="12"/>
      <c r="AO279" s="12"/>
      <c r="AP279" s="12"/>
      <c r="AQ279" s="11">
        <f>AE279-(AG279-AM279-AN279-AO279-AP279)</f>
        <v>60525.120000000112</v>
      </c>
      <c r="AR279" s="8">
        <f>AQ279/AG279</f>
        <v>4.4933273942093621E-2</v>
      </c>
      <c r="AT279" s="10">
        <v>0</v>
      </c>
      <c r="AU279" s="10">
        <v>0</v>
      </c>
      <c r="AV279" s="9">
        <f>AQ279-AT279-AU279</f>
        <v>60525.120000000112</v>
      </c>
      <c r="AW279" s="8">
        <f>AV279/AG279</f>
        <v>4.4933273942093621E-2</v>
      </c>
      <c r="AY279" s="7"/>
      <c r="AZ279" s="50"/>
      <c r="BA279" s="52"/>
      <c r="BB279" s="7"/>
    </row>
    <row r="280" spans="1:54" ht="16.5" customHeight="1" x14ac:dyDescent="0.3">
      <c r="D280" s="21">
        <v>4537330402</v>
      </c>
      <c r="E280" s="5">
        <v>1449000</v>
      </c>
      <c r="F280" s="4">
        <f>ROUNDDOWN(E280/(1-F278),-1)</f>
        <v>1449000</v>
      </c>
      <c r="G280" s="105">
        <f>ROUNDDOWN(IF(F280*G278&gt;H278,H278,F280*G278),-1)</f>
        <v>86940</v>
      </c>
      <c r="H280" s="105"/>
      <c r="J280" s="54">
        <f>F279*4%</f>
        <v>69680</v>
      </c>
      <c r="L280" s="21"/>
      <c r="R280" s="4">
        <v>998000</v>
      </c>
      <c r="X280" s="3">
        <f>G280*X278</f>
        <v>0</v>
      </c>
      <c r="Y280" s="3"/>
      <c r="Z280" s="3"/>
      <c r="AG280" s="57"/>
    </row>
    <row r="281" spans="1:54" ht="27" customHeight="1" x14ac:dyDescent="0.3">
      <c r="A281" s="124" t="s">
        <v>34</v>
      </c>
      <c r="B281" s="135" t="s">
        <v>126</v>
      </c>
      <c r="C281" s="136"/>
      <c r="D281" s="136"/>
      <c r="E281" s="136"/>
      <c r="F281" s="136"/>
      <c r="G281" s="136"/>
      <c r="H281" s="136"/>
      <c r="I281" s="136"/>
      <c r="J281" s="136"/>
      <c r="K281" s="136"/>
      <c r="L281" s="136"/>
      <c r="M281" s="136"/>
      <c r="N281" s="136"/>
      <c r="O281" s="136"/>
      <c r="P281" s="136"/>
      <c r="Q281" s="136"/>
      <c r="R281" s="137"/>
      <c r="T281" s="130" t="s">
        <v>33</v>
      </c>
      <c r="U281" s="131"/>
      <c r="V281" s="131"/>
      <c r="W281" s="131"/>
      <c r="X281" s="131"/>
      <c r="Y281" s="131"/>
      <c r="Z281" s="131"/>
      <c r="AA281" s="131"/>
      <c r="AB281" s="131"/>
      <c r="AC281" s="131"/>
      <c r="AD281" s="131"/>
      <c r="AE281" s="131"/>
      <c r="AF281" s="131"/>
      <c r="AG281" s="131"/>
      <c r="AH281" s="132"/>
      <c r="AI281" s="37"/>
      <c r="AM281" s="130" t="s">
        <v>32</v>
      </c>
      <c r="AN281" s="131"/>
      <c r="AO281" s="131"/>
      <c r="AP281" s="131"/>
      <c r="AQ281" s="131"/>
      <c r="AR281" s="132"/>
      <c r="AT281" s="130" t="s">
        <v>31</v>
      </c>
      <c r="AU281" s="131"/>
      <c r="AV281" s="131"/>
      <c r="AW281" s="132"/>
      <c r="AY281" s="36" t="s">
        <v>36</v>
      </c>
      <c r="AZ281" s="48"/>
      <c r="BA281" s="52"/>
      <c r="BB281" s="36"/>
    </row>
    <row r="282" spans="1:54" ht="32.25" customHeight="1" x14ac:dyDescent="0.3">
      <c r="A282" s="125"/>
      <c r="B282" s="133" t="s">
        <v>30</v>
      </c>
      <c r="C282" s="133" t="s">
        <v>29</v>
      </c>
      <c r="D282" s="116" t="s">
        <v>28</v>
      </c>
      <c r="E282" s="116" t="s">
        <v>27</v>
      </c>
      <c r="F282" s="34" t="s">
        <v>26</v>
      </c>
      <c r="G282" s="122" t="s">
        <v>63</v>
      </c>
      <c r="H282" s="123"/>
      <c r="I282" s="122" t="s">
        <v>50</v>
      </c>
      <c r="J282" s="123"/>
      <c r="K282" s="122" t="s">
        <v>62</v>
      </c>
      <c r="L282" s="123"/>
      <c r="M282" s="122" t="s">
        <v>25</v>
      </c>
      <c r="N282" s="123"/>
      <c r="O282" s="122" t="s">
        <v>24</v>
      </c>
      <c r="P282" s="123"/>
      <c r="Q282" s="106" t="s">
        <v>23</v>
      </c>
      <c r="R282" s="106" t="s">
        <v>22</v>
      </c>
      <c r="S282" s="21"/>
      <c r="T282" s="34" t="s">
        <v>21</v>
      </c>
      <c r="U282" s="34" t="s">
        <v>20</v>
      </c>
      <c r="V282" s="34" t="s">
        <v>95</v>
      </c>
      <c r="W282" s="34" t="s">
        <v>19</v>
      </c>
      <c r="X282" s="34" t="s">
        <v>18</v>
      </c>
      <c r="Y282" s="34" t="s">
        <v>48</v>
      </c>
      <c r="Z282" s="34" t="s">
        <v>49</v>
      </c>
      <c r="AA282" s="34" t="s">
        <v>17</v>
      </c>
      <c r="AB282" s="106" t="s">
        <v>16</v>
      </c>
      <c r="AC282" s="106" t="s">
        <v>15</v>
      </c>
      <c r="AD282" s="106" t="s">
        <v>14</v>
      </c>
      <c r="AE282" s="106" t="s">
        <v>13</v>
      </c>
      <c r="AF282" s="106" t="s">
        <v>12</v>
      </c>
      <c r="AG282" s="116" t="s">
        <v>11</v>
      </c>
      <c r="AH282" s="118" t="s">
        <v>10</v>
      </c>
      <c r="AI282" s="120" t="s">
        <v>9</v>
      </c>
      <c r="AJ282" s="35">
        <f>(1-R284/F284)</f>
        <v>0.13991847976441507</v>
      </c>
      <c r="AK282" s="35">
        <f>1-(AD284+AM284)/F284</f>
        <v>0.14377389508112071</v>
      </c>
      <c r="AM282" s="106" t="s">
        <v>8</v>
      </c>
      <c r="AN282" s="106" t="s">
        <v>7</v>
      </c>
      <c r="AO282" s="106" t="s">
        <v>37</v>
      </c>
      <c r="AP282" s="106" t="s">
        <v>38</v>
      </c>
      <c r="AQ282" s="106" t="s">
        <v>6</v>
      </c>
      <c r="AR282" s="106" t="s">
        <v>5</v>
      </c>
      <c r="AT282" s="106" t="s">
        <v>4</v>
      </c>
      <c r="AU282" s="106" t="s">
        <v>3</v>
      </c>
      <c r="AV282" s="106" t="s">
        <v>2</v>
      </c>
      <c r="AW282" s="106" t="s">
        <v>1</v>
      </c>
      <c r="AY282" s="106"/>
      <c r="AZ282" s="108"/>
      <c r="BA282" s="52"/>
      <c r="BB282" s="106"/>
    </row>
    <row r="283" spans="1:54" ht="27" customHeight="1" x14ac:dyDescent="0.3">
      <c r="A283" s="126"/>
      <c r="B283" s="134"/>
      <c r="C283" s="134"/>
      <c r="D283" s="117"/>
      <c r="E283" s="117"/>
      <c r="F283" s="31">
        <v>0</v>
      </c>
      <c r="G283" s="33">
        <v>0.06</v>
      </c>
      <c r="H283" s="32">
        <v>1000000</v>
      </c>
      <c r="I283" s="31">
        <v>0</v>
      </c>
      <c r="J283" s="32">
        <v>0</v>
      </c>
      <c r="K283" s="31">
        <v>1</v>
      </c>
      <c r="L283" s="32">
        <v>130000</v>
      </c>
      <c r="M283" s="31">
        <v>0</v>
      </c>
      <c r="N283" s="32">
        <v>0</v>
      </c>
      <c r="O283" s="31">
        <v>0</v>
      </c>
      <c r="P283" s="32">
        <v>0</v>
      </c>
      <c r="Q283" s="107"/>
      <c r="R283" s="107"/>
      <c r="S283" s="21"/>
      <c r="T283" s="31">
        <f>IF(C284="노트북",7%,IF(C284="저장&amp;주변기기",9%,IF(C284="모니터",7%)))</f>
        <v>7.0000000000000007E-2</v>
      </c>
      <c r="U283" s="31">
        <v>0</v>
      </c>
      <c r="V283" s="31">
        <v>0</v>
      </c>
      <c r="W283" s="31">
        <f>IF(G283=0%,20%,0%)</f>
        <v>0</v>
      </c>
      <c r="X283" s="30">
        <v>0</v>
      </c>
      <c r="Y283" s="30">
        <v>1</v>
      </c>
      <c r="Z283" s="53">
        <v>0.92307600000000001</v>
      </c>
      <c r="AA283" s="29">
        <v>0.5</v>
      </c>
      <c r="AB283" s="107"/>
      <c r="AC283" s="107"/>
      <c r="AD283" s="107"/>
      <c r="AE283" s="107"/>
      <c r="AF283" s="107"/>
      <c r="AG283" s="117"/>
      <c r="AH283" s="119"/>
      <c r="AI283" s="121"/>
      <c r="AJ283" s="55" t="s">
        <v>52</v>
      </c>
      <c r="AK283" s="56">
        <f>AJ282-AK282</f>
        <v>-3.8554153167056349E-3</v>
      </c>
      <c r="AM283" s="107"/>
      <c r="AN283" s="107"/>
      <c r="AO283" s="107"/>
      <c r="AP283" s="107"/>
      <c r="AQ283" s="107"/>
      <c r="AR283" s="107"/>
      <c r="AS283" s="39"/>
      <c r="AT283" s="107"/>
      <c r="AU283" s="107"/>
      <c r="AV283" s="107"/>
      <c r="AW283" s="107"/>
      <c r="AY283" s="107"/>
      <c r="AZ283" s="109"/>
      <c r="BA283" s="52"/>
      <c r="BB283" s="107"/>
    </row>
    <row r="284" spans="1:54" ht="27" customHeight="1" x14ac:dyDescent="0.3">
      <c r="A284" s="51" t="s">
        <v>61</v>
      </c>
      <c r="B284" s="38" t="s">
        <v>35</v>
      </c>
      <c r="C284" s="27" t="s">
        <v>0</v>
      </c>
      <c r="D284" s="26">
        <v>4624628196</v>
      </c>
      <c r="E284" s="25">
        <v>1626590</v>
      </c>
      <c r="F284" s="24">
        <f>ROUNDDOWN(E284/(1-F283),-1)</f>
        <v>1626590</v>
      </c>
      <c r="G284" s="110">
        <f>ROUNDDOWN(IF(F284*G283&gt;H283,H283,F284*G283),-1)</f>
        <v>97590</v>
      </c>
      <c r="H284" s="111"/>
      <c r="I284" s="112">
        <f>ROUNDDOWN(IF(F284*I283&gt;J283,J283,F284*I283),-1)</f>
        <v>0</v>
      </c>
      <c r="J284" s="113"/>
      <c r="K284" s="112">
        <f>ROUNDDOWN(IF(F284*K283&gt;L283,L283,F284*K283),-1)</f>
        <v>130000</v>
      </c>
      <c r="L284" s="113"/>
      <c r="M284" s="110">
        <f>ROUNDDOWN(IF(Q284*M283&gt;N283,N283,Q284*M283),-1)</f>
        <v>0</v>
      </c>
      <c r="N284" s="111"/>
      <c r="O284" s="110">
        <f>ROUNDDOWN(IF(F284*O283&gt;P283,P283,F284*O283),-1)</f>
        <v>0</v>
      </c>
      <c r="P284" s="111"/>
      <c r="Q284" s="23">
        <f>F284-G284-I284-K284</f>
        <v>1399000</v>
      </c>
      <c r="R284" s="22">
        <f>F284-G284-I284-K284-M284-O284</f>
        <v>1399000</v>
      </c>
      <c r="S284" s="21"/>
      <c r="T284" s="20">
        <f>F284*T283</f>
        <v>113861.30000000002</v>
      </c>
      <c r="U284" s="20">
        <f>F284*U283</f>
        <v>0</v>
      </c>
      <c r="V284" s="20">
        <f>(F284-I284)*V283</f>
        <v>0</v>
      </c>
      <c r="W284" s="19">
        <f>(F284*F283)*W283</f>
        <v>0</v>
      </c>
      <c r="X284" s="19">
        <f>G284*X283</f>
        <v>0</v>
      </c>
      <c r="Y284" s="19">
        <f>I284*Y283</f>
        <v>0</v>
      </c>
      <c r="Z284" s="19">
        <f>K284*Z283</f>
        <v>119999.88</v>
      </c>
      <c r="AA284" s="19">
        <f>M284*AA283</f>
        <v>0</v>
      </c>
      <c r="AB284" s="19">
        <v>0</v>
      </c>
      <c r="AC284" s="16">
        <v>6000</v>
      </c>
      <c r="AD284" s="18">
        <f>F284-T284-U284-V284-W284-AA284-X284-Y284-Z284-AB284</f>
        <v>1392728.8199999998</v>
      </c>
      <c r="AE284" s="18">
        <f>F284-T284-U284-V284-W284-X284-Y284-Z284-AA284-AB284-AC284</f>
        <v>1386728.8199999998</v>
      </c>
      <c r="AF284" s="17">
        <f>AE284-AG284</f>
        <v>39728.819999999832</v>
      </c>
      <c r="AG284" s="16">
        <v>1347000</v>
      </c>
      <c r="AH284" s="15">
        <f>AF284/AG284</f>
        <v>2.9494298440979831E-2</v>
      </c>
      <c r="AI284" s="14">
        <f>1-R284/(AG284-AM284-AN284-AO284)</f>
        <v>-3.8604305864884836E-2</v>
      </c>
      <c r="AJ284" s="114">
        <f>(1-R284/F284)-(1-(AD284)/F284)</f>
        <v>-3.8554153167056349E-3</v>
      </c>
      <c r="AK284" s="115"/>
      <c r="AM284" s="13"/>
      <c r="AN284" s="12"/>
      <c r="AO284" s="12"/>
      <c r="AP284" s="12"/>
      <c r="AQ284" s="11">
        <f>AE284-(AG284-AM284-AN284-AO284-AP284)</f>
        <v>39728.819999999832</v>
      </c>
      <c r="AR284" s="8">
        <f>AQ284/AG284</f>
        <v>2.9494298440979831E-2</v>
      </c>
      <c r="AT284" s="10">
        <v>0</v>
      </c>
      <c r="AU284" s="10">
        <v>0</v>
      </c>
      <c r="AV284" s="9">
        <f>AQ284-AT284-AU284</f>
        <v>39728.819999999832</v>
      </c>
      <c r="AW284" s="8">
        <f>AV284/AG284</f>
        <v>2.9494298440979831E-2</v>
      </c>
      <c r="AY284" s="7"/>
      <c r="AZ284" s="50"/>
      <c r="BA284" s="52"/>
      <c r="BB284" s="7"/>
    </row>
    <row r="285" spans="1:54" ht="16.5" customHeight="1" x14ac:dyDescent="0.3">
      <c r="D285" s="21">
        <v>4537330402</v>
      </c>
      <c r="E285" s="5">
        <v>1449000</v>
      </c>
      <c r="F285" s="4">
        <f>ROUNDDOWN(E285/(1-F283),-1)</f>
        <v>1449000</v>
      </c>
      <c r="G285" s="105">
        <f>ROUNDDOWN(IF(F285*G283&gt;H283,H283,F285*G283),-1)</f>
        <v>86940</v>
      </c>
      <c r="H285" s="105"/>
      <c r="J285" s="54">
        <f>F284*4%</f>
        <v>65063.6</v>
      </c>
      <c r="L285" s="21"/>
      <c r="R285" s="4">
        <v>998000</v>
      </c>
      <c r="X285" s="3">
        <f>G285*X283</f>
        <v>0</v>
      </c>
      <c r="Y285" s="3"/>
      <c r="Z285" s="3"/>
      <c r="AG285" s="57"/>
    </row>
    <row r="286" spans="1:54" ht="16.5" customHeight="1" x14ac:dyDescent="0.3">
      <c r="D286" s="21"/>
      <c r="E286" s="5"/>
      <c r="F286" s="4"/>
      <c r="G286" s="74"/>
      <c r="H286" s="74"/>
      <c r="J286" s="54"/>
      <c r="L286" s="21"/>
      <c r="R286" s="4"/>
      <c r="X286" s="3"/>
      <c r="Y286" s="3"/>
      <c r="Z286" s="3"/>
      <c r="AG286" s="57"/>
    </row>
    <row r="287" spans="1:54" ht="16.5" customHeight="1" x14ac:dyDescent="0.3">
      <c r="D287" s="21"/>
      <c r="E287" s="5"/>
      <c r="F287" s="4"/>
      <c r="G287" s="74"/>
      <c r="H287" s="74"/>
      <c r="J287" s="54"/>
      <c r="L287" s="21"/>
      <c r="R287" s="4"/>
      <c r="X287" s="3"/>
      <c r="Y287" s="3"/>
      <c r="Z287" s="3"/>
      <c r="AG287" s="57"/>
    </row>
    <row r="288" spans="1:54" ht="27" customHeight="1" x14ac:dyDescent="0.3">
      <c r="A288" s="124" t="s">
        <v>34</v>
      </c>
      <c r="B288" s="127" t="s">
        <v>125</v>
      </c>
      <c r="C288" s="128"/>
      <c r="D288" s="128"/>
      <c r="E288" s="128"/>
      <c r="F288" s="128"/>
      <c r="G288" s="128"/>
      <c r="H288" s="128"/>
      <c r="I288" s="128"/>
      <c r="J288" s="128"/>
      <c r="K288" s="128"/>
      <c r="L288" s="128"/>
      <c r="M288" s="128"/>
      <c r="N288" s="128"/>
      <c r="O288" s="128"/>
      <c r="P288" s="128"/>
      <c r="Q288" s="128"/>
      <c r="R288" s="129"/>
      <c r="T288" s="130" t="s">
        <v>33</v>
      </c>
      <c r="U288" s="131"/>
      <c r="V288" s="131"/>
      <c r="W288" s="131"/>
      <c r="X288" s="131"/>
      <c r="Y288" s="131"/>
      <c r="Z288" s="131"/>
      <c r="AA288" s="131"/>
      <c r="AB288" s="131"/>
      <c r="AC288" s="131"/>
      <c r="AD288" s="131"/>
      <c r="AE288" s="131"/>
      <c r="AF288" s="131"/>
      <c r="AG288" s="131"/>
      <c r="AH288" s="132"/>
      <c r="AI288" s="37"/>
      <c r="AM288" s="130" t="s">
        <v>32</v>
      </c>
      <c r="AN288" s="131"/>
      <c r="AO288" s="131"/>
      <c r="AP288" s="131"/>
      <c r="AQ288" s="131"/>
      <c r="AR288" s="132"/>
      <c r="AT288" s="130" t="s">
        <v>31</v>
      </c>
      <c r="AU288" s="131"/>
      <c r="AV288" s="131"/>
      <c r="AW288" s="132"/>
      <c r="AY288" s="36" t="s">
        <v>36</v>
      </c>
      <c r="AZ288" s="48"/>
      <c r="BA288" s="52"/>
      <c r="BB288" s="36"/>
    </row>
    <row r="289" spans="1:54" ht="32.25" customHeight="1" x14ac:dyDescent="0.3">
      <c r="A289" s="125"/>
      <c r="B289" s="133" t="s">
        <v>30</v>
      </c>
      <c r="C289" s="133" t="s">
        <v>29</v>
      </c>
      <c r="D289" s="116" t="s">
        <v>28</v>
      </c>
      <c r="E289" s="116" t="s">
        <v>27</v>
      </c>
      <c r="F289" s="34" t="s">
        <v>26</v>
      </c>
      <c r="G289" s="122" t="s">
        <v>63</v>
      </c>
      <c r="H289" s="123"/>
      <c r="I289" s="122" t="s">
        <v>50</v>
      </c>
      <c r="J289" s="123"/>
      <c r="K289" s="122" t="s">
        <v>62</v>
      </c>
      <c r="L289" s="123"/>
      <c r="M289" s="122" t="s">
        <v>25</v>
      </c>
      <c r="N289" s="123"/>
      <c r="O289" s="122" t="s">
        <v>24</v>
      </c>
      <c r="P289" s="123"/>
      <c r="Q289" s="106" t="s">
        <v>23</v>
      </c>
      <c r="R289" s="106" t="s">
        <v>22</v>
      </c>
      <c r="S289" s="21"/>
      <c r="T289" s="34" t="s">
        <v>21</v>
      </c>
      <c r="U289" s="34" t="s">
        <v>20</v>
      </c>
      <c r="V289" s="34" t="s">
        <v>95</v>
      </c>
      <c r="W289" s="34" t="s">
        <v>19</v>
      </c>
      <c r="X289" s="34" t="s">
        <v>18</v>
      </c>
      <c r="Y289" s="34" t="s">
        <v>48</v>
      </c>
      <c r="Z289" s="34" t="s">
        <v>49</v>
      </c>
      <c r="AA289" s="34" t="s">
        <v>17</v>
      </c>
      <c r="AB289" s="106" t="s">
        <v>16</v>
      </c>
      <c r="AC289" s="106" t="s">
        <v>15</v>
      </c>
      <c r="AD289" s="106" t="s">
        <v>14</v>
      </c>
      <c r="AE289" s="106" t="s">
        <v>13</v>
      </c>
      <c r="AF289" s="106" t="s">
        <v>12</v>
      </c>
      <c r="AG289" s="116" t="s">
        <v>11</v>
      </c>
      <c r="AH289" s="118" t="s">
        <v>10</v>
      </c>
      <c r="AI289" s="120" t="s">
        <v>9</v>
      </c>
      <c r="AJ289" s="35">
        <f>(1-R291/F291)</f>
        <v>0.18724807994347836</v>
      </c>
      <c r="AK289" s="35">
        <f>1-(AD291+AM291)/F291</f>
        <v>0.16158066270541183</v>
      </c>
      <c r="AM289" s="106" t="s">
        <v>8</v>
      </c>
      <c r="AN289" s="106" t="s">
        <v>7</v>
      </c>
      <c r="AO289" s="106" t="s">
        <v>37</v>
      </c>
      <c r="AP289" s="106" t="s">
        <v>38</v>
      </c>
      <c r="AQ289" s="106" t="s">
        <v>6</v>
      </c>
      <c r="AR289" s="106" t="s">
        <v>5</v>
      </c>
      <c r="AT289" s="106" t="s">
        <v>4</v>
      </c>
      <c r="AU289" s="106" t="s">
        <v>3</v>
      </c>
      <c r="AV289" s="106" t="s">
        <v>2</v>
      </c>
      <c r="AW289" s="106" t="s">
        <v>1</v>
      </c>
      <c r="AY289" s="106"/>
      <c r="AZ289" s="108"/>
      <c r="BA289" s="52"/>
      <c r="BB289" s="106"/>
    </row>
    <row r="290" spans="1:54" ht="27" customHeight="1" x14ac:dyDescent="0.3">
      <c r="A290" s="126"/>
      <c r="B290" s="134"/>
      <c r="C290" s="134"/>
      <c r="D290" s="117"/>
      <c r="E290" s="117"/>
      <c r="F290" s="31">
        <v>0</v>
      </c>
      <c r="G290" s="33">
        <v>0.06</v>
      </c>
      <c r="H290" s="32">
        <v>1000000</v>
      </c>
      <c r="I290" s="31">
        <v>1</v>
      </c>
      <c r="J290" s="32">
        <v>0</v>
      </c>
      <c r="K290" s="31">
        <v>1</v>
      </c>
      <c r="L290" s="32">
        <v>130000</v>
      </c>
      <c r="M290" s="31">
        <v>7.0000000000000007E-2</v>
      </c>
      <c r="N290" s="32">
        <v>150000</v>
      </c>
      <c r="O290" s="31">
        <v>0</v>
      </c>
      <c r="P290" s="32">
        <v>0</v>
      </c>
      <c r="Q290" s="107"/>
      <c r="R290" s="107"/>
      <c r="S290" s="21"/>
      <c r="T290" s="31">
        <f>IF(C291="노트북",7%,IF(C291="저장&amp;주변기기",9%,IF(C291="모니터",7%)))</f>
        <v>7.0000000000000007E-2</v>
      </c>
      <c r="U290" s="31">
        <v>0</v>
      </c>
      <c r="V290" s="31">
        <v>0</v>
      </c>
      <c r="W290" s="31">
        <f>IF(G290=0%,20%,0%)</f>
        <v>0</v>
      </c>
      <c r="X290" s="30">
        <v>0</v>
      </c>
      <c r="Y290" s="30">
        <v>1</v>
      </c>
      <c r="Z290" s="53">
        <v>0.92307600000000001</v>
      </c>
      <c r="AA290" s="29">
        <v>0.5</v>
      </c>
      <c r="AB290" s="107"/>
      <c r="AC290" s="107"/>
      <c r="AD290" s="107"/>
      <c r="AE290" s="107"/>
      <c r="AF290" s="107"/>
      <c r="AG290" s="117"/>
      <c r="AH290" s="119"/>
      <c r="AI290" s="121"/>
      <c r="AJ290" s="55" t="s">
        <v>52</v>
      </c>
      <c r="AK290" s="56">
        <f>AJ289-AK289</f>
        <v>2.5667417238066537E-2</v>
      </c>
      <c r="AM290" s="107"/>
      <c r="AN290" s="107"/>
      <c r="AO290" s="107"/>
      <c r="AP290" s="107"/>
      <c r="AQ290" s="107"/>
      <c r="AR290" s="107"/>
      <c r="AS290" s="39"/>
      <c r="AT290" s="107"/>
      <c r="AU290" s="107"/>
      <c r="AV290" s="107"/>
      <c r="AW290" s="107"/>
      <c r="AY290" s="107"/>
      <c r="AZ290" s="109"/>
      <c r="BA290" s="52"/>
      <c r="BB290" s="107"/>
    </row>
    <row r="291" spans="1:54" ht="27" customHeight="1" x14ac:dyDescent="0.3">
      <c r="A291" s="51" t="s">
        <v>106</v>
      </c>
      <c r="B291" s="38" t="s">
        <v>35</v>
      </c>
      <c r="C291" s="27" t="s">
        <v>0</v>
      </c>
      <c r="D291" s="26">
        <v>4692284484</v>
      </c>
      <c r="E291" s="25">
        <v>1967390</v>
      </c>
      <c r="F291" s="24">
        <f>ROUNDDOWN(E291/(1-F290),-1)</f>
        <v>1967390</v>
      </c>
      <c r="G291" s="110">
        <f>ROUNDDOWN(IF(F291*G290&gt;H290,H290,F291*G290),-1)</f>
        <v>118040</v>
      </c>
      <c r="H291" s="111"/>
      <c r="I291" s="112">
        <f>ROUNDDOWN(IF(F291*I290&gt;J290,J290,F291*I290),-1)</f>
        <v>0</v>
      </c>
      <c r="J291" s="113"/>
      <c r="K291" s="112">
        <f>ROUNDDOWN(IF(F291*K290&gt;L290,L290,F291*K290),-1)</f>
        <v>130000</v>
      </c>
      <c r="L291" s="113"/>
      <c r="M291" s="110">
        <f>ROUNDDOWN(IF(Q291*M290&gt;N290,N290,Q291*M290),-1)</f>
        <v>120350</v>
      </c>
      <c r="N291" s="111"/>
      <c r="O291" s="110">
        <f>ROUNDDOWN(IF(F291*O290&gt;P290,P290,F291*O290),-1)</f>
        <v>0</v>
      </c>
      <c r="P291" s="111"/>
      <c r="Q291" s="23">
        <f>F291-G291-I291-K291</f>
        <v>1719350</v>
      </c>
      <c r="R291" s="22">
        <f>F291-G291-I291-K291-M291-O291</f>
        <v>1599000</v>
      </c>
      <c r="S291" s="21"/>
      <c r="T291" s="20">
        <f>F291*T290</f>
        <v>137717.30000000002</v>
      </c>
      <c r="U291" s="20">
        <f>F291*U290</f>
        <v>0</v>
      </c>
      <c r="V291" s="20">
        <f>(F291-I291)*V290</f>
        <v>0</v>
      </c>
      <c r="W291" s="19">
        <f>(F291*F290)*W290</f>
        <v>0</v>
      </c>
      <c r="X291" s="19">
        <f>G291*X290</f>
        <v>0</v>
      </c>
      <c r="Y291" s="19">
        <f>I291*Y290</f>
        <v>0</v>
      </c>
      <c r="Z291" s="19">
        <f>K291*Z290</f>
        <v>119999.88</v>
      </c>
      <c r="AA291" s="19">
        <f>M291*AA290</f>
        <v>60175</v>
      </c>
      <c r="AB291" s="19">
        <v>0</v>
      </c>
      <c r="AC291" s="16">
        <v>6000</v>
      </c>
      <c r="AD291" s="18">
        <f>F291-T291-U291-V291-W291-AA291-X291-Y291-Z291-AB291</f>
        <v>1649497.8199999998</v>
      </c>
      <c r="AE291" s="18">
        <f>F291-T291-U291-V291-W291-X291-Y291-Z291-AA291-AB291-AC291</f>
        <v>1643497.8199999998</v>
      </c>
      <c r="AF291" s="17">
        <f>AE291-AG291</f>
        <v>17497.819999999832</v>
      </c>
      <c r="AG291" s="16">
        <v>1626000</v>
      </c>
      <c r="AH291" s="15">
        <f>AF291/AG291</f>
        <v>1.0761266912669024E-2</v>
      </c>
      <c r="AI291" s="14">
        <f>1-R291/(AG291-AM291-AN291-AO291)</f>
        <v>1.6605166051660514E-2</v>
      </c>
      <c r="AJ291" s="114">
        <f>(1-R291/F291)-(1-(AD291)/F291)</f>
        <v>2.5667417238066537E-2</v>
      </c>
      <c r="AK291" s="115"/>
      <c r="AM291" s="13"/>
      <c r="AN291" s="12"/>
      <c r="AO291" s="12"/>
      <c r="AP291" s="12"/>
      <c r="AQ291" s="11">
        <f>AE291-(AG291-AM291-AN291-AO291-AP291)</f>
        <v>17497.819999999832</v>
      </c>
      <c r="AR291" s="8">
        <f>AQ291/AG291</f>
        <v>1.0761266912669024E-2</v>
      </c>
      <c r="AT291" s="10">
        <v>0</v>
      </c>
      <c r="AU291" s="10">
        <v>0</v>
      </c>
      <c r="AV291" s="9">
        <f>AQ291-AT291-AU291</f>
        <v>17497.819999999832</v>
      </c>
      <c r="AW291" s="8">
        <f>AV291/AG291</f>
        <v>1.0761266912669024E-2</v>
      </c>
      <c r="AY291" s="7"/>
      <c r="AZ291" s="50"/>
      <c r="BA291" s="52"/>
      <c r="BB291" s="7"/>
    </row>
    <row r="292" spans="1:54" ht="16.5" customHeight="1" x14ac:dyDescent="0.3">
      <c r="D292" s="21"/>
      <c r="E292" s="5">
        <v>1749000</v>
      </c>
      <c r="F292" s="4">
        <f>ROUNDDOWN(E292/(1-F290),-1)</f>
        <v>1749000</v>
      </c>
      <c r="G292" s="105">
        <f>ROUNDDOWN(IF(F292*G290&gt;H290,H290,F292*G290),-1)</f>
        <v>104940</v>
      </c>
      <c r="H292" s="105"/>
      <c r="J292" s="54">
        <f>F291*4%</f>
        <v>78695.600000000006</v>
      </c>
      <c r="L292" s="21"/>
      <c r="R292" s="4"/>
      <c r="X292" s="3">
        <f>G292*X290</f>
        <v>0</v>
      </c>
      <c r="Y292" s="3"/>
      <c r="Z292" s="3"/>
      <c r="AG292" s="57"/>
    </row>
    <row r="293" spans="1:54" ht="27" customHeight="1" x14ac:dyDescent="0.3">
      <c r="A293" s="124" t="s">
        <v>34</v>
      </c>
      <c r="B293" s="135" t="s">
        <v>126</v>
      </c>
      <c r="C293" s="136"/>
      <c r="D293" s="136"/>
      <c r="E293" s="136"/>
      <c r="F293" s="136"/>
      <c r="G293" s="136"/>
      <c r="H293" s="136"/>
      <c r="I293" s="136"/>
      <c r="J293" s="136"/>
      <c r="K293" s="136"/>
      <c r="L293" s="136"/>
      <c r="M293" s="136"/>
      <c r="N293" s="136"/>
      <c r="O293" s="136"/>
      <c r="P293" s="136"/>
      <c r="Q293" s="136"/>
      <c r="R293" s="137"/>
      <c r="T293" s="130" t="s">
        <v>33</v>
      </c>
      <c r="U293" s="131"/>
      <c r="V293" s="131"/>
      <c r="W293" s="131"/>
      <c r="X293" s="131"/>
      <c r="Y293" s="131"/>
      <c r="Z293" s="131"/>
      <c r="AA293" s="131"/>
      <c r="AB293" s="131"/>
      <c r="AC293" s="131"/>
      <c r="AD293" s="131"/>
      <c r="AE293" s="131"/>
      <c r="AF293" s="131"/>
      <c r="AG293" s="131"/>
      <c r="AH293" s="132"/>
      <c r="AI293" s="37"/>
      <c r="AM293" s="130" t="s">
        <v>32</v>
      </c>
      <c r="AN293" s="131"/>
      <c r="AO293" s="131"/>
      <c r="AP293" s="131"/>
      <c r="AQ293" s="131"/>
      <c r="AR293" s="132"/>
      <c r="AT293" s="130" t="s">
        <v>31</v>
      </c>
      <c r="AU293" s="131"/>
      <c r="AV293" s="131"/>
      <c r="AW293" s="132"/>
      <c r="AY293" s="36" t="s">
        <v>36</v>
      </c>
      <c r="AZ293" s="48"/>
      <c r="BA293" s="52"/>
      <c r="BB293" s="36"/>
    </row>
    <row r="294" spans="1:54" ht="32.25" customHeight="1" x14ac:dyDescent="0.3">
      <c r="A294" s="125"/>
      <c r="B294" s="133" t="s">
        <v>30</v>
      </c>
      <c r="C294" s="133" t="s">
        <v>29</v>
      </c>
      <c r="D294" s="116" t="s">
        <v>28</v>
      </c>
      <c r="E294" s="116" t="s">
        <v>27</v>
      </c>
      <c r="F294" s="34" t="s">
        <v>26</v>
      </c>
      <c r="G294" s="122" t="s">
        <v>63</v>
      </c>
      <c r="H294" s="123"/>
      <c r="I294" s="122" t="s">
        <v>50</v>
      </c>
      <c r="J294" s="123"/>
      <c r="K294" s="122" t="s">
        <v>62</v>
      </c>
      <c r="L294" s="123"/>
      <c r="M294" s="122" t="s">
        <v>25</v>
      </c>
      <c r="N294" s="123"/>
      <c r="O294" s="122" t="s">
        <v>24</v>
      </c>
      <c r="P294" s="123"/>
      <c r="Q294" s="106" t="s">
        <v>23</v>
      </c>
      <c r="R294" s="106" t="s">
        <v>22</v>
      </c>
      <c r="S294" s="21"/>
      <c r="T294" s="34" t="s">
        <v>21</v>
      </c>
      <c r="U294" s="34" t="s">
        <v>20</v>
      </c>
      <c r="V294" s="34" t="s">
        <v>95</v>
      </c>
      <c r="W294" s="34" t="s">
        <v>19</v>
      </c>
      <c r="X294" s="34" t="s">
        <v>18</v>
      </c>
      <c r="Y294" s="34" t="s">
        <v>48</v>
      </c>
      <c r="Z294" s="34" t="s">
        <v>49</v>
      </c>
      <c r="AA294" s="34" t="s">
        <v>17</v>
      </c>
      <c r="AB294" s="106" t="s">
        <v>16</v>
      </c>
      <c r="AC294" s="106" t="s">
        <v>15</v>
      </c>
      <c r="AD294" s="106" t="s">
        <v>14</v>
      </c>
      <c r="AE294" s="106" t="s">
        <v>13</v>
      </c>
      <c r="AF294" s="106" t="s">
        <v>12</v>
      </c>
      <c r="AG294" s="116" t="s">
        <v>11</v>
      </c>
      <c r="AH294" s="118" t="s">
        <v>10</v>
      </c>
      <c r="AI294" s="120" t="s">
        <v>9</v>
      </c>
      <c r="AJ294" s="35">
        <f>(1-R296/F296)</f>
        <v>0.12868880610816091</v>
      </c>
      <c r="AK294" s="35">
        <f>1-(AD296+AM296)/F296</f>
        <v>0.13340645161290321</v>
      </c>
      <c r="AM294" s="106" t="s">
        <v>8</v>
      </c>
      <c r="AN294" s="106" t="s">
        <v>7</v>
      </c>
      <c r="AO294" s="106" t="s">
        <v>37</v>
      </c>
      <c r="AP294" s="106" t="s">
        <v>38</v>
      </c>
      <c r="AQ294" s="106" t="s">
        <v>6</v>
      </c>
      <c r="AR294" s="106" t="s">
        <v>5</v>
      </c>
      <c r="AT294" s="106" t="s">
        <v>4</v>
      </c>
      <c r="AU294" s="106" t="s">
        <v>3</v>
      </c>
      <c r="AV294" s="106" t="s">
        <v>2</v>
      </c>
      <c r="AW294" s="106" t="s">
        <v>1</v>
      </c>
      <c r="AY294" s="106"/>
      <c r="AZ294" s="108"/>
      <c r="BA294" s="52"/>
      <c r="BB294" s="106"/>
    </row>
    <row r="295" spans="1:54" ht="27" customHeight="1" x14ac:dyDescent="0.3">
      <c r="A295" s="126"/>
      <c r="B295" s="134"/>
      <c r="C295" s="134"/>
      <c r="D295" s="117"/>
      <c r="E295" s="117"/>
      <c r="F295" s="31">
        <v>0</v>
      </c>
      <c r="G295" s="33">
        <v>0.06</v>
      </c>
      <c r="H295" s="32">
        <v>1000000</v>
      </c>
      <c r="I295" s="31">
        <v>0</v>
      </c>
      <c r="J295" s="32">
        <v>0</v>
      </c>
      <c r="K295" s="31">
        <v>1</v>
      </c>
      <c r="L295" s="32">
        <v>130000</v>
      </c>
      <c r="M295" s="31">
        <v>0</v>
      </c>
      <c r="N295" s="32">
        <v>0</v>
      </c>
      <c r="O295" s="31">
        <v>0</v>
      </c>
      <c r="P295" s="32">
        <v>0</v>
      </c>
      <c r="Q295" s="107"/>
      <c r="R295" s="107"/>
      <c r="S295" s="21"/>
      <c r="T295" s="31">
        <f>IF(C296="노트북",7%,IF(C296="저장&amp;주변기기",9%,IF(C296="모니터",7%)))</f>
        <v>7.0000000000000007E-2</v>
      </c>
      <c r="U295" s="31">
        <v>0</v>
      </c>
      <c r="V295" s="31">
        <v>0</v>
      </c>
      <c r="W295" s="31">
        <f>IF(G295=0%,20%,0%)</f>
        <v>0</v>
      </c>
      <c r="X295" s="30">
        <v>0</v>
      </c>
      <c r="Y295" s="30">
        <v>1</v>
      </c>
      <c r="Z295" s="53">
        <v>0.92307600000000001</v>
      </c>
      <c r="AA295" s="29">
        <v>0.5</v>
      </c>
      <c r="AB295" s="107"/>
      <c r="AC295" s="107"/>
      <c r="AD295" s="107"/>
      <c r="AE295" s="107"/>
      <c r="AF295" s="107"/>
      <c r="AG295" s="117"/>
      <c r="AH295" s="119"/>
      <c r="AI295" s="121"/>
      <c r="AJ295" s="55" t="s">
        <v>52</v>
      </c>
      <c r="AK295" s="56">
        <f>AJ294-AK294</f>
        <v>-4.717645504742296E-3</v>
      </c>
      <c r="AM295" s="107"/>
      <c r="AN295" s="107"/>
      <c r="AO295" s="107"/>
      <c r="AP295" s="107"/>
      <c r="AQ295" s="107"/>
      <c r="AR295" s="107"/>
      <c r="AS295" s="39"/>
      <c r="AT295" s="107"/>
      <c r="AU295" s="107"/>
      <c r="AV295" s="107"/>
      <c r="AW295" s="107"/>
      <c r="AY295" s="107"/>
      <c r="AZ295" s="109"/>
      <c r="BA295" s="52"/>
      <c r="BB295" s="107"/>
    </row>
    <row r="296" spans="1:54" ht="27" customHeight="1" x14ac:dyDescent="0.3">
      <c r="A296" s="51" t="s">
        <v>106</v>
      </c>
      <c r="B296" s="38" t="s">
        <v>35</v>
      </c>
      <c r="C296" s="27" t="s">
        <v>0</v>
      </c>
      <c r="D296" s="26">
        <v>4692284484</v>
      </c>
      <c r="E296" s="25">
        <v>1892550</v>
      </c>
      <c r="F296" s="24">
        <f>ROUNDDOWN(E296/(1-F295),-1)</f>
        <v>1892550</v>
      </c>
      <c r="G296" s="110">
        <f>ROUNDDOWN(IF(F296*G295&gt;H295,H295,F296*G295),-1)</f>
        <v>113550</v>
      </c>
      <c r="H296" s="111"/>
      <c r="I296" s="112">
        <f>ROUNDDOWN(IF(F296*I295&gt;J295,J295,F296*I295),-1)</f>
        <v>0</v>
      </c>
      <c r="J296" s="113"/>
      <c r="K296" s="112">
        <f>ROUNDDOWN(IF(F296*K295&gt;L295,L295,F296*K295),-1)</f>
        <v>130000</v>
      </c>
      <c r="L296" s="113"/>
      <c r="M296" s="110">
        <f>ROUNDDOWN(IF(Q296*M295&gt;N295,N295,Q296*M295),-1)</f>
        <v>0</v>
      </c>
      <c r="N296" s="111"/>
      <c r="O296" s="110">
        <f>ROUNDDOWN(IF(F296*O295&gt;P295,P295,F296*O295),-1)</f>
        <v>0</v>
      </c>
      <c r="P296" s="111"/>
      <c r="Q296" s="23">
        <f>F296-G296-I296-K296</f>
        <v>1649000</v>
      </c>
      <c r="R296" s="22">
        <f>F296-G296-I296-K296-M296-O296</f>
        <v>1649000</v>
      </c>
      <c r="S296" s="21"/>
      <c r="T296" s="20">
        <f>F296*T295</f>
        <v>132478.5</v>
      </c>
      <c r="U296" s="20">
        <f>F296*U295</f>
        <v>0</v>
      </c>
      <c r="V296" s="20">
        <f>(F296-I296)*V295</f>
        <v>0</v>
      </c>
      <c r="W296" s="19">
        <f>(F296*F295)*W295</f>
        <v>0</v>
      </c>
      <c r="X296" s="19">
        <f>G296*X295</f>
        <v>0</v>
      </c>
      <c r="Y296" s="19">
        <f>I296*Y295</f>
        <v>0</v>
      </c>
      <c r="Z296" s="19">
        <f>K296*Z295</f>
        <v>119999.88</v>
      </c>
      <c r="AA296" s="19">
        <f>M296*AA295</f>
        <v>0</v>
      </c>
      <c r="AB296" s="19">
        <v>0</v>
      </c>
      <c r="AC296" s="16">
        <v>6000</v>
      </c>
      <c r="AD296" s="18">
        <f>F296-T296-U296-V296-W296-AA296-X296-Y296-Z296-AB296</f>
        <v>1640071.62</v>
      </c>
      <c r="AE296" s="18">
        <f>F296-T296-U296-V296-W296-X296-Y296-Z296-AA296-AB296-AC296</f>
        <v>1634071.62</v>
      </c>
      <c r="AF296" s="17">
        <f>AE296-AG296</f>
        <v>8071.6200000001118</v>
      </c>
      <c r="AG296" s="16">
        <v>1626000</v>
      </c>
      <c r="AH296" s="15">
        <f>AF296/AG296</f>
        <v>4.9640959409594787E-3</v>
      </c>
      <c r="AI296" s="14">
        <f>1-R296/(AG296-AM296-AN296-AO296)</f>
        <v>-1.4145141451414434E-2</v>
      </c>
      <c r="AJ296" s="114">
        <f>(1-R296/F296)-(1-(AD296)/F296)</f>
        <v>-4.717645504742296E-3</v>
      </c>
      <c r="AK296" s="115"/>
      <c r="AM296" s="13"/>
      <c r="AN296" s="12"/>
      <c r="AO296" s="12"/>
      <c r="AP296" s="12"/>
      <c r="AQ296" s="11">
        <f>AE296-(AG296-AM296-AN296-AO296-AP296)</f>
        <v>8071.6200000001118</v>
      </c>
      <c r="AR296" s="8">
        <f>AQ296/AG296</f>
        <v>4.9640959409594787E-3</v>
      </c>
      <c r="AT296" s="10">
        <v>0</v>
      </c>
      <c r="AU296" s="10">
        <v>0</v>
      </c>
      <c r="AV296" s="9">
        <f>AQ296-AT296-AU296</f>
        <v>8071.6200000001118</v>
      </c>
      <c r="AW296" s="8">
        <f>AV296/AG296</f>
        <v>4.9640959409594787E-3</v>
      </c>
      <c r="AY296" s="7"/>
      <c r="AZ296" s="50"/>
      <c r="BA296" s="52"/>
      <c r="BB296" s="7"/>
    </row>
    <row r="297" spans="1:54" ht="16.5" customHeight="1" x14ac:dyDescent="0.3">
      <c r="D297" s="21"/>
      <c r="E297" s="5">
        <v>1749000</v>
      </c>
      <c r="F297" s="4">
        <f>ROUNDDOWN(E297/(1-F295),-1)</f>
        <v>1749000</v>
      </c>
      <c r="G297" s="105">
        <f>ROUNDDOWN(IF(F297*G295&gt;H295,H295,F297*G295),-1)</f>
        <v>104940</v>
      </c>
      <c r="H297" s="105"/>
      <c r="J297" s="54">
        <f>F296*4%</f>
        <v>75702</v>
      </c>
      <c r="L297" s="21"/>
      <c r="R297" s="4"/>
      <c r="X297" s="3">
        <f>G297*X295</f>
        <v>0</v>
      </c>
      <c r="Y297" s="3"/>
      <c r="Z297" s="3"/>
      <c r="AG297" s="57"/>
    </row>
    <row r="298" spans="1:54" ht="27" customHeight="1" x14ac:dyDescent="0.3">
      <c r="A298" s="124" t="s">
        <v>34</v>
      </c>
      <c r="B298" s="139" t="s">
        <v>127</v>
      </c>
      <c r="C298" s="136"/>
      <c r="D298" s="136"/>
      <c r="E298" s="136"/>
      <c r="F298" s="136"/>
      <c r="G298" s="136"/>
      <c r="H298" s="136"/>
      <c r="I298" s="136"/>
      <c r="J298" s="136"/>
      <c r="K298" s="136"/>
      <c r="L298" s="136"/>
      <c r="M298" s="136"/>
      <c r="N298" s="136"/>
      <c r="O298" s="136"/>
      <c r="P298" s="136"/>
      <c r="Q298" s="136"/>
      <c r="R298" s="137"/>
      <c r="T298" s="130" t="s">
        <v>33</v>
      </c>
      <c r="U298" s="131"/>
      <c r="V298" s="131"/>
      <c r="W298" s="131"/>
      <c r="X298" s="131"/>
      <c r="Y298" s="131"/>
      <c r="Z298" s="131"/>
      <c r="AA298" s="131"/>
      <c r="AB298" s="131"/>
      <c r="AC298" s="131"/>
      <c r="AD298" s="131"/>
      <c r="AE298" s="131"/>
      <c r="AF298" s="131"/>
      <c r="AG298" s="131"/>
      <c r="AH298" s="132"/>
      <c r="AI298" s="37"/>
      <c r="AM298" s="130" t="s">
        <v>32</v>
      </c>
      <c r="AN298" s="131"/>
      <c r="AO298" s="131"/>
      <c r="AP298" s="131"/>
      <c r="AQ298" s="131"/>
      <c r="AR298" s="132"/>
      <c r="AT298" s="130" t="s">
        <v>31</v>
      </c>
      <c r="AU298" s="131"/>
      <c r="AV298" s="131"/>
      <c r="AW298" s="132"/>
      <c r="AY298" s="36" t="s">
        <v>36</v>
      </c>
      <c r="AZ298" s="48"/>
      <c r="BA298" s="52"/>
      <c r="BB298" s="36"/>
    </row>
    <row r="299" spans="1:54" ht="32.25" customHeight="1" x14ac:dyDescent="0.3">
      <c r="A299" s="125"/>
      <c r="B299" s="133" t="s">
        <v>30</v>
      </c>
      <c r="C299" s="133" t="s">
        <v>29</v>
      </c>
      <c r="D299" s="116" t="s">
        <v>28</v>
      </c>
      <c r="E299" s="116" t="s">
        <v>27</v>
      </c>
      <c r="F299" s="34" t="s">
        <v>26</v>
      </c>
      <c r="G299" s="122" t="s">
        <v>63</v>
      </c>
      <c r="H299" s="123"/>
      <c r="I299" s="122" t="s">
        <v>50</v>
      </c>
      <c r="J299" s="123"/>
      <c r="K299" s="122" t="s">
        <v>62</v>
      </c>
      <c r="L299" s="123"/>
      <c r="M299" s="122" t="s">
        <v>25</v>
      </c>
      <c r="N299" s="123"/>
      <c r="O299" s="122" t="s">
        <v>24</v>
      </c>
      <c r="P299" s="123"/>
      <c r="Q299" s="106" t="s">
        <v>23</v>
      </c>
      <c r="R299" s="106" t="s">
        <v>22</v>
      </c>
      <c r="S299" s="21"/>
      <c r="T299" s="34" t="s">
        <v>21</v>
      </c>
      <c r="U299" s="34" t="s">
        <v>20</v>
      </c>
      <c r="V299" s="34" t="s">
        <v>95</v>
      </c>
      <c r="W299" s="34" t="s">
        <v>19</v>
      </c>
      <c r="X299" s="34" t="s">
        <v>18</v>
      </c>
      <c r="Y299" s="34" t="s">
        <v>48</v>
      </c>
      <c r="Z299" s="34" t="s">
        <v>49</v>
      </c>
      <c r="AA299" s="34" t="s">
        <v>17</v>
      </c>
      <c r="AB299" s="106" t="s">
        <v>16</v>
      </c>
      <c r="AC299" s="106" t="s">
        <v>15</v>
      </c>
      <c r="AD299" s="106" t="s">
        <v>14</v>
      </c>
      <c r="AE299" s="106" t="s">
        <v>13</v>
      </c>
      <c r="AF299" s="106" t="s">
        <v>12</v>
      </c>
      <c r="AG299" s="116" t="s">
        <v>11</v>
      </c>
      <c r="AH299" s="118" t="s">
        <v>10</v>
      </c>
      <c r="AI299" s="120" t="s">
        <v>9</v>
      </c>
      <c r="AJ299" s="35">
        <f>(1-R301/F301)</f>
        <v>0.12681036520809563</v>
      </c>
      <c r="AK299" s="35">
        <f>1-(AD301+AM301)/F301</f>
        <v>0.13167313207314446</v>
      </c>
      <c r="AM299" s="106" t="s">
        <v>8</v>
      </c>
      <c r="AN299" s="106" t="s">
        <v>7</v>
      </c>
      <c r="AO299" s="106" t="s">
        <v>37</v>
      </c>
      <c r="AP299" s="106" t="s">
        <v>38</v>
      </c>
      <c r="AQ299" s="106" t="s">
        <v>6</v>
      </c>
      <c r="AR299" s="106" t="s">
        <v>5</v>
      </c>
      <c r="AT299" s="106" t="s">
        <v>4</v>
      </c>
      <c r="AU299" s="106" t="s">
        <v>3</v>
      </c>
      <c r="AV299" s="106" t="s">
        <v>2</v>
      </c>
      <c r="AW299" s="106" t="s">
        <v>1</v>
      </c>
      <c r="AY299" s="106"/>
      <c r="AZ299" s="108"/>
      <c r="BA299" s="52"/>
      <c r="BB299" s="106"/>
    </row>
    <row r="300" spans="1:54" ht="27" customHeight="1" x14ac:dyDescent="0.3">
      <c r="A300" s="126"/>
      <c r="B300" s="134"/>
      <c r="C300" s="134"/>
      <c r="D300" s="117"/>
      <c r="E300" s="117"/>
      <c r="F300" s="31">
        <v>0</v>
      </c>
      <c r="G300" s="33">
        <v>0.06</v>
      </c>
      <c r="H300" s="32">
        <v>1000000</v>
      </c>
      <c r="I300" s="31">
        <v>0</v>
      </c>
      <c r="J300" s="32">
        <v>0</v>
      </c>
      <c r="K300" s="31">
        <v>1</v>
      </c>
      <c r="L300" s="32">
        <v>130000</v>
      </c>
      <c r="M300" s="31">
        <v>0</v>
      </c>
      <c r="N300" s="32">
        <v>0</v>
      </c>
      <c r="O300" s="31">
        <v>0</v>
      </c>
      <c r="P300" s="32">
        <v>0</v>
      </c>
      <c r="Q300" s="107"/>
      <c r="R300" s="107"/>
      <c r="S300" s="21"/>
      <c r="T300" s="31">
        <f>IF(C301="노트북",7%,IF(C301="저장&amp;주변기기",9%,IF(C301="모니터",7%)))</f>
        <v>7.0000000000000007E-2</v>
      </c>
      <c r="U300" s="31">
        <v>0</v>
      </c>
      <c r="V300" s="31">
        <v>0</v>
      </c>
      <c r="W300" s="31">
        <f>IF(G300=0%,20%,0%)</f>
        <v>0</v>
      </c>
      <c r="X300" s="30">
        <v>0</v>
      </c>
      <c r="Y300" s="30">
        <v>1</v>
      </c>
      <c r="Z300" s="53">
        <v>0.92307600000000001</v>
      </c>
      <c r="AA300" s="29">
        <v>0.5</v>
      </c>
      <c r="AB300" s="107"/>
      <c r="AC300" s="107"/>
      <c r="AD300" s="107"/>
      <c r="AE300" s="107"/>
      <c r="AF300" s="107"/>
      <c r="AG300" s="117"/>
      <c r="AH300" s="119"/>
      <c r="AI300" s="121"/>
      <c r="AJ300" s="55" t="s">
        <v>52</v>
      </c>
      <c r="AK300" s="56">
        <f>AJ299-AK299</f>
        <v>-4.8627668650488287E-3</v>
      </c>
      <c r="AM300" s="107"/>
      <c r="AN300" s="107"/>
      <c r="AO300" s="107"/>
      <c r="AP300" s="107"/>
      <c r="AQ300" s="107"/>
      <c r="AR300" s="107"/>
      <c r="AS300" s="39"/>
      <c r="AT300" s="107"/>
      <c r="AU300" s="107"/>
      <c r="AV300" s="107"/>
      <c r="AW300" s="107"/>
      <c r="AY300" s="107"/>
      <c r="AZ300" s="109"/>
      <c r="BA300" s="52"/>
      <c r="BB300" s="107"/>
    </row>
    <row r="301" spans="1:54" ht="27" customHeight="1" x14ac:dyDescent="0.3">
      <c r="A301" s="51" t="s">
        <v>106</v>
      </c>
      <c r="B301" s="38" t="s">
        <v>35</v>
      </c>
      <c r="C301" s="27" t="s">
        <v>0</v>
      </c>
      <c r="D301" s="26">
        <v>4692284484</v>
      </c>
      <c r="E301" s="25">
        <v>1945740</v>
      </c>
      <c r="F301" s="24">
        <f>ROUNDDOWN(E301/(1-F300),-1)</f>
        <v>1945740</v>
      </c>
      <c r="G301" s="110">
        <f>ROUNDDOWN(IF(F301*G300&gt;H300,H300,F301*G300),-1)</f>
        <v>116740</v>
      </c>
      <c r="H301" s="111"/>
      <c r="I301" s="112">
        <f>ROUNDDOWN(IF(F301*I300&gt;J300,J300,F301*I300),-1)</f>
        <v>0</v>
      </c>
      <c r="J301" s="113"/>
      <c r="K301" s="112">
        <f>ROUNDDOWN(IF(F301*K300&gt;L300,L300,F301*K300),-1)</f>
        <v>130000</v>
      </c>
      <c r="L301" s="113"/>
      <c r="M301" s="110">
        <f>ROUNDDOWN(IF(Q301*M300&gt;N300,N300,Q301*M300),-1)</f>
        <v>0</v>
      </c>
      <c r="N301" s="111"/>
      <c r="O301" s="110">
        <f>ROUNDDOWN(IF(F301*O300&gt;P300,P300,F301*O300),-1)</f>
        <v>0</v>
      </c>
      <c r="P301" s="111"/>
      <c r="Q301" s="23">
        <f>F301-G301-I301-K301</f>
        <v>1699000</v>
      </c>
      <c r="R301" s="22">
        <f>F301-G301-I301-K301-M301-O301</f>
        <v>1699000</v>
      </c>
      <c r="S301" s="21"/>
      <c r="T301" s="20">
        <f>F301*T300</f>
        <v>136201.80000000002</v>
      </c>
      <c r="U301" s="20">
        <f>F301*U300</f>
        <v>0</v>
      </c>
      <c r="V301" s="20">
        <f>(F301-I301)*V300</f>
        <v>0</v>
      </c>
      <c r="W301" s="19">
        <f>(F301*F300)*W300</f>
        <v>0</v>
      </c>
      <c r="X301" s="19">
        <f>G301*X300</f>
        <v>0</v>
      </c>
      <c r="Y301" s="19">
        <f>I301*Y300</f>
        <v>0</v>
      </c>
      <c r="Z301" s="19">
        <f>K301*Z300</f>
        <v>119999.88</v>
      </c>
      <c r="AA301" s="19">
        <f>M301*AA300</f>
        <v>0</v>
      </c>
      <c r="AB301" s="19">
        <v>0</v>
      </c>
      <c r="AC301" s="16">
        <v>6000</v>
      </c>
      <c r="AD301" s="18">
        <f>F301-T301-U301-V301-W301-AA301-X301-Y301-Z301-AB301</f>
        <v>1689538.3199999998</v>
      </c>
      <c r="AE301" s="18">
        <f>F301-T301-U301-V301-W301-X301-Y301-Z301-AA301-AB301-AC301</f>
        <v>1683538.3199999998</v>
      </c>
      <c r="AF301" s="17">
        <f>AE301-AG301</f>
        <v>57538.319999999832</v>
      </c>
      <c r="AG301" s="16">
        <v>1626000</v>
      </c>
      <c r="AH301" s="15">
        <f>AF301/AG301</f>
        <v>3.5386420664206539E-2</v>
      </c>
      <c r="AI301" s="14">
        <f>1-R301/(AG301-AM301-AN301-AO301)</f>
        <v>-4.4895448954489492E-2</v>
      </c>
      <c r="AJ301" s="114">
        <f>(1-R301/F301)-(1-(AD301)/F301)</f>
        <v>-4.8627668650488287E-3</v>
      </c>
      <c r="AK301" s="115"/>
      <c r="AM301" s="13"/>
      <c r="AN301" s="12"/>
      <c r="AO301" s="12"/>
      <c r="AP301" s="12"/>
      <c r="AQ301" s="11">
        <f>AE301-(AG301-AM301-AN301-AO301-AP301)</f>
        <v>57538.319999999832</v>
      </c>
      <c r="AR301" s="8">
        <f>AQ301/AG301</f>
        <v>3.5386420664206539E-2</v>
      </c>
      <c r="AT301" s="10">
        <v>0</v>
      </c>
      <c r="AU301" s="10">
        <v>0</v>
      </c>
      <c r="AV301" s="9">
        <f>AQ301-AT301-AU301</f>
        <v>57538.319999999832</v>
      </c>
      <c r="AW301" s="8">
        <f>AV301/AG301</f>
        <v>3.5386420664206539E-2</v>
      </c>
      <c r="AY301" s="7"/>
      <c r="AZ301" s="50"/>
      <c r="BA301" s="52"/>
      <c r="BB301" s="7"/>
    </row>
    <row r="302" spans="1:54" ht="16.5" customHeight="1" x14ac:dyDescent="0.3">
      <c r="D302" s="21"/>
      <c r="E302" s="5">
        <v>1749000</v>
      </c>
      <c r="F302" s="4">
        <f>ROUNDDOWN(E302/(1-F300),-1)</f>
        <v>1749000</v>
      </c>
      <c r="G302" s="105">
        <f>ROUNDDOWN(IF(F302*G300&gt;H300,H300,F302*G300),-1)</f>
        <v>104940</v>
      </c>
      <c r="H302" s="105"/>
      <c r="J302" s="54">
        <f>F301*4%</f>
        <v>77829.600000000006</v>
      </c>
      <c r="L302" s="21"/>
      <c r="R302" s="4"/>
      <c r="X302" s="3">
        <f>G302*X300</f>
        <v>0</v>
      </c>
      <c r="Y302" s="3"/>
      <c r="Z302" s="3"/>
      <c r="AG302" s="57"/>
    </row>
    <row r="303" spans="1:54" ht="16.5" customHeight="1" x14ac:dyDescent="0.3">
      <c r="E303" s="5"/>
      <c r="F303" s="4"/>
      <c r="G303" s="42"/>
      <c r="H303" s="42"/>
      <c r="J303" s="54"/>
      <c r="L303" s="21"/>
      <c r="R303" s="4"/>
      <c r="X303" s="3"/>
      <c r="Y303" s="3"/>
      <c r="Z303" s="3"/>
      <c r="AG303" s="57"/>
    </row>
    <row r="305" spans="1:54" ht="27" customHeight="1" x14ac:dyDescent="0.3">
      <c r="A305" s="124" t="s">
        <v>34</v>
      </c>
      <c r="B305" s="127" t="s">
        <v>125</v>
      </c>
      <c r="C305" s="128"/>
      <c r="D305" s="128"/>
      <c r="E305" s="128"/>
      <c r="F305" s="128"/>
      <c r="G305" s="128"/>
      <c r="H305" s="128"/>
      <c r="I305" s="128"/>
      <c r="J305" s="128"/>
      <c r="K305" s="128"/>
      <c r="L305" s="128"/>
      <c r="M305" s="128"/>
      <c r="N305" s="128"/>
      <c r="O305" s="128"/>
      <c r="P305" s="128"/>
      <c r="Q305" s="128"/>
      <c r="R305" s="129"/>
      <c r="T305" s="130" t="s">
        <v>33</v>
      </c>
      <c r="U305" s="131"/>
      <c r="V305" s="131"/>
      <c r="W305" s="131"/>
      <c r="X305" s="131"/>
      <c r="Y305" s="131"/>
      <c r="Z305" s="131"/>
      <c r="AA305" s="131"/>
      <c r="AB305" s="131"/>
      <c r="AC305" s="131"/>
      <c r="AD305" s="131"/>
      <c r="AE305" s="131"/>
      <c r="AF305" s="131"/>
      <c r="AG305" s="131"/>
      <c r="AH305" s="132"/>
      <c r="AI305" s="37"/>
      <c r="AM305" s="130" t="s">
        <v>32</v>
      </c>
      <c r="AN305" s="131"/>
      <c r="AO305" s="131"/>
      <c r="AP305" s="131"/>
      <c r="AQ305" s="131"/>
      <c r="AR305" s="132"/>
      <c r="AT305" s="130" t="s">
        <v>31</v>
      </c>
      <c r="AU305" s="131"/>
      <c r="AV305" s="131"/>
      <c r="AW305" s="132"/>
      <c r="AY305" s="36" t="s">
        <v>36</v>
      </c>
      <c r="AZ305" s="48"/>
      <c r="BA305" s="52"/>
      <c r="BB305" s="36"/>
    </row>
    <row r="306" spans="1:54" ht="32.25" customHeight="1" x14ac:dyDescent="0.3">
      <c r="A306" s="125"/>
      <c r="B306" s="133" t="s">
        <v>30</v>
      </c>
      <c r="C306" s="133" t="s">
        <v>29</v>
      </c>
      <c r="D306" s="116" t="s">
        <v>28</v>
      </c>
      <c r="E306" s="116" t="s">
        <v>27</v>
      </c>
      <c r="F306" s="34" t="s">
        <v>26</v>
      </c>
      <c r="G306" s="122" t="s">
        <v>63</v>
      </c>
      <c r="H306" s="123"/>
      <c r="I306" s="122" t="s">
        <v>50</v>
      </c>
      <c r="J306" s="123"/>
      <c r="K306" s="122" t="s">
        <v>62</v>
      </c>
      <c r="L306" s="123"/>
      <c r="M306" s="122" t="s">
        <v>25</v>
      </c>
      <c r="N306" s="123"/>
      <c r="O306" s="122" t="s">
        <v>24</v>
      </c>
      <c r="P306" s="123"/>
      <c r="Q306" s="106" t="s">
        <v>23</v>
      </c>
      <c r="R306" s="106" t="s">
        <v>22</v>
      </c>
      <c r="S306" s="21"/>
      <c r="T306" s="34" t="s">
        <v>21</v>
      </c>
      <c r="U306" s="34" t="s">
        <v>20</v>
      </c>
      <c r="V306" s="34" t="s">
        <v>95</v>
      </c>
      <c r="W306" s="34" t="s">
        <v>19</v>
      </c>
      <c r="X306" s="34" t="s">
        <v>18</v>
      </c>
      <c r="Y306" s="34" t="s">
        <v>48</v>
      </c>
      <c r="Z306" s="34" t="s">
        <v>49</v>
      </c>
      <c r="AA306" s="34" t="s">
        <v>17</v>
      </c>
      <c r="AB306" s="106" t="s">
        <v>16</v>
      </c>
      <c r="AC306" s="106" t="s">
        <v>15</v>
      </c>
      <c r="AD306" s="106" t="s">
        <v>14</v>
      </c>
      <c r="AE306" s="106" t="s">
        <v>13</v>
      </c>
      <c r="AF306" s="106" t="s">
        <v>12</v>
      </c>
      <c r="AG306" s="116" t="s">
        <v>11</v>
      </c>
      <c r="AH306" s="118" t="s">
        <v>10</v>
      </c>
      <c r="AI306" s="120" t="s">
        <v>9</v>
      </c>
      <c r="AJ306" s="35">
        <f>(1-R308/F308)</f>
        <v>0.22262482168330955</v>
      </c>
      <c r="AK306" s="35">
        <f>1-(AD308+AM308)/F308</f>
        <v>0.20052773181169747</v>
      </c>
      <c r="AM306" s="106" t="s">
        <v>8</v>
      </c>
      <c r="AN306" s="106" t="s">
        <v>7</v>
      </c>
      <c r="AO306" s="106" t="s">
        <v>37</v>
      </c>
      <c r="AP306" s="106" t="s">
        <v>38</v>
      </c>
      <c r="AQ306" s="106" t="s">
        <v>6</v>
      </c>
      <c r="AR306" s="106" t="s">
        <v>5</v>
      </c>
      <c r="AT306" s="106" t="s">
        <v>4</v>
      </c>
      <c r="AU306" s="106" t="s">
        <v>3</v>
      </c>
      <c r="AV306" s="106" t="s">
        <v>2</v>
      </c>
      <c r="AW306" s="106" t="s">
        <v>1</v>
      </c>
      <c r="AY306" s="106"/>
      <c r="AZ306" s="108"/>
      <c r="BA306" s="52"/>
      <c r="BB306" s="106"/>
    </row>
    <row r="307" spans="1:54" ht="27" customHeight="1" x14ac:dyDescent="0.3">
      <c r="A307" s="126"/>
      <c r="B307" s="134"/>
      <c r="C307" s="134"/>
      <c r="D307" s="117"/>
      <c r="E307" s="117"/>
      <c r="F307" s="31">
        <v>0</v>
      </c>
      <c r="G307" s="33">
        <v>0.06</v>
      </c>
      <c r="H307" s="32">
        <v>1000000</v>
      </c>
      <c r="I307" s="31">
        <v>1</v>
      </c>
      <c r="J307" s="32">
        <v>28000</v>
      </c>
      <c r="K307" s="31">
        <v>1</v>
      </c>
      <c r="L307" s="32">
        <v>130000</v>
      </c>
      <c r="M307" s="31">
        <v>7.0000000000000007E-2</v>
      </c>
      <c r="N307" s="32">
        <v>70000</v>
      </c>
      <c r="O307" s="31">
        <v>0</v>
      </c>
      <c r="P307" s="32">
        <v>0</v>
      </c>
      <c r="Q307" s="107"/>
      <c r="R307" s="107"/>
      <c r="S307" s="21"/>
      <c r="T307" s="31">
        <f>IF(C308="노트북",7%,IF(C308="저장&amp;주변기기",9%,IF(C308="모니터",7%)))</f>
        <v>7.0000000000000007E-2</v>
      </c>
      <c r="U307" s="31">
        <v>0</v>
      </c>
      <c r="V307" s="31">
        <v>0</v>
      </c>
      <c r="W307" s="31">
        <f>IF(G307=0%,20%,0%)</f>
        <v>0</v>
      </c>
      <c r="X307" s="30">
        <v>0</v>
      </c>
      <c r="Y307" s="30">
        <v>1</v>
      </c>
      <c r="Z307" s="53">
        <v>0.92307600000000001</v>
      </c>
      <c r="AA307" s="29">
        <v>0.5</v>
      </c>
      <c r="AB307" s="107"/>
      <c r="AC307" s="107"/>
      <c r="AD307" s="107"/>
      <c r="AE307" s="107"/>
      <c r="AF307" s="107"/>
      <c r="AG307" s="117"/>
      <c r="AH307" s="119"/>
      <c r="AI307" s="121"/>
      <c r="AJ307" s="55" t="s">
        <v>52</v>
      </c>
      <c r="AK307" s="56">
        <f>AJ306-AK306</f>
        <v>2.2097089871612074E-2</v>
      </c>
      <c r="AM307" s="107"/>
      <c r="AN307" s="107"/>
      <c r="AO307" s="107"/>
      <c r="AP307" s="107"/>
      <c r="AQ307" s="107"/>
      <c r="AR307" s="107"/>
      <c r="AS307" s="39"/>
      <c r="AT307" s="107"/>
      <c r="AU307" s="107"/>
      <c r="AV307" s="107"/>
      <c r="AW307" s="107"/>
      <c r="AY307" s="107"/>
      <c r="AZ307" s="109"/>
      <c r="BA307" s="52"/>
      <c r="BB307" s="107"/>
    </row>
    <row r="308" spans="1:54" ht="27" customHeight="1" x14ac:dyDescent="0.3">
      <c r="A308" s="51" t="s">
        <v>58</v>
      </c>
      <c r="B308" s="38" t="s">
        <v>35</v>
      </c>
      <c r="C308" s="27" t="s">
        <v>0</v>
      </c>
      <c r="D308" s="26">
        <v>4503257150</v>
      </c>
      <c r="E308" s="25">
        <v>1402000</v>
      </c>
      <c r="F308" s="24">
        <f>ROUNDDOWN(E308/(1-F307),-1)</f>
        <v>1402000</v>
      </c>
      <c r="G308" s="110">
        <f>ROUNDDOWN(IF(F308*G307&gt;H307,H307,F308*G307),-1)</f>
        <v>84120</v>
      </c>
      <c r="H308" s="111"/>
      <c r="I308" s="112">
        <f>ROUNDDOWN(IF(F308*I307&gt;J307,J307,F308*I307),-1)</f>
        <v>28000</v>
      </c>
      <c r="J308" s="113"/>
      <c r="K308" s="112">
        <f>ROUNDDOWN(IF(F308*K307&gt;L307,L307,F308*K307),-1)</f>
        <v>130000</v>
      </c>
      <c r="L308" s="113"/>
      <c r="M308" s="110">
        <f>ROUNDDOWN(IF(Q308*M307&gt;N307,N307,Q308*M307),-1)</f>
        <v>70000</v>
      </c>
      <c r="N308" s="111"/>
      <c r="O308" s="110">
        <f>ROUNDDOWN(IF(F308*O307&gt;P307,P307,F308*O307),-1)</f>
        <v>0</v>
      </c>
      <c r="P308" s="111"/>
      <c r="Q308" s="23">
        <f>F308-G308-I308-K308</f>
        <v>1159880</v>
      </c>
      <c r="R308" s="22">
        <f>F308-G308-I308-K308-M308-O308</f>
        <v>1089880</v>
      </c>
      <c r="S308" s="21"/>
      <c r="T308" s="20">
        <f>F308*T307</f>
        <v>98140.000000000015</v>
      </c>
      <c r="U308" s="20">
        <f>F308*U307</f>
        <v>0</v>
      </c>
      <c r="V308" s="20">
        <f>(F308-I308)*V307</f>
        <v>0</v>
      </c>
      <c r="W308" s="19">
        <f>(F308*F307)*W307</f>
        <v>0</v>
      </c>
      <c r="X308" s="19">
        <f>G308*X307</f>
        <v>0</v>
      </c>
      <c r="Y308" s="19">
        <f>I308*Y307</f>
        <v>28000</v>
      </c>
      <c r="Z308" s="19">
        <f>K308*Z307</f>
        <v>119999.88</v>
      </c>
      <c r="AA308" s="19">
        <f>M308*AA307</f>
        <v>35000</v>
      </c>
      <c r="AB308" s="19">
        <v>0</v>
      </c>
      <c r="AC308" s="16">
        <v>6000</v>
      </c>
      <c r="AD308" s="18">
        <f>F308-T308-U308-V308-W308-AA308-X308-Y308-Z308-AB308</f>
        <v>1120860.1200000001</v>
      </c>
      <c r="AE308" s="18">
        <f>F308-T308-U308-V308-W308-X308-Y308-Z308-AA308-AB308-AC308</f>
        <v>1114860.1200000001</v>
      </c>
      <c r="AF308" s="17">
        <f>AE308-AG308</f>
        <v>171860.12000000011</v>
      </c>
      <c r="AG308" s="16">
        <v>943000</v>
      </c>
      <c r="AH308" s="15">
        <f>AF308/AG308</f>
        <v>0.1822482714740192</v>
      </c>
      <c r="AI308" s="14">
        <f>1-R308/(AG308-AM308-AN308-AO308)</f>
        <v>-0.15575821845174964</v>
      </c>
      <c r="AJ308" s="114">
        <f>(1-R308/F308)-(1-(AD308)/F308)</f>
        <v>2.2097089871612074E-2</v>
      </c>
      <c r="AK308" s="115"/>
      <c r="AM308" s="13"/>
      <c r="AN308" s="12"/>
      <c r="AO308" s="12"/>
      <c r="AP308" s="12"/>
      <c r="AQ308" s="11">
        <f>AE308-(AG308-AM308-AN308-AO308-AP308)</f>
        <v>171860.12000000011</v>
      </c>
      <c r="AR308" s="8">
        <f>AQ308/AG308</f>
        <v>0.1822482714740192</v>
      </c>
      <c r="AT308" s="10">
        <v>0</v>
      </c>
      <c r="AU308" s="10">
        <v>0</v>
      </c>
      <c r="AV308" s="9">
        <f>AQ308-AT308-AU308</f>
        <v>171860.12000000011</v>
      </c>
      <c r="AW308" s="8">
        <f>AV308/AG308</f>
        <v>0.1822482714740192</v>
      </c>
      <c r="AY308" s="7"/>
      <c r="AZ308" s="50"/>
      <c r="BA308" s="52"/>
      <c r="BB308" s="7"/>
    </row>
    <row r="309" spans="1:54" ht="16.5" customHeight="1" x14ac:dyDescent="0.3">
      <c r="E309" s="5">
        <v>1149000</v>
      </c>
      <c r="F309" s="4">
        <f>ROUNDDOWN(E309/(1-F307),-1)</f>
        <v>1149000</v>
      </c>
      <c r="G309" s="105">
        <f>ROUNDDOWN(IF(F309*G307&gt;H307,H307,F309*G307),-1)</f>
        <v>68940</v>
      </c>
      <c r="H309" s="105"/>
      <c r="J309" s="54">
        <f>F308*4%</f>
        <v>56080</v>
      </c>
      <c r="R309" s="4">
        <v>1227460</v>
      </c>
      <c r="X309" s="3">
        <f>G309*X307</f>
        <v>0</v>
      </c>
      <c r="Y309" s="3"/>
      <c r="Z309" s="3"/>
      <c r="AG309" s="57"/>
    </row>
    <row r="310" spans="1:54" ht="27" customHeight="1" x14ac:dyDescent="0.3">
      <c r="A310" s="124" t="s">
        <v>34</v>
      </c>
      <c r="B310" s="135" t="s">
        <v>126</v>
      </c>
      <c r="C310" s="136"/>
      <c r="D310" s="136"/>
      <c r="E310" s="136"/>
      <c r="F310" s="136"/>
      <c r="G310" s="136"/>
      <c r="H310" s="136"/>
      <c r="I310" s="136"/>
      <c r="J310" s="136"/>
      <c r="K310" s="136"/>
      <c r="L310" s="136"/>
      <c r="M310" s="136"/>
      <c r="N310" s="136"/>
      <c r="O310" s="136"/>
      <c r="P310" s="136"/>
      <c r="Q310" s="136"/>
      <c r="R310" s="137"/>
      <c r="T310" s="130" t="s">
        <v>33</v>
      </c>
      <c r="U310" s="131"/>
      <c r="V310" s="131"/>
      <c r="W310" s="131"/>
      <c r="X310" s="131"/>
      <c r="Y310" s="131"/>
      <c r="Z310" s="131"/>
      <c r="AA310" s="131"/>
      <c r="AB310" s="131"/>
      <c r="AC310" s="131"/>
      <c r="AD310" s="131"/>
      <c r="AE310" s="131"/>
      <c r="AF310" s="131"/>
      <c r="AG310" s="131"/>
      <c r="AH310" s="132"/>
      <c r="AI310" s="37"/>
      <c r="AM310" s="130" t="s">
        <v>32</v>
      </c>
      <c r="AN310" s="131"/>
      <c r="AO310" s="131"/>
      <c r="AP310" s="131"/>
      <c r="AQ310" s="131"/>
      <c r="AR310" s="132"/>
      <c r="AT310" s="130" t="s">
        <v>31</v>
      </c>
      <c r="AU310" s="131"/>
      <c r="AV310" s="131"/>
      <c r="AW310" s="132"/>
      <c r="AY310" s="36" t="s">
        <v>36</v>
      </c>
      <c r="AZ310" s="48"/>
      <c r="BA310" s="52"/>
      <c r="BB310" s="36"/>
    </row>
    <row r="311" spans="1:54" ht="32.25" customHeight="1" x14ac:dyDescent="0.3">
      <c r="A311" s="125"/>
      <c r="B311" s="133" t="s">
        <v>30</v>
      </c>
      <c r="C311" s="133" t="s">
        <v>29</v>
      </c>
      <c r="D311" s="116" t="s">
        <v>28</v>
      </c>
      <c r="E311" s="116" t="s">
        <v>27</v>
      </c>
      <c r="F311" s="34" t="s">
        <v>26</v>
      </c>
      <c r="G311" s="122" t="s">
        <v>63</v>
      </c>
      <c r="H311" s="123"/>
      <c r="I311" s="122" t="s">
        <v>50</v>
      </c>
      <c r="J311" s="123"/>
      <c r="K311" s="122" t="s">
        <v>62</v>
      </c>
      <c r="L311" s="123"/>
      <c r="M311" s="122" t="s">
        <v>25</v>
      </c>
      <c r="N311" s="123"/>
      <c r="O311" s="122" t="s">
        <v>24</v>
      </c>
      <c r="P311" s="123"/>
      <c r="Q311" s="106" t="s">
        <v>23</v>
      </c>
      <c r="R311" s="106" t="s">
        <v>22</v>
      </c>
      <c r="S311" s="21"/>
      <c r="T311" s="34" t="s">
        <v>21</v>
      </c>
      <c r="U311" s="34" t="s">
        <v>20</v>
      </c>
      <c r="V311" s="34" t="s">
        <v>95</v>
      </c>
      <c r="W311" s="34" t="s">
        <v>19</v>
      </c>
      <c r="X311" s="34" t="s">
        <v>18</v>
      </c>
      <c r="Y311" s="34" t="s">
        <v>48</v>
      </c>
      <c r="Z311" s="34" t="s">
        <v>49</v>
      </c>
      <c r="AA311" s="34" t="s">
        <v>17</v>
      </c>
      <c r="AB311" s="106" t="s">
        <v>16</v>
      </c>
      <c r="AC311" s="106" t="s">
        <v>15</v>
      </c>
      <c r="AD311" s="106" t="s">
        <v>14</v>
      </c>
      <c r="AE311" s="106" t="s">
        <v>13</v>
      </c>
      <c r="AF311" s="106" t="s">
        <v>12</v>
      </c>
      <c r="AG311" s="116" t="s">
        <v>11</v>
      </c>
      <c r="AH311" s="118" t="s">
        <v>10</v>
      </c>
      <c r="AI311" s="120" t="s">
        <v>9</v>
      </c>
      <c r="AJ311" s="35">
        <f>(1-R313/F313)</f>
        <v>0.15553824331375909</v>
      </c>
      <c r="AK311" s="35">
        <f>1-(AD313+AM313)/F313</f>
        <v>0.15819435114616021</v>
      </c>
      <c r="AM311" s="106" t="s">
        <v>8</v>
      </c>
      <c r="AN311" s="106" t="s">
        <v>7</v>
      </c>
      <c r="AO311" s="106" t="s">
        <v>37</v>
      </c>
      <c r="AP311" s="106" t="s">
        <v>38</v>
      </c>
      <c r="AQ311" s="106" t="s">
        <v>6</v>
      </c>
      <c r="AR311" s="106" t="s">
        <v>5</v>
      </c>
      <c r="AT311" s="106" t="s">
        <v>4</v>
      </c>
      <c r="AU311" s="106" t="s">
        <v>3</v>
      </c>
      <c r="AV311" s="106" t="s">
        <v>2</v>
      </c>
      <c r="AW311" s="106" t="s">
        <v>1</v>
      </c>
      <c r="AY311" s="106"/>
      <c r="AZ311" s="108"/>
      <c r="BA311" s="52"/>
      <c r="BB311" s="106"/>
    </row>
    <row r="312" spans="1:54" ht="27" customHeight="1" x14ac:dyDescent="0.3">
      <c r="A312" s="126"/>
      <c r="B312" s="134"/>
      <c r="C312" s="134"/>
      <c r="D312" s="117"/>
      <c r="E312" s="117"/>
      <c r="F312" s="31">
        <v>0</v>
      </c>
      <c r="G312" s="33">
        <v>0.06</v>
      </c>
      <c r="H312" s="32">
        <v>1000000</v>
      </c>
      <c r="I312" s="31">
        <v>0</v>
      </c>
      <c r="J312" s="32">
        <v>0</v>
      </c>
      <c r="K312" s="31">
        <v>1</v>
      </c>
      <c r="L312" s="32">
        <v>130000</v>
      </c>
      <c r="M312" s="31">
        <v>0</v>
      </c>
      <c r="N312" s="32">
        <v>0</v>
      </c>
      <c r="O312" s="31">
        <v>0</v>
      </c>
      <c r="P312" s="32">
        <v>0</v>
      </c>
      <c r="Q312" s="107"/>
      <c r="R312" s="107"/>
      <c r="S312" s="21"/>
      <c r="T312" s="31">
        <f>IF(C313="노트북",7%,IF(C313="저장&amp;주변기기",9%,IF(C313="모니터",7%)))</f>
        <v>7.0000000000000007E-2</v>
      </c>
      <c r="U312" s="31">
        <v>0</v>
      </c>
      <c r="V312" s="31">
        <v>0</v>
      </c>
      <c r="W312" s="31">
        <f>IF(G312=0%,20%,0%)</f>
        <v>0</v>
      </c>
      <c r="X312" s="30">
        <v>0</v>
      </c>
      <c r="Y312" s="30">
        <v>1</v>
      </c>
      <c r="Z312" s="53">
        <v>0.92307600000000001</v>
      </c>
      <c r="AA312" s="29">
        <v>0.5</v>
      </c>
      <c r="AB312" s="107"/>
      <c r="AC312" s="107"/>
      <c r="AD312" s="107"/>
      <c r="AE312" s="107"/>
      <c r="AF312" s="107"/>
      <c r="AG312" s="117"/>
      <c r="AH312" s="119"/>
      <c r="AI312" s="121"/>
      <c r="AJ312" s="55" t="s">
        <v>52</v>
      </c>
      <c r="AK312" s="56">
        <f>AJ311-AK311</f>
        <v>-2.6561078324011111E-3</v>
      </c>
      <c r="AM312" s="107"/>
      <c r="AN312" s="107"/>
      <c r="AO312" s="107"/>
      <c r="AP312" s="107"/>
      <c r="AQ312" s="107"/>
      <c r="AR312" s="107"/>
      <c r="AS312" s="39"/>
      <c r="AT312" s="107"/>
      <c r="AU312" s="107"/>
      <c r="AV312" s="107"/>
      <c r="AW312" s="107"/>
      <c r="AY312" s="107"/>
      <c r="AZ312" s="109"/>
      <c r="BA312" s="52"/>
      <c r="BB312" s="107"/>
    </row>
    <row r="313" spans="1:54" ht="27" customHeight="1" x14ac:dyDescent="0.3">
      <c r="A313" s="51" t="s">
        <v>58</v>
      </c>
      <c r="B313" s="38" t="s">
        <v>35</v>
      </c>
      <c r="C313" s="27" t="s">
        <v>0</v>
      </c>
      <c r="D313" s="26">
        <v>4503257150</v>
      </c>
      <c r="E313" s="25">
        <v>1360630</v>
      </c>
      <c r="F313" s="24">
        <f>ROUNDDOWN(E313/(1-F312),-1)</f>
        <v>1360630</v>
      </c>
      <c r="G313" s="110">
        <f>ROUNDDOWN(IF(F313*G312&gt;H312,H312,F313*G312),-1)</f>
        <v>81630</v>
      </c>
      <c r="H313" s="111"/>
      <c r="I313" s="112">
        <f>ROUNDDOWN(IF(F313*I312&gt;J312,J312,F313*I312),-1)</f>
        <v>0</v>
      </c>
      <c r="J313" s="113"/>
      <c r="K313" s="112">
        <f>ROUNDDOWN(IF(F313*K312&gt;L312,L312,F313*K312),-1)</f>
        <v>130000</v>
      </c>
      <c r="L313" s="113"/>
      <c r="M313" s="110">
        <f>ROUNDDOWN(IF(Q313*M312&gt;N312,N312,Q313*M312),-1)</f>
        <v>0</v>
      </c>
      <c r="N313" s="111"/>
      <c r="O313" s="110">
        <f>ROUNDDOWN(IF(F313*O312&gt;P312,P312,F313*O312),-1)</f>
        <v>0</v>
      </c>
      <c r="P313" s="111"/>
      <c r="Q313" s="23">
        <f>F313-G313-I313-K313</f>
        <v>1149000</v>
      </c>
      <c r="R313" s="22">
        <f>F313-G313-I313-K313-M313-O313</f>
        <v>1149000</v>
      </c>
      <c r="S313" s="21"/>
      <c r="T313" s="20">
        <f>F313*T312</f>
        <v>95244.1</v>
      </c>
      <c r="U313" s="20">
        <f>F313*U312</f>
        <v>0</v>
      </c>
      <c r="V313" s="20">
        <f>(F313-I313)*V312</f>
        <v>0</v>
      </c>
      <c r="W313" s="19">
        <f>(F313*F312)*W312</f>
        <v>0</v>
      </c>
      <c r="X313" s="19">
        <f>G313*X312</f>
        <v>0</v>
      </c>
      <c r="Y313" s="19">
        <f>I313*Y312</f>
        <v>0</v>
      </c>
      <c r="Z313" s="19">
        <f>K313*Z312</f>
        <v>119999.88</v>
      </c>
      <c r="AA313" s="19">
        <f>M313*AA312</f>
        <v>0</v>
      </c>
      <c r="AB313" s="19">
        <v>0</v>
      </c>
      <c r="AC313" s="16">
        <v>6000</v>
      </c>
      <c r="AD313" s="18">
        <f>F313-T313-U313-V313-W313-AA313-X313-Y313-Z313-AB313</f>
        <v>1145386.02</v>
      </c>
      <c r="AE313" s="18">
        <f>F313-T313-U313-V313-W313-X313-Y313-Z313-AA313-AB313-AC313</f>
        <v>1139386.02</v>
      </c>
      <c r="AF313" s="17">
        <f>AE313-AG313</f>
        <v>196386.02000000002</v>
      </c>
      <c r="AG313" s="16">
        <v>943000</v>
      </c>
      <c r="AH313" s="15">
        <f>AF313/AG313</f>
        <v>0.2082566489925769</v>
      </c>
      <c r="AI313" s="14">
        <f>1-R313/(AG313-AM313-AN313-AO313)</f>
        <v>-0.21845174973488857</v>
      </c>
      <c r="AJ313" s="114">
        <f>(1-R313/F313)-(1-(AD313)/F313)</f>
        <v>-2.6561078324011111E-3</v>
      </c>
      <c r="AK313" s="115"/>
      <c r="AM313" s="13"/>
      <c r="AN313" s="12"/>
      <c r="AO313" s="12"/>
      <c r="AP313" s="12"/>
      <c r="AQ313" s="11">
        <f>AE313-(AG313-AM313-AN313-AO313-AP313)</f>
        <v>196386.02000000002</v>
      </c>
      <c r="AR313" s="8">
        <f>AQ313/AG313</f>
        <v>0.2082566489925769</v>
      </c>
      <c r="AT313" s="10">
        <v>0</v>
      </c>
      <c r="AU313" s="10">
        <v>0</v>
      </c>
      <c r="AV313" s="9">
        <f>AQ313-AT313-AU313</f>
        <v>196386.02000000002</v>
      </c>
      <c r="AW313" s="8">
        <f>AV313/AG313</f>
        <v>0.2082566489925769</v>
      </c>
      <c r="AY313" s="7"/>
      <c r="AZ313" s="50"/>
      <c r="BA313" s="52"/>
      <c r="BB313" s="7"/>
    </row>
    <row r="314" spans="1:54" ht="16.5" customHeight="1" x14ac:dyDescent="0.3">
      <c r="E314" s="5">
        <v>1149000</v>
      </c>
      <c r="F314" s="4">
        <f>ROUNDDOWN(E314/(1-F312),-1)</f>
        <v>1149000</v>
      </c>
      <c r="G314" s="105">
        <f>ROUNDDOWN(IF(F314*G312&gt;H312,H312,F314*G312),-1)</f>
        <v>68940</v>
      </c>
      <c r="H314" s="105"/>
      <c r="J314" s="54">
        <f>F313*4%</f>
        <v>54425.200000000004</v>
      </c>
      <c r="R314" s="4">
        <v>1227460</v>
      </c>
      <c r="X314" s="3">
        <f>G314*X312</f>
        <v>0</v>
      </c>
      <c r="Y314" s="3"/>
      <c r="Z314" s="3"/>
      <c r="AG314" s="57"/>
    </row>
    <row r="315" spans="1:54" ht="16.5" customHeight="1" x14ac:dyDescent="0.3">
      <c r="E315" s="5"/>
      <c r="F315" s="4"/>
      <c r="G315" s="42"/>
      <c r="H315" s="42"/>
      <c r="J315" s="54"/>
      <c r="R315" s="4"/>
      <c r="X315" s="3"/>
      <c r="Y315" s="3"/>
      <c r="Z315" s="3"/>
      <c r="AG315" s="57"/>
    </row>
    <row r="317" spans="1:54" ht="27" customHeight="1" x14ac:dyDescent="0.3">
      <c r="A317" s="124" t="s">
        <v>34</v>
      </c>
      <c r="B317" s="127" t="s">
        <v>125</v>
      </c>
      <c r="C317" s="128"/>
      <c r="D317" s="128"/>
      <c r="E317" s="128"/>
      <c r="F317" s="128"/>
      <c r="G317" s="128"/>
      <c r="H317" s="128"/>
      <c r="I317" s="128"/>
      <c r="J317" s="128"/>
      <c r="K317" s="128"/>
      <c r="L317" s="128"/>
      <c r="M317" s="128"/>
      <c r="N317" s="128"/>
      <c r="O317" s="128"/>
      <c r="P317" s="128"/>
      <c r="Q317" s="128"/>
      <c r="R317" s="129"/>
      <c r="T317" s="130" t="s">
        <v>33</v>
      </c>
      <c r="U317" s="131"/>
      <c r="V317" s="131"/>
      <c r="W317" s="131"/>
      <c r="X317" s="131"/>
      <c r="Y317" s="131"/>
      <c r="Z317" s="131"/>
      <c r="AA317" s="131"/>
      <c r="AB317" s="131"/>
      <c r="AC317" s="131"/>
      <c r="AD317" s="131"/>
      <c r="AE317" s="131"/>
      <c r="AF317" s="131"/>
      <c r="AG317" s="131"/>
      <c r="AH317" s="132"/>
      <c r="AI317" s="37"/>
      <c r="AM317" s="130" t="s">
        <v>32</v>
      </c>
      <c r="AN317" s="131"/>
      <c r="AO317" s="131"/>
      <c r="AP317" s="131"/>
      <c r="AQ317" s="131"/>
      <c r="AR317" s="132"/>
      <c r="AT317" s="130" t="s">
        <v>31</v>
      </c>
      <c r="AU317" s="131"/>
      <c r="AV317" s="131"/>
      <c r="AW317" s="132"/>
      <c r="AY317" s="36" t="s">
        <v>36</v>
      </c>
      <c r="AZ317" s="48"/>
      <c r="BA317" s="52"/>
      <c r="BB317" s="36"/>
    </row>
    <row r="318" spans="1:54" ht="32.25" customHeight="1" x14ac:dyDescent="0.3">
      <c r="A318" s="125"/>
      <c r="B318" s="133" t="s">
        <v>30</v>
      </c>
      <c r="C318" s="133" t="s">
        <v>29</v>
      </c>
      <c r="D318" s="116" t="s">
        <v>28</v>
      </c>
      <c r="E318" s="116" t="s">
        <v>27</v>
      </c>
      <c r="F318" s="34" t="s">
        <v>26</v>
      </c>
      <c r="G318" s="122" t="s">
        <v>63</v>
      </c>
      <c r="H318" s="123"/>
      <c r="I318" s="122" t="s">
        <v>50</v>
      </c>
      <c r="J318" s="123"/>
      <c r="K318" s="122" t="s">
        <v>62</v>
      </c>
      <c r="L318" s="123"/>
      <c r="M318" s="122" t="s">
        <v>25</v>
      </c>
      <c r="N318" s="123"/>
      <c r="O318" s="122" t="s">
        <v>24</v>
      </c>
      <c r="P318" s="123"/>
      <c r="Q318" s="106" t="s">
        <v>23</v>
      </c>
      <c r="R318" s="106" t="s">
        <v>22</v>
      </c>
      <c r="S318" s="21"/>
      <c r="T318" s="34" t="s">
        <v>21</v>
      </c>
      <c r="U318" s="34" t="s">
        <v>20</v>
      </c>
      <c r="V318" s="34" t="s">
        <v>95</v>
      </c>
      <c r="W318" s="34" t="s">
        <v>19</v>
      </c>
      <c r="X318" s="34" t="s">
        <v>18</v>
      </c>
      <c r="Y318" s="34" t="s">
        <v>48</v>
      </c>
      <c r="Z318" s="34" t="s">
        <v>49</v>
      </c>
      <c r="AA318" s="34" t="s">
        <v>17</v>
      </c>
      <c r="AB318" s="106" t="s">
        <v>16</v>
      </c>
      <c r="AC318" s="106" t="s">
        <v>15</v>
      </c>
      <c r="AD318" s="106" t="s">
        <v>14</v>
      </c>
      <c r="AE318" s="106" t="s">
        <v>13</v>
      </c>
      <c r="AF318" s="106" t="s">
        <v>12</v>
      </c>
      <c r="AG318" s="116" t="s">
        <v>11</v>
      </c>
      <c r="AH318" s="118" t="s">
        <v>10</v>
      </c>
      <c r="AI318" s="120" t="s">
        <v>9</v>
      </c>
      <c r="AJ318" s="35">
        <f>(1-R320/F320)</f>
        <v>0.21984394506866412</v>
      </c>
      <c r="AK318" s="35">
        <f>1-(AD320+AM320)/F320</f>
        <v>0.19424149812734071</v>
      </c>
      <c r="AM318" s="106" t="s">
        <v>8</v>
      </c>
      <c r="AN318" s="106" t="s">
        <v>7</v>
      </c>
      <c r="AO318" s="106" t="s">
        <v>37</v>
      </c>
      <c r="AP318" s="106" t="s">
        <v>38</v>
      </c>
      <c r="AQ318" s="106" t="s">
        <v>6</v>
      </c>
      <c r="AR318" s="106" t="s">
        <v>5</v>
      </c>
      <c r="AT318" s="106" t="s">
        <v>4</v>
      </c>
      <c r="AU318" s="106" t="s">
        <v>3</v>
      </c>
      <c r="AV318" s="106" t="s">
        <v>2</v>
      </c>
      <c r="AW318" s="106" t="s">
        <v>1</v>
      </c>
      <c r="AY318" s="106"/>
      <c r="AZ318" s="108"/>
      <c r="BA318" s="52"/>
      <c r="BB318" s="106"/>
    </row>
    <row r="319" spans="1:54" ht="27" customHeight="1" x14ac:dyDescent="0.3">
      <c r="A319" s="126"/>
      <c r="B319" s="134"/>
      <c r="C319" s="134"/>
      <c r="D319" s="117"/>
      <c r="E319" s="117"/>
      <c r="F319" s="31">
        <v>0</v>
      </c>
      <c r="G319" s="33">
        <v>0.06</v>
      </c>
      <c r="H319" s="32">
        <v>1000000</v>
      </c>
      <c r="I319" s="31">
        <v>1</v>
      </c>
      <c r="J319" s="32">
        <v>32000</v>
      </c>
      <c r="K319" s="31">
        <v>1</v>
      </c>
      <c r="L319" s="32">
        <v>130000</v>
      </c>
      <c r="M319" s="31">
        <v>7.0000000000000007E-2</v>
      </c>
      <c r="N319" s="32">
        <v>150000</v>
      </c>
      <c r="O319" s="31">
        <v>0</v>
      </c>
      <c r="P319" s="32">
        <v>0</v>
      </c>
      <c r="Q319" s="107"/>
      <c r="R319" s="107"/>
      <c r="S319" s="21"/>
      <c r="T319" s="31">
        <f>IF(C320="노트북",7%,IF(C320="저장&amp;주변기기",9%,IF(C320="모니터",7%)))</f>
        <v>7.0000000000000007E-2</v>
      </c>
      <c r="U319" s="31">
        <v>0</v>
      </c>
      <c r="V319" s="31">
        <v>0</v>
      </c>
      <c r="W319" s="31">
        <f>IF(G319=0%,20%,0%)</f>
        <v>0</v>
      </c>
      <c r="X319" s="30">
        <v>0</v>
      </c>
      <c r="Y319" s="30">
        <v>1</v>
      </c>
      <c r="Z319" s="53">
        <v>0.92307600000000001</v>
      </c>
      <c r="AA319" s="29">
        <v>0.5</v>
      </c>
      <c r="AB319" s="107"/>
      <c r="AC319" s="107"/>
      <c r="AD319" s="107"/>
      <c r="AE319" s="107"/>
      <c r="AF319" s="107"/>
      <c r="AG319" s="117"/>
      <c r="AH319" s="119"/>
      <c r="AI319" s="121"/>
      <c r="AJ319" s="55" t="s">
        <v>52</v>
      </c>
      <c r="AK319" s="56">
        <f>AJ318-AK318</f>
        <v>2.5602446941323409E-2</v>
      </c>
      <c r="AM319" s="107"/>
      <c r="AN319" s="107"/>
      <c r="AO319" s="107"/>
      <c r="AP319" s="107"/>
      <c r="AQ319" s="107"/>
      <c r="AR319" s="107"/>
      <c r="AS319" s="39"/>
      <c r="AT319" s="107"/>
      <c r="AU319" s="107"/>
      <c r="AV319" s="107"/>
      <c r="AW319" s="107"/>
      <c r="AY319" s="107"/>
      <c r="AZ319" s="109"/>
      <c r="BA319" s="52"/>
      <c r="BB319" s="107"/>
    </row>
    <row r="320" spans="1:54" ht="27" customHeight="1" x14ac:dyDescent="0.3">
      <c r="A320" s="51" t="s">
        <v>59</v>
      </c>
      <c r="B320" s="38" t="s">
        <v>35</v>
      </c>
      <c r="C320" s="27" t="s">
        <v>0</v>
      </c>
      <c r="D320" s="26">
        <v>4503297392</v>
      </c>
      <c r="E320" s="25">
        <v>1602000</v>
      </c>
      <c r="F320" s="24">
        <f>ROUNDDOWN(E320/(1-F319),-1)</f>
        <v>1602000</v>
      </c>
      <c r="G320" s="110">
        <f>ROUNDDOWN(IF(F320*G319&gt;H319,H319,F320*G319),-1)</f>
        <v>96120</v>
      </c>
      <c r="H320" s="111"/>
      <c r="I320" s="112">
        <f>ROUNDDOWN(IF(F320*I319&gt;J319,J319,F320*I319),-1)</f>
        <v>32000</v>
      </c>
      <c r="J320" s="113"/>
      <c r="K320" s="112">
        <f>ROUNDDOWN(IF(F320*K319&gt;L319,L319,F320*K319),-1)</f>
        <v>130000</v>
      </c>
      <c r="L320" s="113"/>
      <c r="M320" s="110">
        <f>ROUNDDOWN(IF(Q320*M319&gt;N319,N319,Q320*M319),-1)</f>
        <v>94070</v>
      </c>
      <c r="N320" s="111"/>
      <c r="O320" s="110">
        <f>ROUNDDOWN(IF(F320*O319&gt;P319,P319,F320*O319),-1)</f>
        <v>0</v>
      </c>
      <c r="P320" s="111"/>
      <c r="Q320" s="23">
        <f>F320-G320-I320-K320</f>
        <v>1343880</v>
      </c>
      <c r="R320" s="22">
        <f>F320-G320-I320-K320-M320-O320</f>
        <v>1249810</v>
      </c>
      <c r="S320" s="21"/>
      <c r="T320" s="20">
        <f>F320*T319</f>
        <v>112140.00000000001</v>
      </c>
      <c r="U320" s="20">
        <f>F320*U319</f>
        <v>0</v>
      </c>
      <c r="V320" s="20">
        <f>(F320-I320)*V319</f>
        <v>0</v>
      </c>
      <c r="W320" s="19">
        <f>(F320*F319)*W319</f>
        <v>0</v>
      </c>
      <c r="X320" s="19">
        <f>G320*X319</f>
        <v>0</v>
      </c>
      <c r="Y320" s="19">
        <f>I320*Y319</f>
        <v>32000</v>
      </c>
      <c r="Z320" s="19">
        <f>K320*Z319</f>
        <v>119999.88</v>
      </c>
      <c r="AA320" s="19">
        <f>M320*AA319</f>
        <v>47035</v>
      </c>
      <c r="AB320" s="19">
        <v>0</v>
      </c>
      <c r="AC320" s="16">
        <v>6000</v>
      </c>
      <c r="AD320" s="18">
        <f>F320-T320-U320-V320-W320-AA320-X320-Y320-Z320-AB320</f>
        <v>1290825.1200000001</v>
      </c>
      <c r="AE320" s="18">
        <f>F320-T320-U320-V320-W320-X320-Y320-Z320-AA320-AB320-AC320</f>
        <v>1284825.1200000001</v>
      </c>
      <c r="AF320" s="17">
        <f>AE320-AG320</f>
        <v>89825.120000000112</v>
      </c>
      <c r="AG320" s="16">
        <v>1195000</v>
      </c>
      <c r="AH320" s="15">
        <f>AF320/AG320</f>
        <v>7.5167464435146533E-2</v>
      </c>
      <c r="AI320" s="14">
        <f>1-R320/(AG320-AM320-AN320-AO320)</f>
        <v>-4.5866108786610793E-2</v>
      </c>
      <c r="AJ320" s="114">
        <f>(1-R320/F320)-(1-(AD320)/F320)</f>
        <v>2.5602446941323409E-2</v>
      </c>
      <c r="AK320" s="115"/>
      <c r="AM320" s="13"/>
      <c r="AN320" s="12"/>
      <c r="AO320" s="12"/>
      <c r="AP320" s="12"/>
      <c r="AQ320" s="11">
        <f>AE320-(AG320-AM320-AN320-AO320-AP320)</f>
        <v>89825.120000000112</v>
      </c>
      <c r="AR320" s="8">
        <f>AQ320/AG320</f>
        <v>7.5167464435146533E-2</v>
      </c>
      <c r="AT320" s="10">
        <v>0</v>
      </c>
      <c r="AU320" s="10">
        <v>0</v>
      </c>
      <c r="AV320" s="9">
        <f>AQ320-AT320-AU320</f>
        <v>89825.120000000112</v>
      </c>
      <c r="AW320" s="8">
        <f>AV320/AG320</f>
        <v>7.5167464435146533E-2</v>
      </c>
      <c r="AY320" s="7"/>
      <c r="AZ320" s="50"/>
      <c r="BA320" s="52"/>
      <c r="BB320" s="7"/>
    </row>
    <row r="321" spans="1:54" ht="16.5" customHeight="1" x14ac:dyDescent="0.3">
      <c r="E321" s="5">
        <v>1299000</v>
      </c>
      <c r="F321" s="4">
        <f>ROUNDDOWN(E321/(1-F319),-1)</f>
        <v>1299000</v>
      </c>
      <c r="G321" s="105">
        <f>ROUNDDOWN(IF(F321*G319&gt;H319,H319,F321*G319),-1)</f>
        <v>77940</v>
      </c>
      <c r="H321" s="105"/>
      <c r="J321" s="54">
        <f>F320*4%</f>
        <v>64080</v>
      </c>
      <c r="R321" s="4">
        <v>1227460</v>
      </c>
      <c r="X321" s="3">
        <f>G321*X319</f>
        <v>0</v>
      </c>
      <c r="Y321" s="3"/>
      <c r="Z321" s="3"/>
      <c r="AG321" s="57"/>
    </row>
    <row r="322" spans="1:54" ht="27" customHeight="1" x14ac:dyDescent="0.3">
      <c r="A322" s="124" t="s">
        <v>34</v>
      </c>
      <c r="B322" s="135" t="s">
        <v>126</v>
      </c>
      <c r="C322" s="136"/>
      <c r="D322" s="136"/>
      <c r="E322" s="136"/>
      <c r="F322" s="136"/>
      <c r="G322" s="136"/>
      <c r="H322" s="136"/>
      <c r="I322" s="136"/>
      <c r="J322" s="136"/>
      <c r="K322" s="136"/>
      <c r="L322" s="136"/>
      <c r="M322" s="136"/>
      <c r="N322" s="136"/>
      <c r="O322" s="136"/>
      <c r="P322" s="136"/>
      <c r="Q322" s="136"/>
      <c r="R322" s="137"/>
      <c r="T322" s="130" t="s">
        <v>33</v>
      </c>
      <c r="U322" s="131"/>
      <c r="V322" s="131"/>
      <c r="W322" s="131"/>
      <c r="X322" s="131"/>
      <c r="Y322" s="131"/>
      <c r="Z322" s="131"/>
      <c r="AA322" s="131"/>
      <c r="AB322" s="131"/>
      <c r="AC322" s="131"/>
      <c r="AD322" s="131"/>
      <c r="AE322" s="131"/>
      <c r="AF322" s="131"/>
      <c r="AG322" s="131"/>
      <c r="AH322" s="132"/>
      <c r="AI322" s="37"/>
      <c r="AM322" s="130" t="s">
        <v>32</v>
      </c>
      <c r="AN322" s="131"/>
      <c r="AO322" s="131"/>
      <c r="AP322" s="131"/>
      <c r="AQ322" s="131"/>
      <c r="AR322" s="132"/>
      <c r="AT322" s="130" t="s">
        <v>31</v>
      </c>
      <c r="AU322" s="131"/>
      <c r="AV322" s="131"/>
      <c r="AW322" s="132"/>
      <c r="AY322" s="36" t="s">
        <v>36</v>
      </c>
      <c r="AZ322" s="48"/>
      <c r="BA322" s="52"/>
      <c r="BB322" s="36"/>
    </row>
    <row r="323" spans="1:54" ht="32.25" customHeight="1" x14ac:dyDescent="0.3">
      <c r="A323" s="125"/>
      <c r="B323" s="133" t="s">
        <v>30</v>
      </c>
      <c r="C323" s="133" t="s">
        <v>29</v>
      </c>
      <c r="D323" s="116" t="s">
        <v>28</v>
      </c>
      <c r="E323" s="116" t="s">
        <v>27</v>
      </c>
      <c r="F323" s="34" t="s">
        <v>26</v>
      </c>
      <c r="G323" s="122" t="s">
        <v>63</v>
      </c>
      <c r="H323" s="123"/>
      <c r="I323" s="122" t="s">
        <v>50</v>
      </c>
      <c r="J323" s="123"/>
      <c r="K323" s="122" t="s">
        <v>62</v>
      </c>
      <c r="L323" s="123"/>
      <c r="M323" s="122" t="s">
        <v>25</v>
      </c>
      <c r="N323" s="123"/>
      <c r="O323" s="122" t="s">
        <v>24</v>
      </c>
      <c r="P323" s="123"/>
      <c r="Q323" s="106" t="s">
        <v>23</v>
      </c>
      <c r="R323" s="106" t="s">
        <v>22</v>
      </c>
      <c r="S323" s="21"/>
      <c r="T323" s="34" t="s">
        <v>21</v>
      </c>
      <c r="U323" s="34" t="s">
        <v>20</v>
      </c>
      <c r="V323" s="34" t="s">
        <v>95</v>
      </c>
      <c r="W323" s="34" t="s">
        <v>19</v>
      </c>
      <c r="X323" s="34" t="s">
        <v>18</v>
      </c>
      <c r="Y323" s="34" t="s">
        <v>48</v>
      </c>
      <c r="Z323" s="34" t="s">
        <v>49</v>
      </c>
      <c r="AA323" s="34" t="s">
        <v>17</v>
      </c>
      <c r="AB323" s="106" t="s">
        <v>16</v>
      </c>
      <c r="AC323" s="106" t="s">
        <v>15</v>
      </c>
      <c r="AD323" s="106" t="s">
        <v>14</v>
      </c>
      <c r="AE323" s="106" t="s">
        <v>13</v>
      </c>
      <c r="AF323" s="106" t="s">
        <v>12</v>
      </c>
      <c r="AG323" s="116" t="s">
        <v>11</v>
      </c>
      <c r="AH323" s="118" t="s">
        <v>10</v>
      </c>
      <c r="AI323" s="120" t="s">
        <v>9</v>
      </c>
      <c r="AJ323" s="35">
        <f>(1-R325/F325)</f>
        <v>0.14605164732595011</v>
      </c>
      <c r="AK323" s="35">
        <f>1-(AD325+AM325)/F325</f>
        <v>0.14943697662564626</v>
      </c>
      <c r="AM323" s="106" t="s">
        <v>8</v>
      </c>
      <c r="AN323" s="106" t="s">
        <v>7</v>
      </c>
      <c r="AO323" s="106" t="s">
        <v>37</v>
      </c>
      <c r="AP323" s="106" t="s">
        <v>38</v>
      </c>
      <c r="AQ323" s="106" t="s">
        <v>6</v>
      </c>
      <c r="AR323" s="106" t="s">
        <v>5</v>
      </c>
      <c r="AT323" s="106" t="s">
        <v>4</v>
      </c>
      <c r="AU323" s="106" t="s">
        <v>3</v>
      </c>
      <c r="AV323" s="106" t="s">
        <v>2</v>
      </c>
      <c r="AW323" s="106" t="s">
        <v>1</v>
      </c>
      <c r="AY323" s="106"/>
      <c r="AZ323" s="108"/>
      <c r="BA323" s="52"/>
      <c r="BB323" s="106"/>
    </row>
    <row r="324" spans="1:54" ht="27" customHeight="1" x14ac:dyDescent="0.3">
      <c r="A324" s="126"/>
      <c r="B324" s="134"/>
      <c r="C324" s="134"/>
      <c r="D324" s="117"/>
      <c r="E324" s="117"/>
      <c r="F324" s="31">
        <v>0</v>
      </c>
      <c r="G324" s="33">
        <v>0.06</v>
      </c>
      <c r="H324" s="32">
        <v>1000000</v>
      </c>
      <c r="I324" s="31">
        <v>0</v>
      </c>
      <c r="J324" s="32">
        <v>0</v>
      </c>
      <c r="K324" s="31">
        <v>1</v>
      </c>
      <c r="L324" s="32">
        <v>130000</v>
      </c>
      <c r="M324" s="31">
        <v>0</v>
      </c>
      <c r="N324" s="32">
        <v>0</v>
      </c>
      <c r="O324" s="31">
        <v>0</v>
      </c>
      <c r="P324" s="32">
        <v>0</v>
      </c>
      <c r="Q324" s="107"/>
      <c r="R324" s="107"/>
      <c r="S324" s="21"/>
      <c r="T324" s="31">
        <f>IF(C325="노트북",7%,IF(C325="저장&amp;주변기기",9%,IF(C325="모니터",7%)))</f>
        <v>7.0000000000000007E-2</v>
      </c>
      <c r="U324" s="31">
        <v>0</v>
      </c>
      <c r="V324" s="31">
        <v>0</v>
      </c>
      <c r="W324" s="31">
        <f>IF(G324=0%,20%,0%)</f>
        <v>0</v>
      </c>
      <c r="X324" s="30">
        <v>0</v>
      </c>
      <c r="Y324" s="30">
        <v>1</v>
      </c>
      <c r="Z324" s="53">
        <v>0.92307600000000001</v>
      </c>
      <c r="AA324" s="29">
        <v>0.5</v>
      </c>
      <c r="AB324" s="107"/>
      <c r="AC324" s="107"/>
      <c r="AD324" s="107"/>
      <c r="AE324" s="107"/>
      <c r="AF324" s="107"/>
      <c r="AG324" s="117"/>
      <c r="AH324" s="119"/>
      <c r="AI324" s="121"/>
      <c r="AJ324" s="55" t="s">
        <v>52</v>
      </c>
      <c r="AK324" s="56">
        <f>AJ323-AK323</f>
        <v>-3.3853292996961493E-3</v>
      </c>
      <c r="AM324" s="107"/>
      <c r="AN324" s="107"/>
      <c r="AO324" s="107"/>
      <c r="AP324" s="107"/>
      <c r="AQ324" s="107"/>
      <c r="AR324" s="107"/>
      <c r="AS324" s="39"/>
      <c r="AT324" s="107"/>
      <c r="AU324" s="107"/>
      <c r="AV324" s="107"/>
      <c r="AW324" s="107"/>
      <c r="AY324" s="107"/>
      <c r="AZ324" s="109"/>
      <c r="BA324" s="52"/>
      <c r="BB324" s="107"/>
    </row>
    <row r="325" spans="1:54" ht="27" customHeight="1" x14ac:dyDescent="0.3">
      <c r="A325" s="51" t="s">
        <v>59</v>
      </c>
      <c r="B325" s="38" t="s">
        <v>35</v>
      </c>
      <c r="C325" s="27" t="s">
        <v>0</v>
      </c>
      <c r="D325" s="26">
        <v>4503297392</v>
      </c>
      <c r="E325" s="25">
        <v>1510630</v>
      </c>
      <c r="F325" s="24">
        <f>ROUNDDOWN(E325/(1-F324),-1)</f>
        <v>1510630</v>
      </c>
      <c r="G325" s="110">
        <f>ROUNDDOWN(IF(F325*G324&gt;H324,H324,F325*G324),-1)</f>
        <v>90630</v>
      </c>
      <c r="H325" s="111"/>
      <c r="I325" s="112">
        <f>ROUNDDOWN(IF(F325*I324&gt;J324,J324,F325*I324),-1)</f>
        <v>0</v>
      </c>
      <c r="J325" s="113"/>
      <c r="K325" s="112">
        <f>ROUNDDOWN(IF(F325*K324&gt;L324,L324,F325*K324),-1)</f>
        <v>130000</v>
      </c>
      <c r="L325" s="113"/>
      <c r="M325" s="110">
        <f>ROUNDDOWN(IF(Q325*M324&gt;N324,N324,Q325*M324),-1)</f>
        <v>0</v>
      </c>
      <c r="N325" s="111"/>
      <c r="O325" s="110">
        <f>ROUNDDOWN(IF(F325*O324&gt;P324,P324,F325*O324),-1)</f>
        <v>0</v>
      </c>
      <c r="P325" s="111"/>
      <c r="Q325" s="23">
        <f>F325-G325-I325-K325</f>
        <v>1290000</v>
      </c>
      <c r="R325" s="22">
        <f>F325-G325-I325-K325-M325-O325</f>
        <v>1290000</v>
      </c>
      <c r="S325" s="21"/>
      <c r="T325" s="20">
        <f>F325*T324</f>
        <v>105744.1</v>
      </c>
      <c r="U325" s="20">
        <f>F325*U324</f>
        <v>0</v>
      </c>
      <c r="V325" s="20">
        <f>(F325-I325)*V324</f>
        <v>0</v>
      </c>
      <c r="W325" s="19">
        <f>(F325*F324)*W324</f>
        <v>0</v>
      </c>
      <c r="X325" s="19">
        <f>G325*X324</f>
        <v>0</v>
      </c>
      <c r="Y325" s="19">
        <f>I325*Y324</f>
        <v>0</v>
      </c>
      <c r="Z325" s="19">
        <f>K325*Z324</f>
        <v>119999.88</v>
      </c>
      <c r="AA325" s="19">
        <f>M325*AA324</f>
        <v>0</v>
      </c>
      <c r="AB325" s="19">
        <v>0</v>
      </c>
      <c r="AC325" s="16">
        <v>6000</v>
      </c>
      <c r="AD325" s="18">
        <f>F325-T325-U325-V325-W325-AA325-X325-Y325-Z325-AB325</f>
        <v>1284886.02</v>
      </c>
      <c r="AE325" s="18">
        <f>F325-T325-U325-V325-W325-X325-Y325-Z325-AA325-AB325-AC325</f>
        <v>1278886.02</v>
      </c>
      <c r="AF325" s="17">
        <f>AE325-AG325</f>
        <v>83886.020000000019</v>
      </c>
      <c r="AG325" s="16">
        <v>1195000</v>
      </c>
      <c r="AH325" s="15">
        <f>AF325/AG325</f>
        <v>7.0197506276150637E-2</v>
      </c>
      <c r="AI325" s="14">
        <f>1-R325/(AG325-AM325-AN325-AO325)</f>
        <v>-7.9497907949790836E-2</v>
      </c>
      <c r="AJ325" s="114">
        <f>(1-R325/F325)-(1-(AD325)/F325)</f>
        <v>-3.3853292996961493E-3</v>
      </c>
      <c r="AK325" s="115"/>
      <c r="AM325" s="13"/>
      <c r="AN325" s="12"/>
      <c r="AO325" s="12"/>
      <c r="AP325" s="12"/>
      <c r="AQ325" s="11">
        <f>AE325-(AG325-AM325-AN325-AO325-AP325)</f>
        <v>83886.020000000019</v>
      </c>
      <c r="AR325" s="8">
        <f>AQ325/AG325</f>
        <v>7.0197506276150637E-2</v>
      </c>
      <c r="AT325" s="10">
        <v>0</v>
      </c>
      <c r="AU325" s="10">
        <v>0</v>
      </c>
      <c r="AV325" s="9">
        <f>AQ325-AT325-AU325</f>
        <v>83886.020000000019</v>
      </c>
      <c r="AW325" s="8">
        <f>AV325/AG325</f>
        <v>7.0197506276150637E-2</v>
      </c>
      <c r="AY325" s="7"/>
      <c r="AZ325" s="50"/>
      <c r="BA325" s="52"/>
      <c r="BB325" s="7"/>
    </row>
    <row r="326" spans="1:54" ht="16.5" customHeight="1" x14ac:dyDescent="0.3">
      <c r="E326" s="5">
        <v>1299000</v>
      </c>
      <c r="F326" s="4">
        <f>ROUNDDOWN(E326/(1-F324),-1)</f>
        <v>1299000</v>
      </c>
      <c r="G326" s="105">
        <f>ROUNDDOWN(IF(F326*G324&gt;H324,H324,F326*G324),-1)</f>
        <v>77940</v>
      </c>
      <c r="H326" s="105"/>
      <c r="J326" s="54">
        <f>F325*4%</f>
        <v>60425.200000000004</v>
      </c>
      <c r="R326" s="4">
        <v>1227460</v>
      </c>
      <c r="X326" s="3">
        <f>G326*X324</f>
        <v>0</v>
      </c>
      <c r="Y326" s="3"/>
      <c r="Z326" s="3"/>
      <c r="AG326" s="57"/>
    </row>
  </sheetData>
  <mergeCells count="2205">
    <mergeCell ref="A1:C1"/>
    <mergeCell ref="H2:R3"/>
    <mergeCell ref="A3:F3"/>
    <mergeCell ref="V3:AA3"/>
    <mergeCell ref="E4:R4"/>
    <mergeCell ref="A11:A13"/>
    <mergeCell ref="B11:R11"/>
    <mergeCell ref="T11:AH11"/>
    <mergeCell ref="O12:P12"/>
    <mergeCell ref="Q12:Q13"/>
    <mergeCell ref="AN12:AN13"/>
    <mergeCell ref="AO12:AO13"/>
    <mergeCell ref="R12:R13"/>
    <mergeCell ref="AB12:AB13"/>
    <mergeCell ref="AC12:AC13"/>
    <mergeCell ref="AD12:AD13"/>
    <mergeCell ref="AE12:AE13"/>
    <mergeCell ref="AF12:AF13"/>
    <mergeCell ref="AM11:AR11"/>
    <mergeCell ref="AT11:AW11"/>
    <mergeCell ref="B12:B13"/>
    <mergeCell ref="C12:C13"/>
    <mergeCell ref="D12:D13"/>
    <mergeCell ref="E12:E13"/>
    <mergeCell ref="G12:H12"/>
    <mergeCell ref="I12:J12"/>
    <mergeCell ref="K12:L12"/>
    <mergeCell ref="M12:N12"/>
    <mergeCell ref="O17:P17"/>
    <mergeCell ref="Q17:Q18"/>
    <mergeCell ref="G15:H15"/>
    <mergeCell ref="A16:A18"/>
    <mergeCell ref="B16:R16"/>
    <mergeCell ref="T16:AH16"/>
    <mergeCell ref="AM16:AR16"/>
    <mergeCell ref="AT16:AW16"/>
    <mergeCell ref="B17:B18"/>
    <mergeCell ref="C17:C18"/>
    <mergeCell ref="D17:D18"/>
    <mergeCell ref="E17:E18"/>
    <mergeCell ref="AW12:AW13"/>
    <mergeCell ref="AY12:AY13"/>
    <mergeCell ref="AZ12:AZ13"/>
    <mergeCell ref="BB12:BB13"/>
    <mergeCell ref="G14:H14"/>
    <mergeCell ref="I14:J14"/>
    <mergeCell ref="K14:L14"/>
    <mergeCell ref="M14:N14"/>
    <mergeCell ref="O14:P14"/>
    <mergeCell ref="AJ14:AK14"/>
    <mergeCell ref="AP12:AP13"/>
    <mergeCell ref="AQ12:AQ13"/>
    <mergeCell ref="AR12:AR13"/>
    <mergeCell ref="AT12:AT13"/>
    <mergeCell ref="AU12:AU13"/>
    <mergeCell ref="AV12:AV13"/>
    <mergeCell ref="AG12:AG13"/>
    <mergeCell ref="AH12:AH13"/>
    <mergeCell ref="AI12:AI13"/>
    <mergeCell ref="AM12:AM13"/>
    <mergeCell ref="AW17:AW18"/>
    <mergeCell ref="AY17:AY18"/>
    <mergeCell ref="AZ17:AZ18"/>
    <mergeCell ref="BB17:BB18"/>
    <mergeCell ref="G19:H19"/>
    <mergeCell ref="I19:J19"/>
    <mergeCell ref="K19:L19"/>
    <mergeCell ref="M19:N19"/>
    <mergeCell ref="O19:P19"/>
    <mergeCell ref="AJ19:AK19"/>
    <mergeCell ref="AP17:AP18"/>
    <mergeCell ref="AQ17:AQ18"/>
    <mergeCell ref="AR17:AR18"/>
    <mergeCell ref="AT17:AT18"/>
    <mergeCell ref="AU17:AU18"/>
    <mergeCell ref="AV17:AV18"/>
    <mergeCell ref="AG17:AG18"/>
    <mergeCell ref="AH17:AH18"/>
    <mergeCell ref="AI17:AI18"/>
    <mergeCell ref="AM17:AM18"/>
    <mergeCell ref="AN17:AN18"/>
    <mergeCell ref="AO17:AO18"/>
    <mergeCell ref="R17:R18"/>
    <mergeCell ref="AB17:AB18"/>
    <mergeCell ref="AC17:AC18"/>
    <mergeCell ref="AD17:AD18"/>
    <mergeCell ref="AE17:AE18"/>
    <mergeCell ref="AF17:AF18"/>
    <mergeCell ref="G17:H17"/>
    <mergeCell ref="I17:J17"/>
    <mergeCell ref="K17:L17"/>
    <mergeCell ref="M17:N17"/>
    <mergeCell ref="AF24:AF25"/>
    <mergeCell ref="G24:H24"/>
    <mergeCell ref="I24:J24"/>
    <mergeCell ref="K24:L24"/>
    <mergeCell ref="M24:N24"/>
    <mergeCell ref="O24:P24"/>
    <mergeCell ref="Q24:Q25"/>
    <mergeCell ref="G20:H20"/>
    <mergeCell ref="A23:A25"/>
    <mergeCell ref="B23:R23"/>
    <mergeCell ref="T23:AH23"/>
    <mergeCell ref="AM23:AR23"/>
    <mergeCell ref="AT23:AW23"/>
    <mergeCell ref="B24:B25"/>
    <mergeCell ref="C24:C25"/>
    <mergeCell ref="D24:D25"/>
    <mergeCell ref="E24:E25"/>
    <mergeCell ref="AT28:AW28"/>
    <mergeCell ref="B29:B30"/>
    <mergeCell ref="C29:C30"/>
    <mergeCell ref="D29:D30"/>
    <mergeCell ref="E29:E30"/>
    <mergeCell ref="AW24:AW25"/>
    <mergeCell ref="AY24:AY25"/>
    <mergeCell ref="AZ24:AZ25"/>
    <mergeCell ref="BB24:BB25"/>
    <mergeCell ref="G26:H26"/>
    <mergeCell ref="I26:J26"/>
    <mergeCell ref="K26:L26"/>
    <mergeCell ref="M26:N26"/>
    <mergeCell ref="O26:P26"/>
    <mergeCell ref="AJ26:AK26"/>
    <mergeCell ref="AP24:AP25"/>
    <mergeCell ref="AQ24:AQ25"/>
    <mergeCell ref="AR24:AR25"/>
    <mergeCell ref="AT24:AT25"/>
    <mergeCell ref="AU24:AU25"/>
    <mergeCell ref="AV24:AV25"/>
    <mergeCell ref="AG24:AG25"/>
    <mergeCell ref="AH24:AH25"/>
    <mergeCell ref="AI24:AI25"/>
    <mergeCell ref="AM24:AM25"/>
    <mergeCell ref="AN24:AN25"/>
    <mergeCell ref="AO24:AO25"/>
    <mergeCell ref="R24:R25"/>
    <mergeCell ref="AB24:AB25"/>
    <mergeCell ref="AC24:AC25"/>
    <mergeCell ref="AD24:AD25"/>
    <mergeCell ref="AE24:AE25"/>
    <mergeCell ref="AN29:AN30"/>
    <mergeCell ref="AO29:AO30"/>
    <mergeCell ref="R29:R30"/>
    <mergeCell ref="AB29:AB30"/>
    <mergeCell ref="AC29:AC30"/>
    <mergeCell ref="AD29:AD30"/>
    <mergeCell ref="AE29:AE30"/>
    <mergeCell ref="AF29:AF30"/>
    <mergeCell ref="G29:H29"/>
    <mergeCell ref="I29:J29"/>
    <mergeCell ref="K29:L29"/>
    <mergeCell ref="M29:N29"/>
    <mergeCell ref="O29:P29"/>
    <mergeCell ref="Q29:Q30"/>
    <mergeCell ref="G27:H27"/>
    <mergeCell ref="A28:A30"/>
    <mergeCell ref="B28:R28"/>
    <mergeCell ref="T28:AH28"/>
    <mergeCell ref="AM28:AR28"/>
    <mergeCell ref="O36:P36"/>
    <mergeCell ref="Q36:Q37"/>
    <mergeCell ref="G32:H32"/>
    <mergeCell ref="A35:A37"/>
    <mergeCell ref="B35:R35"/>
    <mergeCell ref="T35:AH35"/>
    <mergeCell ref="AM35:AR35"/>
    <mergeCell ref="AT35:AW35"/>
    <mergeCell ref="B36:B37"/>
    <mergeCell ref="C36:C37"/>
    <mergeCell ref="D36:D37"/>
    <mergeCell ref="E36:E37"/>
    <mergeCell ref="AW29:AW30"/>
    <mergeCell ref="AY29:AY30"/>
    <mergeCell ref="AZ29:AZ30"/>
    <mergeCell ref="BB29:BB30"/>
    <mergeCell ref="G31:H31"/>
    <mergeCell ref="I31:J31"/>
    <mergeCell ref="K31:L31"/>
    <mergeCell ref="M31:N31"/>
    <mergeCell ref="O31:P31"/>
    <mergeCell ref="AJ31:AK31"/>
    <mergeCell ref="AP29:AP30"/>
    <mergeCell ref="AQ29:AQ30"/>
    <mergeCell ref="AR29:AR30"/>
    <mergeCell ref="AT29:AT30"/>
    <mergeCell ref="AU29:AU30"/>
    <mergeCell ref="AV29:AV30"/>
    <mergeCell ref="AG29:AG30"/>
    <mergeCell ref="AH29:AH30"/>
    <mergeCell ref="AI29:AI30"/>
    <mergeCell ref="AM29:AM30"/>
    <mergeCell ref="AW36:AW37"/>
    <mergeCell ref="AY36:AY37"/>
    <mergeCell ref="AZ36:AZ37"/>
    <mergeCell ref="BB36:BB37"/>
    <mergeCell ref="G38:H38"/>
    <mergeCell ref="I38:J38"/>
    <mergeCell ref="K38:L38"/>
    <mergeCell ref="M38:N38"/>
    <mergeCell ref="O38:P38"/>
    <mergeCell ref="AJ38:AK38"/>
    <mergeCell ref="AP36:AP37"/>
    <mergeCell ref="AQ36:AQ37"/>
    <mergeCell ref="AR36:AR37"/>
    <mergeCell ref="AT36:AT37"/>
    <mergeCell ref="AU36:AU37"/>
    <mergeCell ref="AV36:AV37"/>
    <mergeCell ref="AG36:AG37"/>
    <mergeCell ref="AH36:AH37"/>
    <mergeCell ref="AI36:AI37"/>
    <mergeCell ref="AM36:AM37"/>
    <mergeCell ref="AN36:AN37"/>
    <mergeCell ref="AO36:AO37"/>
    <mergeCell ref="R36:R37"/>
    <mergeCell ref="AB36:AB37"/>
    <mergeCell ref="AC36:AC37"/>
    <mergeCell ref="AD36:AD37"/>
    <mergeCell ref="AE36:AE37"/>
    <mergeCell ref="AF36:AF37"/>
    <mergeCell ref="G36:H36"/>
    <mergeCell ref="I36:J36"/>
    <mergeCell ref="K36:L36"/>
    <mergeCell ref="M36:N36"/>
    <mergeCell ref="AF41:AF42"/>
    <mergeCell ref="G41:H41"/>
    <mergeCell ref="I41:J41"/>
    <mergeCell ref="K41:L41"/>
    <mergeCell ref="M41:N41"/>
    <mergeCell ref="O41:P41"/>
    <mergeCell ref="Q41:Q42"/>
    <mergeCell ref="G39:H39"/>
    <mergeCell ref="A40:A42"/>
    <mergeCell ref="B40:R40"/>
    <mergeCell ref="T40:AH40"/>
    <mergeCell ref="AM40:AR40"/>
    <mergeCell ref="AT40:AW40"/>
    <mergeCell ref="B41:B42"/>
    <mergeCell ref="C41:C42"/>
    <mergeCell ref="D41:D42"/>
    <mergeCell ref="E41:E42"/>
    <mergeCell ref="AT50:AW50"/>
    <mergeCell ref="B51:B52"/>
    <mergeCell ref="C51:C52"/>
    <mergeCell ref="D51:D52"/>
    <mergeCell ref="E51:E52"/>
    <mergeCell ref="AW41:AW42"/>
    <mergeCell ref="AY41:AY42"/>
    <mergeCell ref="AZ41:AZ42"/>
    <mergeCell ref="BB41:BB42"/>
    <mergeCell ref="G43:H43"/>
    <mergeCell ref="I43:J43"/>
    <mergeCell ref="K43:L43"/>
    <mergeCell ref="M43:N43"/>
    <mergeCell ref="O43:P43"/>
    <mergeCell ref="AJ43:AK43"/>
    <mergeCell ref="AP41:AP42"/>
    <mergeCell ref="AQ41:AQ42"/>
    <mergeCell ref="AR41:AR42"/>
    <mergeCell ref="AT41:AT42"/>
    <mergeCell ref="AU41:AU42"/>
    <mergeCell ref="AV41:AV42"/>
    <mergeCell ref="AG41:AG42"/>
    <mergeCell ref="AH41:AH42"/>
    <mergeCell ref="AI41:AI42"/>
    <mergeCell ref="AM41:AM42"/>
    <mergeCell ref="AN41:AN42"/>
    <mergeCell ref="AO41:AO42"/>
    <mergeCell ref="R41:R42"/>
    <mergeCell ref="AB41:AB42"/>
    <mergeCell ref="AC41:AC42"/>
    <mergeCell ref="AD41:AD42"/>
    <mergeCell ref="AE41:AE42"/>
    <mergeCell ref="AN51:AN52"/>
    <mergeCell ref="AO51:AO52"/>
    <mergeCell ref="R51:R52"/>
    <mergeCell ref="AB51:AB52"/>
    <mergeCell ref="AC51:AC52"/>
    <mergeCell ref="AD51:AD52"/>
    <mergeCell ref="AE51:AE52"/>
    <mergeCell ref="AF51:AF52"/>
    <mergeCell ref="G51:H51"/>
    <mergeCell ref="I51:J51"/>
    <mergeCell ref="K51:L51"/>
    <mergeCell ref="M51:N51"/>
    <mergeCell ref="O51:P51"/>
    <mergeCell ref="Q51:Q52"/>
    <mergeCell ref="G44:H44"/>
    <mergeCell ref="A50:A52"/>
    <mergeCell ref="B50:R50"/>
    <mergeCell ref="T50:AH50"/>
    <mergeCell ref="AM50:AR50"/>
    <mergeCell ref="O56:P56"/>
    <mergeCell ref="Q56:Q57"/>
    <mergeCell ref="G54:H54"/>
    <mergeCell ref="A55:A57"/>
    <mergeCell ref="B55:R55"/>
    <mergeCell ref="T55:AH55"/>
    <mergeCell ref="AM55:AR55"/>
    <mergeCell ref="AT55:AW55"/>
    <mergeCell ref="B56:B57"/>
    <mergeCell ref="C56:C57"/>
    <mergeCell ref="D56:D57"/>
    <mergeCell ref="E56:E57"/>
    <mergeCell ref="AW51:AW52"/>
    <mergeCell ref="AY51:AY52"/>
    <mergeCell ref="AZ51:AZ52"/>
    <mergeCell ref="BB51:BB52"/>
    <mergeCell ref="G53:H53"/>
    <mergeCell ref="I53:J53"/>
    <mergeCell ref="K53:L53"/>
    <mergeCell ref="M53:N53"/>
    <mergeCell ref="O53:P53"/>
    <mergeCell ref="AJ53:AK53"/>
    <mergeCell ref="AP51:AP52"/>
    <mergeCell ref="AQ51:AQ52"/>
    <mergeCell ref="AR51:AR52"/>
    <mergeCell ref="AT51:AT52"/>
    <mergeCell ref="AU51:AU52"/>
    <mergeCell ref="AV51:AV52"/>
    <mergeCell ref="AG51:AG52"/>
    <mergeCell ref="AH51:AH52"/>
    <mergeCell ref="AI51:AI52"/>
    <mergeCell ref="AM51:AM52"/>
    <mergeCell ref="AW56:AW57"/>
    <mergeCell ref="AY56:AY57"/>
    <mergeCell ref="AZ56:AZ57"/>
    <mergeCell ref="BB56:BB57"/>
    <mergeCell ref="G58:H58"/>
    <mergeCell ref="I58:J58"/>
    <mergeCell ref="K58:L58"/>
    <mergeCell ref="M58:N58"/>
    <mergeCell ref="O58:P58"/>
    <mergeCell ref="AJ58:AK58"/>
    <mergeCell ref="AP56:AP57"/>
    <mergeCell ref="AQ56:AQ57"/>
    <mergeCell ref="AR56:AR57"/>
    <mergeCell ref="AT56:AT57"/>
    <mergeCell ref="AU56:AU57"/>
    <mergeCell ref="AV56:AV57"/>
    <mergeCell ref="AG56:AG57"/>
    <mergeCell ref="AH56:AH57"/>
    <mergeCell ref="AI56:AI57"/>
    <mergeCell ref="AM56:AM57"/>
    <mergeCell ref="AN56:AN57"/>
    <mergeCell ref="AO56:AO57"/>
    <mergeCell ref="R56:R57"/>
    <mergeCell ref="AB56:AB57"/>
    <mergeCell ref="AC56:AC57"/>
    <mergeCell ref="AD56:AD57"/>
    <mergeCell ref="AE56:AE57"/>
    <mergeCell ref="AF56:AF57"/>
    <mergeCell ref="G56:H56"/>
    <mergeCell ref="I56:J56"/>
    <mergeCell ref="K56:L56"/>
    <mergeCell ref="M56:N56"/>
    <mergeCell ref="AF66:AF67"/>
    <mergeCell ref="G66:H66"/>
    <mergeCell ref="I66:J66"/>
    <mergeCell ref="K66:L66"/>
    <mergeCell ref="M66:N66"/>
    <mergeCell ref="O66:P66"/>
    <mergeCell ref="Q66:Q67"/>
    <mergeCell ref="G59:H59"/>
    <mergeCell ref="A65:A67"/>
    <mergeCell ref="B65:R65"/>
    <mergeCell ref="T65:AH65"/>
    <mergeCell ref="AM65:AR65"/>
    <mergeCell ref="AT65:AW65"/>
    <mergeCell ref="B66:B67"/>
    <mergeCell ref="C66:C67"/>
    <mergeCell ref="D66:D67"/>
    <mergeCell ref="E66:E67"/>
    <mergeCell ref="AT70:AW70"/>
    <mergeCell ref="B71:B72"/>
    <mergeCell ref="C71:C72"/>
    <mergeCell ref="D71:D72"/>
    <mergeCell ref="E71:E72"/>
    <mergeCell ref="AW66:AW67"/>
    <mergeCell ref="AY66:AY67"/>
    <mergeCell ref="AZ66:AZ67"/>
    <mergeCell ref="BB66:BB67"/>
    <mergeCell ref="G68:H68"/>
    <mergeCell ref="I68:J68"/>
    <mergeCell ref="K68:L68"/>
    <mergeCell ref="M68:N68"/>
    <mergeCell ref="O68:P68"/>
    <mergeCell ref="AJ68:AK68"/>
    <mergeCell ref="AP66:AP67"/>
    <mergeCell ref="AQ66:AQ67"/>
    <mergeCell ref="AR66:AR67"/>
    <mergeCell ref="AT66:AT67"/>
    <mergeCell ref="AU66:AU67"/>
    <mergeCell ref="AV66:AV67"/>
    <mergeCell ref="AG66:AG67"/>
    <mergeCell ref="AH66:AH67"/>
    <mergeCell ref="AI66:AI67"/>
    <mergeCell ref="AM66:AM67"/>
    <mergeCell ref="AN66:AN67"/>
    <mergeCell ref="AO66:AO67"/>
    <mergeCell ref="R66:R67"/>
    <mergeCell ref="AB66:AB67"/>
    <mergeCell ref="AC66:AC67"/>
    <mergeCell ref="AD66:AD67"/>
    <mergeCell ref="AE66:AE67"/>
    <mergeCell ref="AN71:AN72"/>
    <mergeCell ref="AO71:AO72"/>
    <mergeCell ref="R71:R72"/>
    <mergeCell ref="AB71:AB72"/>
    <mergeCell ref="AC71:AC72"/>
    <mergeCell ref="AD71:AD72"/>
    <mergeCell ref="AE71:AE72"/>
    <mergeCell ref="AF71:AF72"/>
    <mergeCell ref="G71:H71"/>
    <mergeCell ref="I71:J71"/>
    <mergeCell ref="K71:L71"/>
    <mergeCell ref="M71:N71"/>
    <mergeCell ref="O71:P71"/>
    <mergeCell ref="Q71:Q72"/>
    <mergeCell ref="G69:H69"/>
    <mergeCell ref="A70:A72"/>
    <mergeCell ref="B70:R70"/>
    <mergeCell ref="T70:AH70"/>
    <mergeCell ref="AM70:AR70"/>
    <mergeCell ref="O78:P78"/>
    <mergeCell ref="Q78:Q79"/>
    <mergeCell ref="G74:H74"/>
    <mergeCell ref="A77:A79"/>
    <mergeCell ref="B77:R77"/>
    <mergeCell ref="T77:AH77"/>
    <mergeCell ref="AM77:AR77"/>
    <mergeCell ref="AT77:AW77"/>
    <mergeCell ref="B78:B79"/>
    <mergeCell ref="C78:C79"/>
    <mergeCell ref="D78:D79"/>
    <mergeCell ref="E78:E79"/>
    <mergeCell ref="AW71:AW72"/>
    <mergeCell ref="AY71:AY72"/>
    <mergeCell ref="AZ71:AZ72"/>
    <mergeCell ref="BB71:BB72"/>
    <mergeCell ref="G73:H73"/>
    <mergeCell ref="I73:J73"/>
    <mergeCell ref="K73:L73"/>
    <mergeCell ref="M73:N73"/>
    <mergeCell ref="O73:P73"/>
    <mergeCell ref="AJ73:AK73"/>
    <mergeCell ref="AP71:AP72"/>
    <mergeCell ref="AQ71:AQ72"/>
    <mergeCell ref="AR71:AR72"/>
    <mergeCell ref="AT71:AT72"/>
    <mergeCell ref="AU71:AU72"/>
    <mergeCell ref="AV71:AV72"/>
    <mergeCell ref="AG71:AG72"/>
    <mergeCell ref="AH71:AH72"/>
    <mergeCell ref="AI71:AI72"/>
    <mergeCell ref="AM71:AM72"/>
    <mergeCell ref="AW78:AW79"/>
    <mergeCell ref="AY78:AY79"/>
    <mergeCell ref="AZ78:AZ79"/>
    <mergeCell ref="BB78:BB79"/>
    <mergeCell ref="G80:H80"/>
    <mergeCell ref="I80:J80"/>
    <mergeCell ref="K80:L80"/>
    <mergeCell ref="M80:N80"/>
    <mergeCell ref="O80:P80"/>
    <mergeCell ref="AJ80:AK80"/>
    <mergeCell ref="AP78:AP79"/>
    <mergeCell ref="AQ78:AQ79"/>
    <mergeCell ref="AR78:AR79"/>
    <mergeCell ref="AT78:AT79"/>
    <mergeCell ref="AU78:AU79"/>
    <mergeCell ref="AV78:AV79"/>
    <mergeCell ref="AG78:AG79"/>
    <mergeCell ref="AH78:AH79"/>
    <mergeCell ref="AI78:AI79"/>
    <mergeCell ref="AM78:AM79"/>
    <mergeCell ref="AN78:AN79"/>
    <mergeCell ref="AO78:AO79"/>
    <mergeCell ref="R78:R79"/>
    <mergeCell ref="AB78:AB79"/>
    <mergeCell ref="AC78:AC79"/>
    <mergeCell ref="AD78:AD79"/>
    <mergeCell ref="AE78:AE79"/>
    <mergeCell ref="AF78:AF79"/>
    <mergeCell ref="G78:H78"/>
    <mergeCell ref="I78:J78"/>
    <mergeCell ref="K78:L78"/>
    <mergeCell ref="M78:N78"/>
    <mergeCell ref="AF83:AF84"/>
    <mergeCell ref="G83:H83"/>
    <mergeCell ref="I83:J83"/>
    <mergeCell ref="K83:L83"/>
    <mergeCell ref="M83:N83"/>
    <mergeCell ref="O83:P83"/>
    <mergeCell ref="Q83:Q84"/>
    <mergeCell ref="G81:H81"/>
    <mergeCell ref="A82:A84"/>
    <mergeCell ref="B82:R82"/>
    <mergeCell ref="T82:AH82"/>
    <mergeCell ref="AM82:AR82"/>
    <mergeCell ref="AT82:AW82"/>
    <mergeCell ref="B83:B84"/>
    <mergeCell ref="C83:C84"/>
    <mergeCell ref="D83:D84"/>
    <mergeCell ref="E83:E84"/>
    <mergeCell ref="AT92:AW92"/>
    <mergeCell ref="B93:B94"/>
    <mergeCell ref="C93:C94"/>
    <mergeCell ref="D93:D94"/>
    <mergeCell ref="E93:E94"/>
    <mergeCell ref="AW83:AW84"/>
    <mergeCell ref="AY83:AY84"/>
    <mergeCell ref="AZ83:AZ84"/>
    <mergeCell ref="BB83:BB84"/>
    <mergeCell ref="G85:H85"/>
    <mergeCell ref="I85:J85"/>
    <mergeCell ref="K85:L85"/>
    <mergeCell ref="M85:N85"/>
    <mergeCell ref="O85:P85"/>
    <mergeCell ref="AJ85:AK85"/>
    <mergeCell ref="AP83:AP84"/>
    <mergeCell ref="AQ83:AQ84"/>
    <mergeCell ref="AR83:AR84"/>
    <mergeCell ref="AT83:AT84"/>
    <mergeCell ref="AU83:AU84"/>
    <mergeCell ref="AV83:AV84"/>
    <mergeCell ref="AG83:AG84"/>
    <mergeCell ref="AH83:AH84"/>
    <mergeCell ref="AI83:AI84"/>
    <mergeCell ref="AM83:AM84"/>
    <mergeCell ref="AN83:AN84"/>
    <mergeCell ref="AO83:AO84"/>
    <mergeCell ref="R83:R84"/>
    <mergeCell ref="AB83:AB84"/>
    <mergeCell ref="AC83:AC84"/>
    <mergeCell ref="AD83:AD84"/>
    <mergeCell ref="AE83:AE84"/>
    <mergeCell ref="AN93:AN94"/>
    <mergeCell ref="AO93:AO94"/>
    <mergeCell ref="R93:R94"/>
    <mergeCell ref="AB93:AB94"/>
    <mergeCell ref="AC93:AC94"/>
    <mergeCell ref="AD93:AD94"/>
    <mergeCell ref="AE93:AE94"/>
    <mergeCell ref="AF93:AF94"/>
    <mergeCell ref="G93:H93"/>
    <mergeCell ref="I93:J93"/>
    <mergeCell ref="K93:L93"/>
    <mergeCell ref="M93:N93"/>
    <mergeCell ref="O93:P93"/>
    <mergeCell ref="Q93:Q94"/>
    <mergeCell ref="G86:H86"/>
    <mergeCell ref="A92:A94"/>
    <mergeCell ref="B92:R92"/>
    <mergeCell ref="T92:AH92"/>
    <mergeCell ref="AM92:AR92"/>
    <mergeCell ref="O99:P99"/>
    <mergeCell ref="Q99:Q100"/>
    <mergeCell ref="G96:H96"/>
    <mergeCell ref="A98:A100"/>
    <mergeCell ref="B98:R98"/>
    <mergeCell ref="T98:AH98"/>
    <mergeCell ref="AM98:AR98"/>
    <mergeCell ref="AT98:AW98"/>
    <mergeCell ref="B99:B100"/>
    <mergeCell ref="C99:C100"/>
    <mergeCell ref="D99:D100"/>
    <mergeCell ref="E99:E100"/>
    <mergeCell ref="AW93:AW94"/>
    <mergeCell ref="AY93:AY94"/>
    <mergeCell ref="AZ93:AZ94"/>
    <mergeCell ref="BB93:BB94"/>
    <mergeCell ref="G95:H95"/>
    <mergeCell ref="I95:J95"/>
    <mergeCell ref="K95:L95"/>
    <mergeCell ref="M95:N95"/>
    <mergeCell ref="O95:P95"/>
    <mergeCell ref="AJ95:AK95"/>
    <mergeCell ref="AP93:AP94"/>
    <mergeCell ref="AQ93:AQ94"/>
    <mergeCell ref="AR93:AR94"/>
    <mergeCell ref="AT93:AT94"/>
    <mergeCell ref="AU93:AU94"/>
    <mergeCell ref="AV93:AV94"/>
    <mergeCell ref="AG93:AG94"/>
    <mergeCell ref="AH93:AH94"/>
    <mergeCell ref="AI93:AI94"/>
    <mergeCell ref="AM93:AM94"/>
    <mergeCell ref="AW99:AW100"/>
    <mergeCell ref="AY99:AY100"/>
    <mergeCell ref="AZ99:AZ100"/>
    <mergeCell ref="BB99:BB100"/>
    <mergeCell ref="G101:H101"/>
    <mergeCell ref="I101:J101"/>
    <mergeCell ref="K101:L101"/>
    <mergeCell ref="M101:N101"/>
    <mergeCell ref="O101:P101"/>
    <mergeCell ref="AJ101:AK101"/>
    <mergeCell ref="AP99:AP100"/>
    <mergeCell ref="AQ99:AQ100"/>
    <mergeCell ref="AR99:AR100"/>
    <mergeCell ref="AT99:AT100"/>
    <mergeCell ref="AU99:AU100"/>
    <mergeCell ref="AV99:AV100"/>
    <mergeCell ref="AG99:AG100"/>
    <mergeCell ref="AH99:AH100"/>
    <mergeCell ref="AI99:AI100"/>
    <mergeCell ref="AM99:AM100"/>
    <mergeCell ref="AN99:AN100"/>
    <mergeCell ref="AO99:AO100"/>
    <mergeCell ref="R99:R100"/>
    <mergeCell ref="AB99:AB100"/>
    <mergeCell ref="AC99:AC100"/>
    <mergeCell ref="AD99:AD100"/>
    <mergeCell ref="AE99:AE100"/>
    <mergeCell ref="AF99:AF100"/>
    <mergeCell ref="G99:H99"/>
    <mergeCell ref="I99:J99"/>
    <mergeCell ref="K99:L99"/>
    <mergeCell ref="M99:N99"/>
    <mergeCell ref="AF109:AF110"/>
    <mergeCell ref="G109:H109"/>
    <mergeCell ref="I109:J109"/>
    <mergeCell ref="K109:L109"/>
    <mergeCell ref="M109:N109"/>
    <mergeCell ref="O109:P109"/>
    <mergeCell ref="Q109:Q110"/>
    <mergeCell ref="G102:H102"/>
    <mergeCell ref="A108:A110"/>
    <mergeCell ref="B108:R108"/>
    <mergeCell ref="T108:AH108"/>
    <mergeCell ref="AM108:AR108"/>
    <mergeCell ref="AT108:AW108"/>
    <mergeCell ref="B109:B110"/>
    <mergeCell ref="C109:C110"/>
    <mergeCell ref="D109:D110"/>
    <mergeCell ref="E109:E110"/>
    <mergeCell ref="AT113:AW113"/>
    <mergeCell ref="B114:B115"/>
    <mergeCell ref="C114:C115"/>
    <mergeCell ref="D114:D115"/>
    <mergeCell ref="E114:E115"/>
    <mergeCell ref="AW109:AW110"/>
    <mergeCell ref="AY109:AY110"/>
    <mergeCell ref="AZ109:AZ110"/>
    <mergeCell ref="BB109:BB110"/>
    <mergeCell ref="G111:H111"/>
    <mergeCell ref="I111:J111"/>
    <mergeCell ref="K111:L111"/>
    <mergeCell ref="M111:N111"/>
    <mergeCell ref="O111:P111"/>
    <mergeCell ref="AJ111:AK111"/>
    <mergeCell ref="AP109:AP110"/>
    <mergeCell ref="AQ109:AQ110"/>
    <mergeCell ref="AR109:AR110"/>
    <mergeCell ref="AT109:AT110"/>
    <mergeCell ref="AU109:AU110"/>
    <mergeCell ref="AV109:AV110"/>
    <mergeCell ref="AG109:AG110"/>
    <mergeCell ref="AH109:AH110"/>
    <mergeCell ref="AI109:AI110"/>
    <mergeCell ref="AM109:AM110"/>
    <mergeCell ref="AN109:AN110"/>
    <mergeCell ref="AO109:AO110"/>
    <mergeCell ref="R109:R110"/>
    <mergeCell ref="AB109:AB110"/>
    <mergeCell ref="AC109:AC110"/>
    <mergeCell ref="AD109:AD110"/>
    <mergeCell ref="AE109:AE110"/>
    <mergeCell ref="AN114:AN115"/>
    <mergeCell ref="AO114:AO115"/>
    <mergeCell ref="R114:R115"/>
    <mergeCell ref="AB114:AB115"/>
    <mergeCell ref="AC114:AC115"/>
    <mergeCell ref="AD114:AD115"/>
    <mergeCell ref="AE114:AE115"/>
    <mergeCell ref="AF114:AF115"/>
    <mergeCell ref="G114:H114"/>
    <mergeCell ref="I114:J114"/>
    <mergeCell ref="K114:L114"/>
    <mergeCell ref="M114:N114"/>
    <mergeCell ref="O114:P114"/>
    <mergeCell ref="Q114:Q115"/>
    <mergeCell ref="G112:H112"/>
    <mergeCell ref="A113:A115"/>
    <mergeCell ref="B113:R113"/>
    <mergeCell ref="T113:AH113"/>
    <mergeCell ref="AM113:AR113"/>
    <mergeCell ref="O121:P121"/>
    <mergeCell ref="Q121:Q122"/>
    <mergeCell ref="G117:H117"/>
    <mergeCell ref="A120:A122"/>
    <mergeCell ref="B120:R120"/>
    <mergeCell ref="T120:AH120"/>
    <mergeCell ref="AM120:AR120"/>
    <mergeCell ref="AT120:AW120"/>
    <mergeCell ref="B121:B122"/>
    <mergeCell ref="C121:C122"/>
    <mergeCell ref="D121:D122"/>
    <mergeCell ref="E121:E122"/>
    <mergeCell ref="AW114:AW115"/>
    <mergeCell ref="AY114:AY115"/>
    <mergeCell ref="AZ114:AZ115"/>
    <mergeCell ref="BB114:BB115"/>
    <mergeCell ref="G116:H116"/>
    <mergeCell ref="I116:J116"/>
    <mergeCell ref="K116:L116"/>
    <mergeCell ref="M116:N116"/>
    <mergeCell ref="O116:P116"/>
    <mergeCell ref="AJ116:AK116"/>
    <mergeCell ref="AP114:AP115"/>
    <mergeCell ref="AQ114:AQ115"/>
    <mergeCell ref="AR114:AR115"/>
    <mergeCell ref="AT114:AT115"/>
    <mergeCell ref="AU114:AU115"/>
    <mergeCell ref="AV114:AV115"/>
    <mergeCell ref="AG114:AG115"/>
    <mergeCell ref="AH114:AH115"/>
    <mergeCell ref="AI114:AI115"/>
    <mergeCell ref="AM114:AM115"/>
    <mergeCell ref="AW121:AW122"/>
    <mergeCell ref="AY121:AY122"/>
    <mergeCell ref="AZ121:AZ122"/>
    <mergeCell ref="BB121:BB122"/>
    <mergeCell ref="G123:H123"/>
    <mergeCell ref="I123:J123"/>
    <mergeCell ref="K123:L123"/>
    <mergeCell ref="M123:N123"/>
    <mergeCell ref="O123:P123"/>
    <mergeCell ref="AJ123:AK123"/>
    <mergeCell ref="AP121:AP122"/>
    <mergeCell ref="AQ121:AQ122"/>
    <mergeCell ref="AR121:AR122"/>
    <mergeCell ref="AT121:AT122"/>
    <mergeCell ref="AU121:AU122"/>
    <mergeCell ref="AV121:AV122"/>
    <mergeCell ref="AG121:AG122"/>
    <mergeCell ref="AH121:AH122"/>
    <mergeCell ref="AI121:AI122"/>
    <mergeCell ref="AM121:AM122"/>
    <mergeCell ref="AN121:AN122"/>
    <mergeCell ref="AO121:AO122"/>
    <mergeCell ref="R121:R122"/>
    <mergeCell ref="AB121:AB122"/>
    <mergeCell ref="AC121:AC122"/>
    <mergeCell ref="AD121:AD122"/>
    <mergeCell ref="AE121:AE122"/>
    <mergeCell ref="AF121:AF122"/>
    <mergeCell ref="G121:H121"/>
    <mergeCell ref="I121:J121"/>
    <mergeCell ref="K121:L121"/>
    <mergeCell ref="M121:N121"/>
    <mergeCell ref="AF126:AF127"/>
    <mergeCell ref="G126:H126"/>
    <mergeCell ref="I126:J126"/>
    <mergeCell ref="K126:L126"/>
    <mergeCell ref="M126:N126"/>
    <mergeCell ref="O126:P126"/>
    <mergeCell ref="Q126:Q127"/>
    <mergeCell ref="G124:H124"/>
    <mergeCell ref="A125:A127"/>
    <mergeCell ref="B125:R125"/>
    <mergeCell ref="T125:AH125"/>
    <mergeCell ref="AM125:AR125"/>
    <mergeCell ref="AT125:AW125"/>
    <mergeCell ref="B126:B127"/>
    <mergeCell ref="C126:C127"/>
    <mergeCell ref="D126:D127"/>
    <mergeCell ref="E126:E127"/>
    <mergeCell ref="AT132:AW132"/>
    <mergeCell ref="B133:B134"/>
    <mergeCell ref="C133:C134"/>
    <mergeCell ref="D133:D134"/>
    <mergeCell ref="E133:E134"/>
    <mergeCell ref="AW126:AW127"/>
    <mergeCell ref="AY126:AY127"/>
    <mergeCell ref="AZ126:AZ127"/>
    <mergeCell ref="BB126:BB127"/>
    <mergeCell ref="G128:H128"/>
    <mergeCell ref="I128:J128"/>
    <mergeCell ref="K128:L128"/>
    <mergeCell ref="M128:N128"/>
    <mergeCell ref="O128:P128"/>
    <mergeCell ref="AJ128:AK128"/>
    <mergeCell ref="AP126:AP127"/>
    <mergeCell ref="AQ126:AQ127"/>
    <mergeCell ref="AR126:AR127"/>
    <mergeCell ref="AT126:AT127"/>
    <mergeCell ref="AU126:AU127"/>
    <mergeCell ref="AV126:AV127"/>
    <mergeCell ref="AG126:AG127"/>
    <mergeCell ref="AH126:AH127"/>
    <mergeCell ref="AI126:AI127"/>
    <mergeCell ref="AM126:AM127"/>
    <mergeCell ref="AN126:AN127"/>
    <mergeCell ref="AO126:AO127"/>
    <mergeCell ref="R126:R127"/>
    <mergeCell ref="AB126:AB127"/>
    <mergeCell ref="AC126:AC127"/>
    <mergeCell ref="AD126:AD127"/>
    <mergeCell ref="AE126:AE127"/>
    <mergeCell ref="AN133:AN134"/>
    <mergeCell ref="AO133:AO134"/>
    <mergeCell ref="R133:R134"/>
    <mergeCell ref="AB133:AB134"/>
    <mergeCell ref="AC133:AC134"/>
    <mergeCell ref="AD133:AD134"/>
    <mergeCell ref="AE133:AE134"/>
    <mergeCell ref="AF133:AF134"/>
    <mergeCell ref="G133:H133"/>
    <mergeCell ref="I133:J133"/>
    <mergeCell ref="K133:L133"/>
    <mergeCell ref="M133:N133"/>
    <mergeCell ref="O133:P133"/>
    <mergeCell ref="Q133:Q134"/>
    <mergeCell ref="G129:H129"/>
    <mergeCell ref="A132:A134"/>
    <mergeCell ref="B132:R132"/>
    <mergeCell ref="T132:AH132"/>
    <mergeCell ref="AM132:AR132"/>
    <mergeCell ref="O138:P138"/>
    <mergeCell ref="Q138:Q139"/>
    <mergeCell ref="G136:H136"/>
    <mergeCell ref="A137:A139"/>
    <mergeCell ref="B137:R137"/>
    <mergeCell ref="T137:AH137"/>
    <mergeCell ref="AM137:AR137"/>
    <mergeCell ref="AT137:AW137"/>
    <mergeCell ref="B138:B139"/>
    <mergeCell ref="C138:C139"/>
    <mergeCell ref="D138:D139"/>
    <mergeCell ref="E138:E139"/>
    <mergeCell ref="AW133:AW134"/>
    <mergeCell ref="AY133:AY134"/>
    <mergeCell ref="AZ133:AZ134"/>
    <mergeCell ref="BB133:BB134"/>
    <mergeCell ref="G135:H135"/>
    <mergeCell ref="I135:J135"/>
    <mergeCell ref="K135:L135"/>
    <mergeCell ref="M135:N135"/>
    <mergeCell ref="O135:P135"/>
    <mergeCell ref="AJ135:AK135"/>
    <mergeCell ref="AP133:AP134"/>
    <mergeCell ref="AQ133:AQ134"/>
    <mergeCell ref="AR133:AR134"/>
    <mergeCell ref="AT133:AT134"/>
    <mergeCell ref="AU133:AU134"/>
    <mergeCell ref="AV133:AV134"/>
    <mergeCell ref="AG133:AG134"/>
    <mergeCell ref="AH133:AH134"/>
    <mergeCell ref="AI133:AI134"/>
    <mergeCell ref="AM133:AM134"/>
    <mergeCell ref="AW138:AW139"/>
    <mergeCell ref="AY138:AY139"/>
    <mergeCell ref="AZ138:AZ139"/>
    <mergeCell ref="BB138:BB139"/>
    <mergeCell ref="G140:H140"/>
    <mergeCell ref="I140:J140"/>
    <mergeCell ref="K140:L140"/>
    <mergeCell ref="M140:N140"/>
    <mergeCell ref="O140:P140"/>
    <mergeCell ref="AJ140:AK140"/>
    <mergeCell ref="AP138:AP139"/>
    <mergeCell ref="AQ138:AQ139"/>
    <mergeCell ref="AR138:AR139"/>
    <mergeCell ref="AT138:AT139"/>
    <mergeCell ref="AU138:AU139"/>
    <mergeCell ref="AV138:AV139"/>
    <mergeCell ref="AG138:AG139"/>
    <mergeCell ref="AH138:AH139"/>
    <mergeCell ref="AI138:AI139"/>
    <mergeCell ref="AM138:AM139"/>
    <mergeCell ref="AN138:AN139"/>
    <mergeCell ref="AO138:AO139"/>
    <mergeCell ref="R138:R139"/>
    <mergeCell ref="AB138:AB139"/>
    <mergeCell ref="AC138:AC139"/>
    <mergeCell ref="AD138:AD139"/>
    <mergeCell ref="AE138:AE139"/>
    <mergeCell ref="AF138:AF139"/>
    <mergeCell ref="G138:H138"/>
    <mergeCell ref="I138:J138"/>
    <mergeCell ref="K138:L138"/>
    <mergeCell ref="M138:N138"/>
    <mergeCell ref="AF145:AF146"/>
    <mergeCell ref="G145:H145"/>
    <mergeCell ref="I145:J145"/>
    <mergeCell ref="K145:L145"/>
    <mergeCell ref="M145:N145"/>
    <mergeCell ref="O145:P145"/>
    <mergeCell ref="Q145:Q146"/>
    <mergeCell ref="G141:H141"/>
    <mergeCell ref="A144:A146"/>
    <mergeCell ref="B144:R144"/>
    <mergeCell ref="T144:AH144"/>
    <mergeCell ref="AM144:AR144"/>
    <mergeCell ref="AT144:AW144"/>
    <mergeCell ref="B145:B146"/>
    <mergeCell ref="C145:C146"/>
    <mergeCell ref="D145:D146"/>
    <mergeCell ref="E145:E146"/>
    <mergeCell ref="AT149:AW149"/>
    <mergeCell ref="B150:B151"/>
    <mergeCell ref="C150:C151"/>
    <mergeCell ref="D150:D151"/>
    <mergeCell ref="E150:E151"/>
    <mergeCell ref="AW145:AW146"/>
    <mergeCell ref="AY145:AY146"/>
    <mergeCell ref="AZ145:AZ146"/>
    <mergeCell ref="BB145:BB146"/>
    <mergeCell ref="G147:H147"/>
    <mergeCell ref="I147:J147"/>
    <mergeCell ref="K147:L147"/>
    <mergeCell ref="M147:N147"/>
    <mergeCell ref="O147:P147"/>
    <mergeCell ref="AJ147:AK147"/>
    <mergeCell ref="AP145:AP146"/>
    <mergeCell ref="AQ145:AQ146"/>
    <mergeCell ref="AR145:AR146"/>
    <mergeCell ref="AT145:AT146"/>
    <mergeCell ref="AU145:AU146"/>
    <mergeCell ref="AV145:AV146"/>
    <mergeCell ref="AG145:AG146"/>
    <mergeCell ref="AH145:AH146"/>
    <mergeCell ref="AI145:AI146"/>
    <mergeCell ref="AM145:AM146"/>
    <mergeCell ref="AN145:AN146"/>
    <mergeCell ref="AO145:AO146"/>
    <mergeCell ref="R145:R146"/>
    <mergeCell ref="AB145:AB146"/>
    <mergeCell ref="AC145:AC146"/>
    <mergeCell ref="AD145:AD146"/>
    <mergeCell ref="AE145:AE146"/>
    <mergeCell ref="AN150:AN151"/>
    <mergeCell ref="AO150:AO151"/>
    <mergeCell ref="R150:R151"/>
    <mergeCell ref="AB150:AB151"/>
    <mergeCell ref="AC150:AC151"/>
    <mergeCell ref="AD150:AD151"/>
    <mergeCell ref="AE150:AE151"/>
    <mergeCell ref="AF150:AF151"/>
    <mergeCell ref="G150:H150"/>
    <mergeCell ref="I150:J150"/>
    <mergeCell ref="K150:L150"/>
    <mergeCell ref="M150:N150"/>
    <mergeCell ref="O150:P150"/>
    <mergeCell ref="Q150:Q151"/>
    <mergeCell ref="G148:H148"/>
    <mergeCell ref="A149:A151"/>
    <mergeCell ref="B149:R149"/>
    <mergeCell ref="T149:AH149"/>
    <mergeCell ref="AM149:AR149"/>
    <mergeCell ref="O155:P155"/>
    <mergeCell ref="Q155:Q156"/>
    <mergeCell ref="G153:H153"/>
    <mergeCell ref="A154:A156"/>
    <mergeCell ref="B154:R154"/>
    <mergeCell ref="T154:AH154"/>
    <mergeCell ref="AM154:AR154"/>
    <mergeCell ref="AT154:AW154"/>
    <mergeCell ref="B155:B156"/>
    <mergeCell ref="C155:C156"/>
    <mergeCell ref="D155:D156"/>
    <mergeCell ref="E155:E156"/>
    <mergeCell ref="AW150:AW151"/>
    <mergeCell ref="AY150:AY151"/>
    <mergeCell ref="AZ150:AZ151"/>
    <mergeCell ref="BB150:BB151"/>
    <mergeCell ref="G152:H152"/>
    <mergeCell ref="I152:J152"/>
    <mergeCell ref="K152:L152"/>
    <mergeCell ref="M152:N152"/>
    <mergeCell ref="O152:P152"/>
    <mergeCell ref="AJ152:AK152"/>
    <mergeCell ref="AP150:AP151"/>
    <mergeCell ref="AQ150:AQ151"/>
    <mergeCell ref="AR150:AR151"/>
    <mergeCell ref="AT150:AT151"/>
    <mergeCell ref="AU150:AU151"/>
    <mergeCell ref="AV150:AV151"/>
    <mergeCell ref="AG150:AG151"/>
    <mergeCell ref="AH150:AH151"/>
    <mergeCell ref="AI150:AI151"/>
    <mergeCell ref="AM150:AM151"/>
    <mergeCell ref="AW155:AW156"/>
    <mergeCell ref="AY155:AY156"/>
    <mergeCell ref="AZ155:AZ156"/>
    <mergeCell ref="BB155:BB156"/>
    <mergeCell ref="G157:H157"/>
    <mergeCell ref="I157:J157"/>
    <mergeCell ref="K157:L157"/>
    <mergeCell ref="M157:N157"/>
    <mergeCell ref="O157:P157"/>
    <mergeCell ref="AJ157:AK157"/>
    <mergeCell ref="AP155:AP156"/>
    <mergeCell ref="AQ155:AQ156"/>
    <mergeCell ref="AR155:AR156"/>
    <mergeCell ref="AT155:AT156"/>
    <mergeCell ref="AU155:AU156"/>
    <mergeCell ref="AV155:AV156"/>
    <mergeCell ref="AG155:AG156"/>
    <mergeCell ref="AH155:AH156"/>
    <mergeCell ref="AI155:AI156"/>
    <mergeCell ref="AM155:AM156"/>
    <mergeCell ref="AN155:AN156"/>
    <mergeCell ref="AO155:AO156"/>
    <mergeCell ref="R155:R156"/>
    <mergeCell ref="AB155:AB156"/>
    <mergeCell ref="AC155:AC156"/>
    <mergeCell ref="AD155:AD156"/>
    <mergeCell ref="AE155:AE156"/>
    <mergeCell ref="AF155:AF156"/>
    <mergeCell ref="G155:H155"/>
    <mergeCell ref="I155:J155"/>
    <mergeCell ref="K155:L155"/>
    <mergeCell ref="M155:N155"/>
    <mergeCell ref="AF165:AF166"/>
    <mergeCell ref="G165:H165"/>
    <mergeCell ref="I165:J165"/>
    <mergeCell ref="K165:L165"/>
    <mergeCell ref="M165:N165"/>
    <mergeCell ref="O165:P165"/>
    <mergeCell ref="Q165:Q166"/>
    <mergeCell ref="G158:H158"/>
    <mergeCell ref="A164:A166"/>
    <mergeCell ref="B164:R164"/>
    <mergeCell ref="T164:AH164"/>
    <mergeCell ref="AM164:AR164"/>
    <mergeCell ref="AT164:AW164"/>
    <mergeCell ref="B165:B166"/>
    <mergeCell ref="C165:C166"/>
    <mergeCell ref="D165:D166"/>
    <mergeCell ref="E165:E166"/>
    <mergeCell ref="AT170:AW170"/>
    <mergeCell ref="B171:B172"/>
    <mergeCell ref="C171:C172"/>
    <mergeCell ref="D171:D172"/>
    <mergeCell ref="E171:E172"/>
    <mergeCell ref="AW165:AW166"/>
    <mergeCell ref="AY165:AY166"/>
    <mergeCell ref="AZ165:AZ166"/>
    <mergeCell ref="BB165:BB166"/>
    <mergeCell ref="G167:H167"/>
    <mergeCell ref="I167:J167"/>
    <mergeCell ref="K167:L167"/>
    <mergeCell ref="M167:N167"/>
    <mergeCell ref="O167:P167"/>
    <mergeCell ref="AJ167:AK167"/>
    <mergeCell ref="AP165:AP166"/>
    <mergeCell ref="AQ165:AQ166"/>
    <mergeCell ref="AR165:AR166"/>
    <mergeCell ref="AT165:AT166"/>
    <mergeCell ref="AU165:AU166"/>
    <mergeCell ref="AV165:AV166"/>
    <mergeCell ref="AG165:AG166"/>
    <mergeCell ref="AH165:AH166"/>
    <mergeCell ref="AI165:AI166"/>
    <mergeCell ref="AM165:AM166"/>
    <mergeCell ref="AN165:AN166"/>
    <mergeCell ref="AO165:AO166"/>
    <mergeCell ref="R165:R166"/>
    <mergeCell ref="AB165:AB166"/>
    <mergeCell ref="AC165:AC166"/>
    <mergeCell ref="AD165:AD166"/>
    <mergeCell ref="AE165:AE166"/>
    <mergeCell ref="AN171:AN172"/>
    <mergeCell ref="AO171:AO172"/>
    <mergeCell ref="R171:R172"/>
    <mergeCell ref="AB171:AB172"/>
    <mergeCell ref="AC171:AC172"/>
    <mergeCell ref="AD171:AD172"/>
    <mergeCell ref="AE171:AE172"/>
    <mergeCell ref="AF171:AF172"/>
    <mergeCell ref="G171:H171"/>
    <mergeCell ref="I171:J171"/>
    <mergeCell ref="K171:L171"/>
    <mergeCell ref="M171:N171"/>
    <mergeCell ref="O171:P171"/>
    <mergeCell ref="Q171:Q172"/>
    <mergeCell ref="G168:H168"/>
    <mergeCell ref="A170:A172"/>
    <mergeCell ref="B170:R170"/>
    <mergeCell ref="T170:AH170"/>
    <mergeCell ref="AM170:AR170"/>
    <mergeCell ref="O180:P180"/>
    <mergeCell ref="Q180:Q181"/>
    <mergeCell ref="G174:H174"/>
    <mergeCell ref="A179:A181"/>
    <mergeCell ref="B179:R179"/>
    <mergeCell ref="T179:AH179"/>
    <mergeCell ref="AM179:AR179"/>
    <mergeCell ref="AT179:AW179"/>
    <mergeCell ref="B180:B181"/>
    <mergeCell ref="C180:C181"/>
    <mergeCell ref="D180:D181"/>
    <mergeCell ref="E180:E181"/>
    <mergeCell ref="AW171:AW172"/>
    <mergeCell ref="AY171:AY172"/>
    <mergeCell ref="AZ171:AZ172"/>
    <mergeCell ref="BB171:BB172"/>
    <mergeCell ref="G173:H173"/>
    <mergeCell ref="I173:J173"/>
    <mergeCell ref="K173:L173"/>
    <mergeCell ref="M173:N173"/>
    <mergeCell ref="O173:P173"/>
    <mergeCell ref="AJ173:AK173"/>
    <mergeCell ref="AP171:AP172"/>
    <mergeCell ref="AQ171:AQ172"/>
    <mergeCell ref="AR171:AR172"/>
    <mergeCell ref="AT171:AT172"/>
    <mergeCell ref="AU171:AU172"/>
    <mergeCell ref="AV171:AV172"/>
    <mergeCell ref="AG171:AG172"/>
    <mergeCell ref="AH171:AH172"/>
    <mergeCell ref="AI171:AI172"/>
    <mergeCell ref="AM171:AM172"/>
    <mergeCell ref="AW180:AW181"/>
    <mergeCell ref="AY180:AY181"/>
    <mergeCell ref="AZ180:AZ181"/>
    <mergeCell ref="BB180:BB181"/>
    <mergeCell ref="G182:H182"/>
    <mergeCell ref="I182:J182"/>
    <mergeCell ref="K182:L182"/>
    <mergeCell ref="M182:N182"/>
    <mergeCell ref="O182:P182"/>
    <mergeCell ref="AJ182:AK182"/>
    <mergeCell ref="AP180:AP181"/>
    <mergeCell ref="AQ180:AQ181"/>
    <mergeCell ref="AR180:AR181"/>
    <mergeCell ref="AT180:AT181"/>
    <mergeCell ref="AU180:AU181"/>
    <mergeCell ref="AV180:AV181"/>
    <mergeCell ref="AG180:AG181"/>
    <mergeCell ref="AH180:AH181"/>
    <mergeCell ref="AI180:AI181"/>
    <mergeCell ref="AM180:AM181"/>
    <mergeCell ref="AN180:AN181"/>
    <mergeCell ref="AO180:AO181"/>
    <mergeCell ref="R180:R181"/>
    <mergeCell ref="AB180:AB181"/>
    <mergeCell ref="AC180:AC181"/>
    <mergeCell ref="AD180:AD181"/>
    <mergeCell ref="AE180:AE181"/>
    <mergeCell ref="AF180:AF181"/>
    <mergeCell ref="G180:H180"/>
    <mergeCell ref="I180:J180"/>
    <mergeCell ref="K180:L180"/>
    <mergeCell ref="M180:N180"/>
    <mergeCell ref="AF186:AF187"/>
    <mergeCell ref="G186:H186"/>
    <mergeCell ref="I186:J186"/>
    <mergeCell ref="K186:L186"/>
    <mergeCell ref="M186:N186"/>
    <mergeCell ref="O186:P186"/>
    <mergeCell ref="Q186:Q187"/>
    <mergeCell ref="G183:H183"/>
    <mergeCell ref="A185:A187"/>
    <mergeCell ref="B185:R185"/>
    <mergeCell ref="T185:AH185"/>
    <mergeCell ref="AM185:AR185"/>
    <mergeCell ref="AT185:AW185"/>
    <mergeCell ref="B186:B187"/>
    <mergeCell ref="C186:C187"/>
    <mergeCell ref="D186:D187"/>
    <mergeCell ref="E186:E187"/>
    <mergeCell ref="AT192:AW192"/>
    <mergeCell ref="B193:B194"/>
    <mergeCell ref="C193:C194"/>
    <mergeCell ref="D193:D194"/>
    <mergeCell ref="E193:E194"/>
    <mergeCell ref="AW186:AW187"/>
    <mergeCell ref="AY186:AY187"/>
    <mergeCell ref="AZ186:AZ187"/>
    <mergeCell ref="BB186:BB187"/>
    <mergeCell ref="G188:H188"/>
    <mergeCell ref="I188:J188"/>
    <mergeCell ref="K188:L188"/>
    <mergeCell ref="M188:N188"/>
    <mergeCell ref="O188:P188"/>
    <mergeCell ref="AJ188:AK188"/>
    <mergeCell ref="AP186:AP187"/>
    <mergeCell ref="AQ186:AQ187"/>
    <mergeCell ref="AR186:AR187"/>
    <mergeCell ref="AT186:AT187"/>
    <mergeCell ref="AU186:AU187"/>
    <mergeCell ref="AV186:AV187"/>
    <mergeCell ref="AG186:AG187"/>
    <mergeCell ref="AH186:AH187"/>
    <mergeCell ref="AI186:AI187"/>
    <mergeCell ref="AM186:AM187"/>
    <mergeCell ref="AN186:AN187"/>
    <mergeCell ref="AO186:AO187"/>
    <mergeCell ref="R186:R187"/>
    <mergeCell ref="AB186:AB187"/>
    <mergeCell ref="AC186:AC187"/>
    <mergeCell ref="AD186:AD187"/>
    <mergeCell ref="AE186:AE187"/>
    <mergeCell ref="AN193:AN194"/>
    <mergeCell ref="AO193:AO194"/>
    <mergeCell ref="R193:R194"/>
    <mergeCell ref="AB193:AB194"/>
    <mergeCell ref="AC193:AC194"/>
    <mergeCell ref="AD193:AD194"/>
    <mergeCell ref="AE193:AE194"/>
    <mergeCell ref="AF193:AF194"/>
    <mergeCell ref="G193:H193"/>
    <mergeCell ref="I193:J193"/>
    <mergeCell ref="K193:L193"/>
    <mergeCell ref="M193:N193"/>
    <mergeCell ref="O193:P193"/>
    <mergeCell ref="Q193:Q194"/>
    <mergeCell ref="G189:H189"/>
    <mergeCell ref="A192:A194"/>
    <mergeCell ref="B192:R192"/>
    <mergeCell ref="T192:AH192"/>
    <mergeCell ref="AM192:AR192"/>
    <mergeCell ref="O198:P198"/>
    <mergeCell ref="Q198:Q199"/>
    <mergeCell ref="G196:H196"/>
    <mergeCell ref="A197:A199"/>
    <mergeCell ref="B197:R197"/>
    <mergeCell ref="T197:AH197"/>
    <mergeCell ref="AM197:AR197"/>
    <mergeCell ref="AT197:AW197"/>
    <mergeCell ref="B198:B199"/>
    <mergeCell ref="C198:C199"/>
    <mergeCell ref="D198:D199"/>
    <mergeCell ref="E198:E199"/>
    <mergeCell ref="AW193:AW194"/>
    <mergeCell ref="AY193:AY194"/>
    <mergeCell ref="AZ193:AZ194"/>
    <mergeCell ref="BB193:BB194"/>
    <mergeCell ref="G195:H195"/>
    <mergeCell ref="I195:J195"/>
    <mergeCell ref="K195:L195"/>
    <mergeCell ref="M195:N195"/>
    <mergeCell ref="O195:P195"/>
    <mergeCell ref="AJ195:AK195"/>
    <mergeCell ref="AP193:AP194"/>
    <mergeCell ref="AQ193:AQ194"/>
    <mergeCell ref="AR193:AR194"/>
    <mergeCell ref="AT193:AT194"/>
    <mergeCell ref="AU193:AU194"/>
    <mergeCell ref="AV193:AV194"/>
    <mergeCell ref="AG193:AG194"/>
    <mergeCell ref="AH193:AH194"/>
    <mergeCell ref="AI193:AI194"/>
    <mergeCell ref="AM193:AM194"/>
    <mergeCell ref="AW198:AW199"/>
    <mergeCell ref="AY198:AY199"/>
    <mergeCell ref="AZ198:AZ199"/>
    <mergeCell ref="BB198:BB199"/>
    <mergeCell ref="G200:H200"/>
    <mergeCell ref="I200:J200"/>
    <mergeCell ref="K200:L200"/>
    <mergeCell ref="M200:N200"/>
    <mergeCell ref="O200:P200"/>
    <mergeCell ref="AJ200:AK200"/>
    <mergeCell ref="AP198:AP199"/>
    <mergeCell ref="AQ198:AQ199"/>
    <mergeCell ref="AR198:AR199"/>
    <mergeCell ref="AT198:AT199"/>
    <mergeCell ref="AU198:AU199"/>
    <mergeCell ref="AV198:AV199"/>
    <mergeCell ref="AG198:AG199"/>
    <mergeCell ref="AH198:AH199"/>
    <mergeCell ref="AI198:AI199"/>
    <mergeCell ref="AM198:AM199"/>
    <mergeCell ref="AN198:AN199"/>
    <mergeCell ref="AO198:AO199"/>
    <mergeCell ref="R198:R199"/>
    <mergeCell ref="AB198:AB199"/>
    <mergeCell ref="AC198:AC199"/>
    <mergeCell ref="AD198:AD199"/>
    <mergeCell ref="AE198:AE199"/>
    <mergeCell ref="AF198:AF199"/>
    <mergeCell ref="G198:H198"/>
    <mergeCell ref="I198:J198"/>
    <mergeCell ref="K198:L198"/>
    <mergeCell ref="M198:N198"/>
    <mergeCell ref="AF205:AF206"/>
    <mergeCell ref="G205:H205"/>
    <mergeCell ref="I205:J205"/>
    <mergeCell ref="K205:L205"/>
    <mergeCell ref="M205:N205"/>
    <mergeCell ref="O205:P205"/>
    <mergeCell ref="Q205:Q206"/>
    <mergeCell ref="G201:H201"/>
    <mergeCell ref="A204:A206"/>
    <mergeCell ref="B204:R204"/>
    <mergeCell ref="T204:AH204"/>
    <mergeCell ref="AM204:AR204"/>
    <mergeCell ref="AT204:AW204"/>
    <mergeCell ref="B205:B206"/>
    <mergeCell ref="C205:C206"/>
    <mergeCell ref="D205:D206"/>
    <mergeCell ref="E205:E206"/>
    <mergeCell ref="AT209:AW209"/>
    <mergeCell ref="B210:B211"/>
    <mergeCell ref="C210:C211"/>
    <mergeCell ref="D210:D211"/>
    <mergeCell ref="E210:E211"/>
    <mergeCell ref="AW205:AW206"/>
    <mergeCell ref="AY205:AY206"/>
    <mergeCell ref="AZ205:AZ206"/>
    <mergeCell ref="BB205:BB206"/>
    <mergeCell ref="G207:H207"/>
    <mergeCell ref="I207:J207"/>
    <mergeCell ref="K207:L207"/>
    <mergeCell ref="M207:N207"/>
    <mergeCell ref="O207:P207"/>
    <mergeCell ref="AJ207:AK207"/>
    <mergeCell ref="AP205:AP206"/>
    <mergeCell ref="AQ205:AQ206"/>
    <mergeCell ref="AR205:AR206"/>
    <mergeCell ref="AT205:AT206"/>
    <mergeCell ref="AU205:AU206"/>
    <mergeCell ref="AV205:AV206"/>
    <mergeCell ref="AG205:AG206"/>
    <mergeCell ref="AH205:AH206"/>
    <mergeCell ref="AI205:AI206"/>
    <mergeCell ref="AM205:AM206"/>
    <mergeCell ref="AN205:AN206"/>
    <mergeCell ref="AO205:AO206"/>
    <mergeCell ref="R205:R206"/>
    <mergeCell ref="AB205:AB206"/>
    <mergeCell ref="AC205:AC206"/>
    <mergeCell ref="AD205:AD206"/>
    <mergeCell ref="AE205:AE206"/>
    <mergeCell ref="AN210:AN211"/>
    <mergeCell ref="AO210:AO211"/>
    <mergeCell ref="R210:R211"/>
    <mergeCell ref="AB210:AB211"/>
    <mergeCell ref="AC210:AC211"/>
    <mergeCell ref="AD210:AD211"/>
    <mergeCell ref="AE210:AE211"/>
    <mergeCell ref="AF210:AF211"/>
    <mergeCell ref="G210:H210"/>
    <mergeCell ref="I210:J210"/>
    <mergeCell ref="K210:L210"/>
    <mergeCell ref="M210:N210"/>
    <mergeCell ref="O210:P210"/>
    <mergeCell ref="Q210:Q211"/>
    <mergeCell ref="G208:H208"/>
    <mergeCell ref="A209:A211"/>
    <mergeCell ref="B209:R209"/>
    <mergeCell ref="T209:AH209"/>
    <mergeCell ref="AM209:AR209"/>
    <mergeCell ref="O217:P217"/>
    <mergeCell ref="Q217:Q218"/>
    <mergeCell ref="G213:H213"/>
    <mergeCell ref="A216:A218"/>
    <mergeCell ref="B216:R216"/>
    <mergeCell ref="T216:AH216"/>
    <mergeCell ref="AM216:AR216"/>
    <mergeCell ref="AT216:AW216"/>
    <mergeCell ref="B217:B218"/>
    <mergeCell ref="C217:C218"/>
    <mergeCell ref="D217:D218"/>
    <mergeCell ref="E217:E218"/>
    <mergeCell ref="AW210:AW211"/>
    <mergeCell ref="AY210:AY211"/>
    <mergeCell ref="AZ210:AZ211"/>
    <mergeCell ref="BB210:BB211"/>
    <mergeCell ref="G212:H212"/>
    <mergeCell ref="I212:J212"/>
    <mergeCell ref="K212:L212"/>
    <mergeCell ref="M212:N212"/>
    <mergeCell ref="O212:P212"/>
    <mergeCell ref="AJ212:AK212"/>
    <mergeCell ref="AP210:AP211"/>
    <mergeCell ref="AQ210:AQ211"/>
    <mergeCell ref="AR210:AR211"/>
    <mergeCell ref="AT210:AT211"/>
    <mergeCell ref="AU210:AU211"/>
    <mergeCell ref="AV210:AV211"/>
    <mergeCell ref="AG210:AG211"/>
    <mergeCell ref="AH210:AH211"/>
    <mergeCell ref="AI210:AI211"/>
    <mergeCell ref="AM210:AM211"/>
    <mergeCell ref="AW217:AW218"/>
    <mergeCell ref="AY217:AY218"/>
    <mergeCell ref="AZ217:AZ218"/>
    <mergeCell ref="BB217:BB218"/>
    <mergeCell ref="G219:H219"/>
    <mergeCell ref="I219:J219"/>
    <mergeCell ref="K219:L219"/>
    <mergeCell ref="M219:N219"/>
    <mergeCell ref="O219:P219"/>
    <mergeCell ref="AJ219:AK219"/>
    <mergeCell ref="AP217:AP218"/>
    <mergeCell ref="AQ217:AQ218"/>
    <mergeCell ref="AR217:AR218"/>
    <mergeCell ref="AT217:AT218"/>
    <mergeCell ref="AU217:AU218"/>
    <mergeCell ref="AV217:AV218"/>
    <mergeCell ref="AG217:AG218"/>
    <mergeCell ref="AH217:AH218"/>
    <mergeCell ref="AI217:AI218"/>
    <mergeCell ref="AM217:AM218"/>
    <mergeCell ref="AN217:AN218"/>
    <mergeCell ref="AO217:AO218"/>
    <mergeCell ref="R217:R218"/>
    <mergeCell ref="AB217:AB218"/>
    <mergeCell ref="AC217:AC218"/>
    <mergeCell ref="AD217:AD218"/>
    <mergeCell ref="AE217:AE218"/>
    <mergeCell ref="AF217:AF218"/>
    <mergeCell ref="G217:H217"/>
    <mergeCell ref="I217:J217"/>
    <mergeCell ref="K217:L217"/>
    <mergeCell ref="M217:N217"/>
    <mergeCell ref="AF222:AF223"/>
    <mergeCell ref="G222:H222"/>
    <mergeCell ref="I222:J222"/>
    <mergeCell ref="K222:L222"/>
    <mergeCell ref="M222:N222"/>
    <mergeCell ref="O222:P222"/>
    <mergeCell ref="Q222:Q223"/>
    <mergeCell ref="G220:H220"/>
    <mergeCell ref="A221:A223"/>
    <mergeCell ref="B221:R221"/>
    <mergeCell ref="T221:AH221"/>
    <mergeCell ref="AM221:AR221"/>
    <mergeCell ref="AT221:AW221"/>
    <mergeCell ref="B222:B223"/>
    <mergeCell ref="C222:C223"/>
    <mergeCell ref="D222:D223"/>
    <mergeCell ref="E222:E223"/>
    <mergeCell ref="AT228:AW228"/>
    <mergeCell ref="B229:B230"/>
    <mergeCell ref="C229:C230"/>
    <mergeCell ref="D229:D230"/>
    <mergeCell ref="E229:E230"/>
    <mergeCell ref="AW222:AW223"/>
    <mergeCell ref="AY222:AY223"/>
    <mergeCell ref="AZ222:AZ223"/>
    <mergeCell ref="BB222:BB223"/>
    <mergeCell ref="G224:H224"/>
    <mergeCell ref="I224:J224"/>
    <mergeCell ref="K224:L224"/>
    <mergeCell ref="M224:N224"/>
    <mergeCell ref="O224:P224"/>
    <mergeCell ref="AJ224:AK224"/>
    <mergeCell ref="AP222:AP223"/>
    <mergeCell ref="AQ222:AQ223"/>
    <mergeCell ref="AR222:AR223"/>
    <mergeCell ref="AT222:AT223"/>
    <mergeCell ref="AU222:AU223"/>
    <mergeCell ref="AV222:AV223"/>
    <mergeCell ref="AG222:AG223"/>
    <mergeCell ref="AH222:AH223"/>
    <mergeCell ref="AI222:AI223"/>
    <mergeCell ref="AM222:AM223"/>
    <mergeCell ref="AN222:AN223"/>
    <mergeCell ref="AO222:AO223"/>
    <mergeCell ref="R222:R223"/>
    <mergeCell ref="AB222:AB223"/>
    <mergeCell ref="AC222:AC223"/>
    <mergeCell ref="AD222:AD223"/>
    <mergeCell ref="AE222:AE223"/>
    <mergeCell ref="AN229:AN230"/>
    <mergeCell ref="AO229:AO230"/>
    <mergeCell ref="R229:R230"/>
    <mergeCell ref="AB229:AB230"/>
    <mergeCell ref="AC229:AC230"/>
    <mergeCell ref="AD229:AD230"/>
    <mergeCell ref="AE229:AE230"/>
    <mergeCell ref="AF229:AF230"/>
    <mergeCell ref="G229:H229"/>
    <mergeCell ref="I229:J229"/>
    <mergeCell ref="K229:L229"/>
    <mergeCell ref="M229:N229"/>
    <mergeCell ref="O229:P229"/>
    <mergeCell ref="Q229:Q230"/>
    <mergeCell ref="G225:H225"/>
    <mergeCell ref="A228:A230"/>
    <mergeCell ref="B228:R228"/>
    <mergeCell ref="T228:AH228"/>
    <mergeCell ref="AM228:AR228"/>
    <mergeCell ref="O234:P234"/>
    <mergeCell ref="Q234:Q235"/>
    <mergeCell ref="G232:H232"/>
    <mergeCell ref="A233:A235"/>
    <mergeCell ref="B233:R233"/>
    <mergeCell ref="T233:AH233"/>
    <mergeCell ref="AM233:AR233"/>
    <mergeCell ref="AT233:AW233"/>
    <mergeCell ref="B234:B235"/>
    <mergeCell ref="C234:C235"/>
    <mergeCell ref="D234:D235"/>
    <mergeCell ref="E234:E235"/>
    <mergeCell ref="AW229:AW230"/>
    <mergeCell ref="AY229:AY230"/>
    <mergeCell ref="AZ229:AZ230"/>
    <mergeCell ref="BB229:BB230"/>
    <mergeCell ref="G231:H231"/>
    <mergeCell ref="I231:J231"/>
    <mergeCell ref="K231:L231"/>
    <mergeCell ref="M231:N231"/>
    <mergeCell ref="O231:P231"/>
    <mergeCell ref="AJ231:AK231"/>
    <mergeCell ref="AP229:AP230"/>
    <mergeCell ref="AQ229:AQ230"/>
    <mergeCell ref="AR229:AR230"/>
    <mergeCell ref="AT229:AT230"/>
    <mergeCell ref="AU229:AU230"/>
    <mergeCell ref="AV229:AV230"/>
    <mergeCell ref="AG229:AG230"/>
    <mergeCell ref="AH229:AH230"/>
    <mergeCell ref="AI229:AI230"/>
    <mergeCell ref="AM229:AM230"/>
    <mergeCell ref="AW234:AW235"/>
    <mergeCell ref="AY234:AY235"/>
    <mergeCell ref="AZ234:AZ235"/>
    <mergeCell ref="BB234:BB235"/>
    <mergeCell ref="G236:H236"/>
    <mergeCell ref="I236:J236"/>
    <mergeCell ref="K236:L236"/>
    <mergeCell ref="M236:N236"/>
    <mergeCell ref="O236:P236"/>
    <mergeCell ref="AJ236:AK236"/>
    <mergeCell ref="AP234:AP235"/>
    <mergeCell ref="AQ234:AQ235"/>
    <mergeCell ref="AR234:AR235"/>
    <mergeCell ref="AT234:AT235"/>
    <mergeCell ref="AU234:AU235"/>
    <mergeCell ref="AV234:AV235"/>
    <mergeCell ref="AG234:AG235"/>
    <mergeCell ref="AH234:AH235"/>
    <mergeCell ref="AI234:AI235"/>
    <mergeCell ref="AM234:AM235"/>
    <mergeCell ref="AN234:AN235"/>
    <mergeCell ref="AO234:AO235"/>
    <mergeCell ref="R234:R235"/>
    <mergeCell ref="AB234:AB235"/>
    <mergeCell ref="AC234:AC235"/>
    <mergeCell ref="AD234:AD235"/>
    <mergeCell ref="AE234:AE235"/>
    <mergeCell ref="AF234:AF235"/>
    <mergeCell ref="G234:H234"/>
    <mergeCell ref="I234:J234"/>
    <mergeCell ref="K234:L234"/>
    <mergeCell ref="M234:N234"/>
    <mergeCell ref="AF241:AF242"/>
    <mergeCell ref="G241:H241"/>
    <mergeCell ref="I241:J241"/>
    <mergeCell ref="K241:L241"/>
    <mergeCell ref="M241:N241"/>
    <mergeCell ref="O241:P241"/>
    <mergeCell ref="Q241:Q242"/>
    <mergeCell ref="G237:H237"/>
    <mergeCell ref="A240:A242"/>
    <mergeCell ref="B240:R240"/>
    <mergeCell ref="T240:AH240"/>
    <mergeCell ref="AM240:AR240"/>
    <mergeCell ref="AT240:AW240"/>
    <mergeCell ref="B241:B242"/>
    <mergeCell ref="C241:C242"/>
    <mergeCell ref="D241:D242"/>
    <mergeCell ref="E241:E242"/>
    <mergeCell ref="AT245:AW245"/>
    <mergeCell ref="B246:B247"/>
    <mergeCell ref="C246:C247"/>
    <mergeCell ref="D246:D247"/>
    <mergeCell ref="E246:E247"/>
    <mergeCell ref="AW241:AW242"/>
    <mergeCell ref="AY241:AY242"/>
    <mergeCell ref="AZ241:AZ242"/>
    <mergeCell ref="BB241:BB242"/>
    <mergeCell ref="G243:H243"/>
    <mergeCell ref="I243:J243"/>
    <mergeCell ref="K243:L243"/>
    <mergeCell ref="M243:N243"/>
    <mergeCell ref="O243:P243"/>
    <mergeCell ref="AJ243:AK243"/>
    <mergeCell ref="AP241:AP242"/>
    <mergeCell ref="AQ241:AQ242"/>
    <mergeCell ref="AR241:AR242"/>
    <mergeCell ref="AT241:AT242"/>
    <mergeCell ref="AU241:AU242"/>
    <mergeCell ref="AV241:AV242"/>
    <mergeCell ref="AG241:AG242"/>
    <mergeCell ref="AH241:AH242"/>
    <mergeCell ref="AI241:AI242"/>
    <mergeCell ref="AM241:AM242"/>
    <mergeCell ref="AN241:AN242"/>
    <mergeCell ref="AO241:AO242"/>
    <mergeCell ref="R241:R242"/>
    <mergeCell ref="AB241:AB242"/>
    <mergeCell ref="AC241:AC242"/>
    <mergeCell ref="AD241:AD242"/>
    <mergeCell ref="AE241:AE242"/>
    <mergeCell ref="AN246:AN247"/>
    <mergeCell ref="AO246:AO247"/>
    <mergeCell ref="R246:R247"/>
    <mergeCell ref="AB246:AB247"/>
    <mergeCell ref="AC246:AC247"/>
    <mergeCell ref="AD246:AD247"/>
    <mergeCell ref="AE246:AE247"/>
    <mergeCell ref="AF246:AF247"/>
    <mergeCell ref="G246:H246"/>
    <mergeCell ref="I246:J246"/>
    <mergeCell ref="K246:L246"/>
    <mergeCell ref="M246:N246"/>
    <mergeCell ref="O246:P246"/>
    <mergeCell ref="Q246:Q247"/>
    <mergeCell ref="G244:H244"/>
    <mergeCell ref="A245:A247"/>
    <mergeCell ref="B245:R245"/>
    <mergeCell ref="T245:AH245"/>
    <mergeCell ref="AM245:AR245"/>
    <mergeCell ref="O253:P253"/>
    <mergeCell ref="Q253:Q254"/>
    <mergeCell ref="G249:H249"/>
    <mergeCell ref="A252:A254"/>
    <mergeCell ref="B252:R252"/>
    <mergeCell ref="T252:AH252"/>
    <mergeCell ref="AM252:AR252"/>
    <mergeCell ref="AT252:AW252"/>
    <mergeCell ref="B253:B254"/>
    <mergeCell ref="C253:C254"/>
    <mergeCell ref="D253:D254"/>
    <mergeCell ref="E253:E254"/>
    <mergeCell ref="AW246:AW247"/>
    <mergeCell ref="AY246:AY247"/>
    <mergeCell ref="AZ246:AZ247"/>
    <mergeCell ref="BB246:BB247"/>
    <mergeCell ref="G248:H248"/>
    <mergeCell ref="I248:J248"/>
    <mergeCell ref="K248:L248"/>
    <mergeCell ref="M248:N248"/>
    <mergeCell ref="O248:P248"/>
    <mergeCell ref="AJ248:AK248"/>
    <mergeCell ref="AP246:AP247"/>
    <mergeCell ref="AQ246:AQ247"/>
    <mergeCell ref="AR246:AR247"/>
    <mergeCell ref="AT246:AT247"/>
    <mergeCell ref="AU246:AU247"/>
    <mergeCell ref="AV246:AV247"/>
    <mergeCell ref="AG246:AG247"/>
    <mergeCell ref="AH246:AH247"/>
    <mergeCell ref="AI246:AI247"/>
    <mergeCell ref="AM246:AM247"/>
    <mergeCell ref="AW253:AW254"/>
    <mergeCell ref="AY253:AY254"/>
    <mergeCell ref="AZ253:AZ254"/>
    <mergeCell ref="BB253:BB254"/>
    <mergeCell ref="G255:H255"/>
    <mergeCell ref="I255:J255"/>
    <mergeCell ref="K255:L255"/>
    <mergeCell ref="M255:N255"/>
    <mergeCell ref="O255:P255"/>
    <mergeCell ref="AJ255:AK255"/>
    <mergeCell ref="AP253:AP254"/>
    <mergeCell ref="AQ253:AQ254"/>
    <mergeCell ref="AR253:AR254"/>
    <mergeCell ref="AT253:AT254"/>
    <mergeCell ref="AU253:AU254"/>
    <mergeCell ref="AV253:AV254"/>
    <mergeCell ref="AG253:AG254"/>
    <mergeCell ref="AH253:AH254"/>
    <mergeCell ref="AI253:AI254"/>
    <mergeCell ref="AM253:AM254"/>
    <mergeCell ref="AN253:AN254"/>
    <mergeCell ref="AO253:AO254"/>
    <mergeCell ref="R253:R254"/>
    <mergeCell ref="AB253:AB254"/>
    <mergeCell ref="AC253:AC254"/>
    <mergeCell ref="AD253:AD254"/>
    <mergeCell ref="AE253:AE254"/>
    <mergeCell ref="AF253:AF254"/>
    <mergeCell ref="G253:H253"/>
    <mergeCell ref="I253:J253"/>
    <mergeCell ref="K253:L253"/>
    <mergeCell ref="M253:N253"/>
    <mergeCell ref="AF258:AF259"/>
    <mergeCell ref="G258:H258"/>
    <mergeCell ref="I258:J258"/>
    <mergeCell ref="K258:L258"/>
    <mergeCell ref="M258:N258"/>
    <mergeCell ref="O258:P258"/>
    <mergeCell ref="Q258:Q259"/>
    <mergeCell ref="G256:H256"/>
    <mergeCell ref="A257:A259"/>
    <mergeCell ref="B257:R257"/>
    <mergeCell ref="T257:AH257"/>
    <mergeCell ref="AM257:AR257"/>
    <mergeCell ref="AT257:AW257"/>
    <mergeCell ref="B258:B259"/>
    <mergeCell ref="C258:C259"/>
    <mergeCell ref="D258:D259"/>
    <mergeCell ref="E258:E259"/>
    <mergeCell ref="AT264:AW264"/>
    <mergeCell ref="B265:B266"/>
    <mergeCell ref="C265:C266"/>
    <mergeCell ref="D265:D266"/>
    <mergeCell ref="E265:E266"/>
    <mergeCell ref="AW258:AW259"/>
    <mergeCell ref="AY258:AY259"/>
    <mergeCell ref="AZ258:AZ259"/>
    <mergeCell ref="BB258:BB259"/>
    <mergeCell ref="G260:H260"/>
    <mergeCell ref="I260:J260"/>
    <mergeCell ref="K260:L260"/>
    <mergeCell ref="M260:N260"/>
    <mergeCell ref="O260:P260"/>
    <mergeCell ref="AJ260:AK260"/>
    <mergeCell ref="AP258:AP259"/>
    <mergeCell ref="AQ258:AQ259"/>
    <mergeCell ref="AR258:AR259"/>
    <mergeCell ref="AT258:AT259"/>
    <mergeCell ref="AU258:AU259"/>
    <mergeCell ref="AV258:AV259"/>
    <mergeCell ref="AG258:AG259"/>
    <mergeCell ref="AH258:AH259"/>
    <mergeCell ref="AI258:AI259"/>
    <mergeCell ref="AM258:AM259"/>
    <mergeCell ref="AN258:AN259"/>
    <mergeCell ref="AO258:AO259"/>
    <mergeCell ref="R258:R259"/>
    <mergeCell ref="AB258:AB259"/>
    <mergeCell ref="AC258:AC259"/>
    <mergeCell ref="AD258:AD259"/>
    <mergeCell ref="AE258:AE259"/>
    <mergeCell ref="AN265:AN266"/>
    <mergeCell ref="AO265:AO266"/>
    <mergeCell ref="R265:R266"/>
    <mergeCell ref="AB265:AB266"/>
    <mergeCell ref="AC265:AC266"/>
    <mergeCell ref="AD265:AD266"/>
    <mergeCell ref="AE265:AE266"/>
    <mergeCell ref="AF265:AF266"/>
    <mergeCell ref="G265:H265"/>
    <mergeCell ref="I265:J265"/>
    <mergeCell ref="K265:L265"/>
    <mergeCell ref="M265:N265"/>
    <mergeCell ref="O265:P265"/>
    <mergeCell ref="Q265:Q266"/>
    <mergeCell ref="G261:H261"/>
    <mergeCell ref="A264:A266"/>
    <mergeCell ref="B264:R264"/>
    <mergeCell ref="T264:AH264"/>
    <mergeCell ref="AM264:AR264"/>
    <mergeCell ref="O270:P270"/>
    <mergeCell ref="Q270:Q271"/>
    <mergeCell ref="G268:H268"/>
    <mergeCell ref="A269:A271"/>
    <mergeCell ref="B269:R269"/>
    <mergeCell ref="T269:AH269"/>
    <mergeCell ref="AM269:AR269"/>
    <mergeCell ref="AT269:AW269"/>
    <mergeCell ref="B270:B271"/>
    <mergeCell ref="C270:C271"/>
    <mergeCell ref="D270:D271"/>
    <mergeCell ref="E270:E271"/>
    <mergeCell ref="AW265:AW266"/>
    <mergeCell ref="AY265:AY266"/>
    <mergeCell ref="AZ265:AZ266"/>
    <mergeCell ref="BB265:BB266"/>
    <mergeCell ref="G267:H267"/>
    <mergeCell ref="I267:J267"/>
    <mergeCell ref="K267:L267"/>
    <mergeCell ref="M267:N267"/>
    <mergeCell ref="O267:P267"/>
    <mergeCell ref="AJ267:AK267"/>
    <mergeCell ref="AP265:AP266"/>
    <mergeCell ref="AQ265:AQ266"/>
    <mergeCell ref="AR265:AR266"/>
    <mergeCell ref="AT265:AT266"/>
    <mergeCell ref="AU265:AU266"/>
    <mergeCell ref="AV265:AV266"/>
    <mergeCell ref="AG265:AG266"/>
    <mergeCell ref="AH265:AH266"/>
    <mergeCell ref="AI265:AI266"/>
    <mergeCell ref="AM265:AM266"/>
    <mergeCell ref="AW270:AW271"/>
    <mergeCell ref="AY270:AY271"/>
    <mergeCell ref="AZ270:AZ271"/>
    <mergeCell ref="BB270:BB271"/>
    <mergeCell ref="G272:H272"/>
    <mergeCell ref="I272:J272"/>
    <mergeCell ref="K272:L272"/>
    <mergeCell ref="M272:N272"/>
    <mergeCell ref="O272:P272"/>
    <mergeCell ref="AJ272:AK272"/>
    <mergeCell ref="AP270:AP271"/>
    <mergeCell ref="AQ270:AQ271"/>
    <mergeCell ref="AR270:AR271"/>
    <mergeCell ref="AT270:AT271"/>
    <mergeCell ref="AU270:AU271"/>
    <mergeCell ref="AV270:AV271"/>
    <mergeCell ref="AG270:AG271"/>
    <mergeCell ref="AH270:AH271"/>
    <mergeCell ref="AI270:AI271"/>
    <mergeCell ref="AM270:AM271"/>
    <mergeCell ref="AN270:AN271"/>
    <mergeCell ref="AO270:AO271"/>
    <mergeCell ref="R270:R271"/>
    <mergeCell ref="AB270:AB271"/>
    <mergeCell ref="AC270:AC271"/>
    <mergeCell ref="AD270:AD271"/>
    <mergeCell ref="AE270:AE271"/>
    <mergeCell ref="AF270:AF271"/>
    <mergeCell ref="G270:H270"/>
    <mergeCell ref="I270:J270"/>
    <mergeCell ref="K270:L270"/>
    <mergeCell ref="M270:N270"/>
    <mergeCell ref="AF277:AF278"/>
    <mergeCell ref="G277:H277"/>
    <mergeCell ref="I277:J277"/>
    <mergeCell ref="K277:L277"/>
    <mergeCell ref="M277:N277"/>
    <mergeCell ref="O277:P277"/>
    <mergeCell ref="Q277:Q278"/>
    <mergeCell ref="G273:H273"/>
    <mergeCell ref="A276:A278"/>
    <mergeCell ref="B276:R276"/>
    <mergeCell ref="T276:AH276"/>
    <mergeCell ref="AM276:AR276"/>
    <mergeCell ref="AT276:AW276"/>
    <mergeCell ref="B277:B278"/>
    <mergeCell ref="C277:C278"/>
    <mergeCell ref="D277:D278"/>
    <mergeCell ref="E277:E278"/>
    <mergeCell ref="AT281:AW281"/>
    <mergeCell ref="B282:B283"/>
    <mergeCell ref="C282:C283"/>
    <mergeCell ref="D282:D283"/>
    <mergeCell ref="E282:E283"/>
    <mergeCell ref="AW277:AW278"/>
    <mergeCell ref="AY277:AY278"/>
    <mergeCell ref="AZ277:AZ278"/>
    <mergeCell ref="BB277:BB278"/>
    <mergeCell ref="G279:H279"/>
    <mergeCell ref="I279:J279"/>
    <mergeCell ref="K279:L279"/>
    <mergeCell ref="M279:N279"/>
    <mergeCell ref="O279:P279"/>
    <mergeCell ref="AJ279:AK279"/>
    <mergeCell ref="AP277:AP278"/>
    <mergeCell ref="AQ277:AQ278"/>
    <mergeCell ref="AR277:AR278"/>
    <mergeCell ref="AT277:AT278"/>
    <mergeCell ref="AU277:AU278"/>
    <mergeCell ref="AV277:AV278"/>
    <mergeCell ref="AG277:AG278"/>
    <mergeCell ref="AH277:AH278"/>
    <mergeCell ref="AI277:AI278"/>
    <mergeCell ref="AM277:AM278"/>
    <mergeCell ref="AN277:AN278"/>
    <mergeCell ref="AO277:AO278"/>
    <mergeCell ref="R277:R278"/>
    <mergeCell ref="AB277:AB278"/>
    <mergeCell ref="AC277:AC278"/>
    <mergeCell ref="AD277:AD278"/>
    <mergeCell ref="AE277:AE278"/>
    <mergeCell ref="AN282:AN283"/>
    <mergeCell ref="AO282:AO283"/>
    <mergeCell ref="R282:R283"/>
    <mergeCell ref="AB282:AB283"/>
    <mergeCell ref="AC282:AC283"/>
    <mergeCell ref="AD282:AD283"/>
    <mergeCell ref="AE282:AE283"/>
    <mergeCell ref="AF282:AF283"/>
    <mergeCell ref="G282:H282"/>
    <mergeCell ref="I282:J282"/>
    <mergeCell ref="K282:L282"/>
    <mergeCell ref="M282:N282"/>
    <mergeCell ref="O282:P282"/>
    <mergeCell ref="Q282:Q283"/>
    <mergeCell ref="G280:H280"/>
    <mergeCell ref="A281:A283"/>
    <mergeCell ref="B281:R281"/>
    <mergeCell ref="T281:AH281"/>
    <mergeCell ref="AM281:AR281"/>
    <mergeCell ref="O289:P289"/>
    <mergeCell ref="Q289:Q290"/>
    <mergeCell ref="G285:H285"/>
    <mergeCell ref="A288:A290"/>
    <mergeCell ref="B288:R288"/>
    <mergeCell ref="T288:AH288"/>
    <mergeCell ref="AM288:AR288"/>
    <mergeCell ref="AT288:AW288"/>
    <mergeCell ref="B289:B290"/>
    <mergeCell ref="C289:C290"/>
    <mergeCell ref="D289:D290"/>
    <mergeCell ref="E289:E290"/>
    <mergeCell ref="AW282:AW283"/>
    <mergeCell ref="AY282:AY283"/>
    <mergeCell ref="AZ282:AZ283"/>
    <mergeCell ref="BB282:BB283"/>
    <mergeCell ref="G284:H284"/>
    <mergeCell ref="I284:J284"/>
    <mergeCell ref="K284:L284"/>
    <mergeCell ref="M284:N284"/>
    <mergeCell ref="O284:P284"/>
    <mergeCell ref="AJ284:AK284"/>
    <mergeCell ref="AP282:AP283"/>
    <mergeCell ref="AQ282:AQ283"/>
    <mergeCell ref="AR282:AR283"/>
    <mergeCell ref="AT282:AT283"/>
    <mergeCell ref="AU282:AU283"/>
    <mergeCell ref="AV282:AV283"/>
    <mergeCell ref="AG282:AG283"/>
    <mergeCell ref="AH282:AH283"/>
    <mergeCell ref="AI282:AI283"/>
    <mergeCell ref="AM282:AM283"/>
    <mergeCell ref="AW289:AW290"/>
    <mergeCell ref="AY289:AY290"/>
    <mergeCell ref="AZ289:AZ290"/>
    <mergeCell ref="BB289:BB290"/>
    <mergeCell ref="G291:H291"/>
    <mergeCell ref="I291:J291"/>
    <mergeCell ref="K291:L291"/>
    <mergeCell ref="M291:N291"/>
    <mergeCell ref="O291:P291"/>
    <mergeCell ref="AJ291:AK291"/>
    <mergeCell ref="AP289:AP290"/>
    <mergeCell ref="AQ289:AQ290"/>
    <mergeCell ref="AR289:AR290"/>
    <mergeCell ref="AT289:AT290"/>
    <mergeCell ref="AU289:AU290"/>
    <mergeCell ref="AV289:AV290"/>
    <mergeCell ref="AG289:AG290"/>
    <mergeCell ref="AH289:AH290"/>
    <mergeCell ref="AI289:AI290"/>
    <mergeCell ref="AM289:AM290"/>
    <mergeCell ref="AN289:AN290"/>
    <mergeCell ref="AO289:AO290"/>
    <mergeCell ref="R289:R290"/>
    <mergeCell ref="AB289:AB290"/>
    <mergeCell ref="AC289:AC290"/>
    <mergeCell ref="AD289:AD290"/>
    <mergeCell ref="AE289:AE290"/>
    <mergeCell ref="AF289:AF290"/>
    <mergeCell ref="G289:H289"/>
    <mergeCell ref="I289:J289"/>
    <mergeCell ref="K289:L289"/>
    <mergeCell ref="M289:N289"/>
    <mergeCell ref="AF294:AF295"/>
    <mergeCell ref="G294:H294"/>
    <mergeCell ref="I294:J294"/>
    <mergeCell ref="K294:L294"/>
    <mergeCell ref="M294:N294"/>
    <mergeCell ref="O294:P294"/>
    <mergeCell ref="Q294:Q295"/>
    <mergeCell ref="G292:H292"/>
    <mergeCell ref="A293:A295"/>
    <mergeCell ref="B293:R293"/>
    <mergeCell ref="T293:AH293"/>
    <mergeCell ref="AM293:AR293"/>
    <mergeCell ref="AT293:AW293"/>
    <mergeCell ref="B294:B295"/>
    <mergeCell ref="C294:C295"/>
    <mergeCell ref="D294:D295"/>
    <mergeCell ref="E294:E295"/>
    <mergeCell ref="AT298:AW298"/>
    <mergeCell ref="B299:B300"/>
    <mergeCell ref="C299:C300"/>
    <mergeCell ref="D299:D300"/>
    <mergeCell ref="E299:E300"/>
    <mergeCell ref="AW294:AW295"/>
    <mergeCell ref="AY294:AY295"/>
    <mergeCell ref="AZ294:AZ295"/>
    <mergeCell ref="BB294:BB295"/>
    <mergeCell ref="G296:H296"/>
    <mergeCell ref="I296:J296"/>
    <mergeCell ref="K296:L296"/>
    <mergeCell ref="M296:N296"/>
    <mergeCell ref="O296:P296"/>
    <mergeCell ref="AJ296:AK296"/>
    <mergeCell ref="AP294:AP295"/>
    <mergeCell ref="AQ294:AQ295"/>
    <mergeCell ref="AR294:AR295"/>
    <mergeCell ref="AT294:AT295"/>
    <mergeCell ref="AU294:AU295"/>
    <mergeCell ref="AV294:AV295"/>
    <mergeCell ref="AG294:AG295"/>
    <mergeCell ref="AH294:AH295"/>
    <mergeCell ref="AI294:AI295"/>
    <mergeCell ref="AM294:AM295"/>
    <mergeCell ref="AN294:AN295"/>
    <mergeCell ref="AO294:AO295"/>
    <mergeCell ref="R294:R295"/>
    <mergeCell ref="AB294:AB295"/>
    <mergeCell ref="AC294:AC295"/>
    <mergeCell ref="AD294:AD295"/>
    <mergeCell ref="AE294:AE295"/>
    <mergeCell ref="AN299:AN300"/>
    <mergeCell ref="AO299:AO300"/>
    <mergeCell ref="R299:R300"/>
    <mergeCell ref="AB299:AB300"/>
    <mergeCell ref="AC299:AC300"/>
    <mergeCell ref="AD299:AD300"/>
    <mergeCell ref="AE299:AE300"/>
    <mergeCell ref="AF299:AF300"/>
    <mergeCell ref="G299:H299"/>
    <mergeCell ref="I299:J299"/>
    <mergeCell ref="K299:L299"/>
    <mergeCell ref="M299:N299"/>
    <mergeCell ref="O299:P299"/>
    <mergeCell ref="Q299:Q300"/>
    <mergeCell ref="G297:H297"/>
    <mergeCell ref="A298:A300"/>
    <mergeCell ref="B298:R298"/>
    <mergeCell ref="T298:AH298"/>
    <mergeCell ref="AM298:AR298"/>
    <mergeCell ref="O306:P306"/>
    <mergeCell ref="Q306:Q307"/>
    <mergeCell ref="G302:H302"/>
    <mergeCell ref="A305:A307"/>
    <mergeCell ref="B305:R305"/>
    <mergeCell ref="T305:AH305"/>
    <mergeCell ref="AM305:AR305"/>
    <mergeCell ref="AT305:AW305"/>
    <mergeCell ref="B306:B307"/>
    <mergeCell ref="C306:C307"/>
    <mergeCell ref="D306:D307"/>
    <mergeCell ref="E306:E307"/>
    <mergeCell ref="AW299:AW300"/>
    <mergeCell ref="AY299:AY300"/>
    <mergeCell ref="AZ299:AZ300"/>
    <mergeCell ref="BB299:BB300"/>
    <mergeCell ref="G301:H301"/>
    <mergeCell ref="I301:J301"/>
    <mergeCell ref="K301:L301"/>
    <mergeCell ref="M301:N301"/>
    <mergeCell ref="O301:P301"/>
    <mergeCell ref="AJ301:AK301"/>
    <mergeCell ref="AP299:AP300"/>
    <mergeCell ref="AQ299:AQ300"/>
    <mergeCell ref="AR299:AR300"/>
    <mergeCell ref="AT299:AT300"/>
    <mergeCell ref="AU299:AU300"/>
    <mergeCell ref="AV299:AV300"/>
    <mergeCell ref="AG299:AG300"/>
    <mergeCell ref="AH299:AH300"/>
    <mergeCell ref="AI299:AI300"/>
    <mergeCell ref="AM299:AM300"/>
    <mergeCell ref="AW306:AW307"/>
    <mergeCell ref="AY306:AY307"/>
    <mergeCell ref="AZ306:AZ307"/>
    <mergeCell ref="BB306:BB307"/>
    <mergeCell ref="G308:H308"/>
    <mergeCell ref="I308:J308"/>
    <mergeCell ref="K308:L308"/>
    <mergeCell ref="M308:N308"/>
    <mergeCell ref="O308:P308"/>
    <mergeCell ref="AJ308:AK308"/>
    <mergeCell ref="AP306:AP307"/>
    <mergeCell ref="AQ306:AQ307"/>
    <mergeCell ref="AR306:AR307"/>
    <mergeCell ref="AT306:AT307"/>
    <mergeCell ref="AU306:AU307"/>
    <mergeCell ref="AV306:AV307"/>
    <mergeCell ref="AG306:AG307"/>
    <mergeCell ref="AH306:AH307"/>
    <mergeCell ref="AI306:AI307"/>
    <mergeCell ref="AM306:AM307"/>
    <mergeCell ref="AN306:AN307"/>
    <mergeCell ref="AO306:AO307"/>
    <mergeCell ref="R306:R307"/>
    <mergeCell ref="AB306:AB307"/>
    <mergeCell ref="AC306:AC307"/>
    <mergeCell ref="AD306:AD307"/>
    <mergeCell ref="AE306:AE307"/>
    <mergeCell ref="AF306:AF307"/>
    <mergeCell ref="G306:H306"/>
    <mergeCell ref="I306:J306"/>
    <mergeCell ref="K306:L306"/>
    <mergeCell ref="M306:N306"/>
    <mergeCell ref="AF311:AF312"/>
    <mergeCell ref="G311:H311"/>
    <mergeCell ref="I311:J311"/>
    <mergeCell ref="K311:L311"/>
    <mergeCell ref="M311:N311"/>
    <mergeCell ref="O311:P311"/>
    <mergeCell ref="Q311:Q312"/>
    <mergeCell ref="G309:H309"/>
    <mergeCell ref="A310:A312"/>
    <mergeCell ref="B310:R310"/>
    <mergeCell ref="T310:AH310"/>
    <mergeCell ref="AM310:AR310"/>
    <mergeCell ref="AT310:AW310"/>
    <mergeCell ref="B311:B312"/>
    <mergeCell ref="C311:C312"/>
    <mergeCell ref="D311:D312"/>
    <mergeCell ref="E311:E312"/>
    <mergeCell ref="AT317:AW317"/>
    <mergeCell ref="B318:B319"/>
    <mergeCell ref="C318:C319"/>
    <mergeCell ref="D318:D319"/>
    <mergeCell ref="E318:E319"/>
    <mergeCell ref="AW311:AW312"/>
    <mergeCell ref="AY311:AY312"/>
    <mergeCell ref="AZ311:AZ312"/>
    <mergeCell ref="BB311:BB312"/>
    <mergeCell ref="G313:H313"/>
    <mergeCell ref="I313:J313"/>
    <mergeCell ref="K313:L313"/>
    <mergeCell ref="M313:N313"/>
    <mergeCell ref="O313:P313"/>
    <mergeCell ref="AJ313:AK313"/>
    <mergeCell ref="AP311:AP312"/>
    <mergeCell ref="AQ311:AQ312"/>
    <mergeCell ref="AR311:AR312"/>
    <mergeCell ref="AT311:AT312"/>
    <mergeCell ref="AU311:AU312"/>
    <mergeCell ref="AV311:AV312"/>
    <mergeCell ref="AG311:AG312"/>
    <mergeCell ref="AH311:AH312"/>
    <mergeCell ref="AI311:AI312"/>
    <mergeCell ref="AM311:AM312"/>
    <mergeCell ref="AN311:AN312"/>
    <mergeCell ref="AO311:AO312"/>
    <mergeCell ref="R311:R312"/>
    <mergeCell ref="AB311:AB312"/>
    <mergeCell ref="AC311:AC312"/>
    <mergeCell ref="AD311:AD312"/>
    <mergeCell ref="AE311:AE312"/>
    <mergeCell ref="AM318:AM319"/>
    <mergeCell ref="AN318:AN319"/>
    <mergeCell ref="AO318:AO319"/>
    <mergeCell ref="R318:R319"/>
    <mergeCell ref="AB318:AB319"/>
    <mergeCell ref="AC318:AC319"/>
    <mergeCell ref="AD318:AD319"/>
    <mergeCell ref="AE318:AE319"/>
    <mergeCell ref="AF318:AF319"/>
    <mergeCell ref="G318:H318"/>
    <mergeCell ref="I318:J318"/>
    <mergeCell ref="K318:L318"/>
    <mergeCell ref="M318:N318"/>
    <mergeCell ref="O318:P318"/>
    <mergeCell ref="Q318:Q319"/>
    <mergeCell ref="G314:H314"/>
    <mergeCell ref="A317:A319"/>
    <mergeCell ref="B317:R317"/>
    <mergeCell ref="T317:AH317"/>
    <mergeCell ref="AM317:AR317"/>
    <mergeCell ref="M323:N323"/>
    <mergeCell ref="O323:P323"/>
    <mergeCell ref="Q323:Q324"/>
    <mergeCell ref="G321:H321"/>
    <mergeCell ref="A322:A324"/>
    <mergeCell ref="B322:R322"/>
    <mergeCell ref="T322:AH322"/>
    <mergeCell ref="AM322:AR322"/>
    <mergeCell ref="AT322:AW322"/>
    <mergeCell ref="B323:B324"/>
    <mergeCell ref="C323:C324"/>
    <mergeCell ref="D323:D324"/>
    <mergeCell ref="E323:E324"/>
    <mergeCell ref="AW318:AW319"/>
    <mergeCell ref="AY318:AY319"/>
    <mergeCell ref="AZ318:AZ319"/>
    <mergeCell ref="BB318:BB319"/>
    <mergeCell ref="G320:H320"/>
    <mergeCell ref="I320:J320"/>
    <mergeCell ref="K320:L320"/>
    <mergeCell ref="M320:N320"/>
    <mergeCell ref="O320:P320"/>
    <mergeCell ref="AJ320:AK320"/>
    <mergeCell ref="AP318:AP319"/>
    <mergeCell ref="AQ318:AQ319"/>
    <mergeCell ref="AR318:AR319"/>
    <mergeCell ref="AT318:AT319"/>
    <mergeCell ref="AU318:AU319"/>
    <mergeCell ref="AV318:AV319"/>
    <mergeCell ref="AG318:AG319"/>
    <mergeCell ref="AH318:AH319"/>
    <mergeCell ref="AI318:AI319"/>
    <mergeCell ref="G326:H326"/>
    <mergeCell ref="AW323:AW324"/>
    <mergeCell ref="AY323:AY324"/>
    <mergeCell ref="AZ323:AZ324"/>
    <mergeCell ref="BB323:BB324"/>
    <mergeCell ref="G325:H325"/>
    <mergeCell ref="I325:J325"/>
    <mergeCell ref="K325:L325"/>
    <mergeCell ref="M325:N325"/>
    <mergeCell ref="O325:P325"/>
    <mergeCell ref="AJ325:AK325"/>
    <mergeCell ref="AP323:AP324"/>
    <mergeCell ref="AQ323:AQ324"/>
    <mergeCell ref="AR323:AR324"/>
    <mergeCell ref="AT323:AT324"/>
    <mergeCell ref="AU323:AU324"/>
    <mergeCell ref="AV323:AV324"/>
    <mergeCell ref="AG323:AG324"/>
    <mergeCell ref="AH323:AH324"/>
    <mergeCell ref="AI323:AI324"/>
    <mergeCell ref="AM323:AM324"/>
    <mergeCell ref="AN323:AN324"/>
    <mergeCell ref="AO323:AO324"/>
    <mergeCell ref="R323:R324"/>
    <mergeCell ref="AB323:AB324"/>
    <mergeCell ref="AC323:AC324"/>
    <mergeCell ref="AD323:AD324"/>
    <mergeCell ref="AE323:AE324"/>
    <mergeCell ref="AF323:AF324"/>
    <mergeCell ref="G323:H323"/>
    <mergeCell ref="I323:J323"/>
    <mergeCell ref="K323:L323"/>
  </mergeCells>
  <phoneticPr fontId="3" type="noConversion"/>
  <dataValidations count="1">
    <dataValidation type="list" allowBlank="1" showInputMessage="1" showErrorMessage="1" sqref="C219 C135 C243 C255 C167 C14 C26 C147 C207 C279 C267 C320 C53 C231 C182 C195 C68 C80 C308 C291 C38 C95 C111 C123 C173 C19 C43 C31 C58 C73 C85 C101 C116 C128 C140 C152 C188 C200 C212 C224 C236 C248 C260 C272 C284 C296 C313 C325 C301 C157" xr:uid="{46731B8B-5198-4941-B92E-811ABB0CD928}">
      <formula1>카테고리</formula1>
    </dataValidation>
  </dataValidations>
  <pageMargins left="0.7" right="0.7" top="0.75" bottom="0.75" header="0.3" footer="0.3"/>
  <pageSetup paperSize="9" orientation="portrait" r:id="rId1"/>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D14F41-65EB-46F6-846F-F9F6DF94F1F7}">
  <dimension ref="A1:BF195"/>
  <sheetViews>
    <sheetView tabSelected="1" zoomScale="85" zoomScaleNormal="85" workbookViewId="0">
      <pane xSplit="1" topLeftCell="B1" activePane="topRight" state="frozen"/>
      <selection activeCell="E44" sqref="E44"/>
      <selection pane="topRight" activeCell="B11" sqref="B11:M11"/>
    </sheetView>
  </sheetViews>
  <sheetFormatPr defaultColWidth="9" defaultRowHeight="16.5" x14ac:dyDescent="0.3"/>
  <cols>
    <col min="1" max="1" width="17.5" style="1" customWidth="1"/>
    <col min="2" max="2" width="7" style="1" bestFit="1" customWidth="1"/>
    <col min="3" max="3" width="8.25" style="1" bestFit="1" customWidth="1"/>
    <col min="4" max="4" width="10.625" style="1" customWidth="1"/>
    <col min="5" max="5" width="10" style="1" bestFit="1" customWidth="1"/>
    <col min="6" max="6" width="6.125" style="1" customWidth="1"/>
    <col min="7" max="7" width="10" style="1" bestFit="1" customWidth="1"/>
    <col min="8" max="8" width="7.25" style="1" bestFit="1" customWidth="1"/>
    <col min="9" max="9" width="8.625" style="1" customWidth="1"/>
    <col min="10" max="10" width="7.25" style="1" bestFit="1" customWidth="1"/>
    <col min="11" max="11" width="10" style="1" bestFit="1" customWidth="1"/>
    <col min="12" max="12" width="5.375" style="1" customWidth="1"/>
    <col min="13" max="13" width="8.625" style="1" customWidth="1"/>
    <col min="14" max="14" width="12.75" style="1" bestFit="1" customWidth="1"/>
    <col min="15" max="15" width="16" style="1" customWidth="1"/>
    <col min="16" max="16" width="5.375" style="1" bestFit="1" customWidth="1"/>
    <col min="17" max="17" width="9.875" style="1" bestFit="1" customWidth="1"/>
    <col min="18" max="18" width="5.375" style="1" bestFit="1" customWidth="1"/>
    <col min="19" max="19" width="7.5" style="1" bestFit="1" customWidth="1"/>
    <col min="20" max="20" width="5.375" style="1" bestFit="1" customWidth="1"/>
    <col min="21" max="21" width="7.5" style="1" bestFit="1" customWidth="1"/>
    <col min="22" max="22" width="15" style="1" bestFit="1" customWidth="1"/>
    <col min="23" max="23" width="2.625" style="1" customWidth="1"/>
    <col min="24" max="24" width="9.375" style="1" bestFit="1" customWidth="1"/>
    <col min="25" max="25" width="10.625" style="1" hidden="1" customWidth="1"/>
    <col min="26" max="26" width="11" style="1" customWidth="1"/>
    <col min="27" max="27" width="12.75" style="1" hidden="1" customWidth="1"/>
    <col min="28" max="28" width="10.625" style="1" hidden="1" customWidth="1"/>
    <col min="29" max="29" width="11.5" style="1" customWidth="1"/>
    <col min="30" max="30" width="12.75" style="1" customWidth="1"/>
    <col min="31" max="31" width="10.625" style="1" customWidth="1"/>
    <col min="32" max="32" width="5.375" style="1" hidden="1" customWidth="1"/>
    <col min="33" max="33" width="8.75" style="1" bestFit="1" customWidth="1"/>
    <col min="34" max="34" width="10.25" style="1" bestFit="1" customWidth="1"/>
    <col min="35" max="35" width="13.375" style="1" customWidth="1"/>
    <col min="36" max="36" width="9.5" style="1" bestFit="1" customWidth="1"/>
    <col min="37" max="37" width="9.625" style="1" customWidth="1"/>
    <col min="38" max="38" width="7.375" style="2" bestFit="1" customWidth="1"/>
    <col min="39" max="39" width="8.25" style="2" bestFit="1" customWidth="1"/>
    <col min="40" max="41" width="6.875" style="2" bestFit="1" customWidth="1"/>
    <col min="42" max="42" width="1.875" style="1" customWidth="1"/>
    <col min="43" max="43" width="9.375" style="1" customWidth="1"/>
    <col min="44" max="44" width="5.875" style="1" customWidth="1"/>
    <col min="45" max="45" width="9.5" style="1" hidden="1" customWidth="1"/>
    <col min="46" max="46" width="6.125" style="1" hidden="1" customWidth="1"/>
    <col min="47" max="47" width="9.875" style="1" bestFit="1" customWidth="1"/>
    <col min="48" max="48" width="7.375" style="1" bestFit="1" customWidth="1"/>
    <col min="49" max="49" width="2.625" style="1" customWidth="1"/>
    <col min="50" max="50" width="16.625" style="1" customWidth="1"/>
    <col min="51" max="51" width="9" style="1"/>
    <col min="52" max="52" width="12" style="1" customWidth="1"/>
    <col min="53" max="53" width="13.375" style="1" customWidth="1"/>
    <col min="54" max="54" width="2.875" style="1" customWidth="1"/>
    <col min="55" max="55" width="38.25" style="1" customWidth="1"/>
    <col min="56" max="56" width="5.375" style="1" bestFit="1" customWidth="1"/>
    <col min="57" max="57" width="1.375" style="1" customWidth="1"/>
    <col min="58" max="58" width="39.125" style="1" customWidth="1"/>
    <col min="59" max="59" width="1.125" style="1" customWidth="1"/>
    <col min="60" max="16384" width="9" style="1"/>
  </cols>
  <sheetData>
    <row r="1" spans="1:58" ht="45.75" customHeight="1" x14ac:dyDescent="0.3">
      <c r="A1" s="145"/>
      <c r="B1" s="145"/>
      <c r="C1" s="145"/>
      <c r="D1" s="44"/>
      <c r="E1" s="44"/>
      <c r="F1" s="44"/>
      <c r="G1" s="45"/>
      <c r="H1" s="45"/>
      <c r="I1" s="45"/>
      <c r="J1" s="45"/>
      <c r="K1" s="45"/>
      <c r="L1" s="45"/>
      <c r="M1" s="45"/>
      <c r="N1" s="45"/>
      <c r="O1" s="45"/>
      <c r="P1" s="45"/>
      <c r="Q1" s="45"/>
      <c r="R1" s="45"/>
      <c r="S1" s="45"/>
      <c r="T1" s="45"/>
      <c r="U1" s="45"/>
      <c r="V1" s="45"/>
      <c r="X1" s="44"/>
      <c r="Y1" s="44"/>
      <c r="Z1" s="44"/>
      <c r="AA1" s="44"/>
      <c r="AB1" s="44"/>
      <c r="AC1" s="44"/>
      <c r="AD1" s="44"/>
      <c r="AE1" s="44"/>
      <c r="AF1" s="44"/>
    </row>
    <row r="2" spans="1:58" ht="45.75" customHeight="1" x14ac:dyDescent="0.3">
      <c r="A2" s="45"/>
      <c r="B2" s="45"/>
      <c r="C2" s="45"/>
      <c r="D2" s="44"/>
      <c r="E2" s="44"/>
      <c r="F2" s="44"/>
      <c r="G2" s="146" t="s">
        <v>131</v>
      </c>
      <c r="H2" s="146"/>
      <c r="I2" s="146"/>
      <c r="J2" s="146"/>
      <c r="K2" s="146"/>
      <c r="L2" s="146"/>
      <c r="M2" s="146"/>
      <c r="N2" s="146"/>
      <c r="O2" s="146"/>
      <c r="P2" s="146"/>
      <c r="Q2" s="146"/>
      <c r="R2" s="146"/>
      <c r="S2" s="146"/>
      <c r="T2" s="146"/>
      <c r="U2" s="146"/>
      <c r="V2" s="104"/>
      <c r="X2" s="44"/>
      <c r="Y2" s="44"/>
      <c r="Z2" s="44"/>
      <c r="AA2" s="44"/>
      <c r="AB2" s="45" t="s">
        <v>120</v>
      </c>
      <c r="AC2" s="44"/>
      <c r="AD2" s="44"/>
      <c r="AE2" s="44"/>
      <c r="AF2" s="44"/>
      <c r="AI2" s="1" t="s">
        <v>119</v>
      </c>
    </row>
    <row r="3" spans="1:58" s="45" customFormat="1" ht="409.5" customHeight="1" x14ac:dyDescent="0.3">
      <c r="A3" s="146" t="s">
        <v>116</v>
      </c>
      <c r="B3" s="146"/>
      <c r="C3" s="146"/>
      <c r="D3" s="146"/>
      <c r="E3" s="146"/>
      <c r="G3" s="146"/>
      <c r="H3" s="146"/>
      <c r="I3" s="146"/>
      <c r="J3" s="146"/>
      <c r="K3" s="146"/>
      <c r="L3" s="146"/>
      <c r="M3" s="146"/>
      <c r="N3" s="146"/>
      <c r="O3" s="146"/>
      <c r="P3" s="146"/>
      <c r="Q3" s="146"/>
      <c r="R3" s="146"/>
      <c r="S3" s="146"/>
      <c r="T3" s="146"/>
      <c r="U3" s="146"/>
      <c r="V3" s="104"/>
      <c r="Y3" s="46"/>
      <c r="Z3" s="146"/>
      <c r="AA3" s="146"/>
      <c r="AB3" s="146"/>
      <c r="AC3" s="146"/>
      <c r="AD3" s="146"/>
      <c r="AE3" s="146"/>
    </row>
    <row r="4" spans="1:58" s="45" customFormat="1" ht="18" customHeight="1" x14ac:dyDescent="0.3">
      <c r="D4" s="147"/>
      <c r="E4" s="147"/>
      <c r="F4" s="147"/>
      <c r="G4" s="147"/>
      <c r="H4" s="147"/>
      <c r="I4" s="147"/>
      <c r="J4" s="147"/>
      <c r="K4" s="147"/>
      <c r="L4" s="147"/>
      <c r="M4" s="147"/>
      <c r="N4" s="147"/>
      <c r="O4" s="147"/>
      <c r="P4" s="103"/>
      <c r="Q4" s="103"/>
      <c r="R4" s="103"/>
      <c r="S4" s="103"/>
      <c r="T4" s="103"/>
      <c r="U4" s="103"/>
      <c r="V4" s="103"/>
    </row>
    <row r="5" spans="1:58" x14ac:dyDescent="0.3">
      <c r="A5" s="43"/>
      <c r="B5" s="43"/>
      <c r="C5" s="43"/>
    </row>
    <row r="6" spans="1:58" x14ac:dyDescent="0.3">
      <c r="W6" s="41"/>
      <c r="AK6" s="41"/>
      <c r="AL6" s="40"/>
      <c r="AM6" s="40"/>
      <c r="AN6" s="40"/>
      <c r="AO6" s="40"/>
    </row>
    <row r="7" spans="1:58" x14ac:dyDescent="0.3">
      <c r="A7" s="43"/>
      <c r="B7" s="43"/>
      <c r="C7" s="43"/>
      <c r="D7" s="5"/>
    </row>
    <row r="8" spans="1:58" x14ac:dyDescent="0.3">
      <c r="A8" s="43"/>
      <c r="B8" s="43"/>
      <c r="C8" s="43"/>
      <c r="D8" s="5"/>
    </row>
    <row r="9" spans="1:58" s="64" customFormat="1" ht="30" customHeight="1" x14ac:dyDescent="0.3">
      <c r="A9" s="61" t="s">
        <v>170</v>
      </c>
      <c r="B9" s="62"/>
      <c r="C9" s="62"/>
      <c r="D9" s="63"/>
      <c r="AL9" s="65"/>
      <c r="AM9" s="65"/>
      <c r="AN9" s="65"/>
      <c r="AO9" s="65"/>
    </row>
    <row r="10" spans="1:58" x14ac:dyDescent="0.3">
      <c r="A10" s="43"/>
      <c r="B10" s="43"/>
      <c r="C10" s="43"/>
      <c r="D10" s="5"/>
    </row>
    <row r="11" spans="1:58" ht="27" customHeight="1" x14ac:dyDescent="0.3">
      <c r="A11" s="153" t="s">
        <v>34</v>
      </c>
      <c r="B11" s="127" t="s">
        <v>130</v>
      </c>
      <c r="C11" s="128"/>
      <c r="D11" s="128"/>
      <c r="E11" s="128"/>
      <c r="F11" s="128"/>
      <c r="G11" s="128"/>
      <c r="H11" s="128"/>
      <c r="I11" s="128"/>
      <c r="J11" s="128"/>
      <c r="K11" s="128"/>
      <c r="L11" s="128"/>
      <c r="M11" s="156"/>
      <c r="N11" s="127" t="s">
        <v>141</v>
      </c>
      <c r="O11" s="156"/>
      <c r="P11" s="165" t="s">
        <v>167</v>
      </c>
      <c r="Q11" s="166"/>
      <c r="R11" s="166"/>
      <c r="S11" s="166"/>
      <c r="T11" s="166"/>
      <c r="U11" s="166"/>
      <c r="V11" s="167"/>
      <c r="X11" s="130" t="s">
        <v>33</v>
      </c>
      <c r="Y11" s="131"/>
      <c r="Z11" s="131"/>
      <c r="AA11" s="131"/>
      <c r="AB11" s="131"/>
      <c r="AC11" s="131"/>
      <c r="AD11" s="131"/>
      <c r="AE11" s="131"/>
      <c r="AF11" s="131"/>
      <c r="AG11" s="131"/>
      <c r="AH11" s="131"/>
      <c r="AI11" s="131"/>
      <c r="AJ11" s="131"/>
      <c r="AK11" s="131"/>
      <c r="AL11" s="132"/>
      <c r="AM11" s="37"/>
      <c r="AQ11" s="130" t="s">
        <v>32</v>
      </c>
      <c r="AR11" s="131"/>
      <c r="AS11" s="131"/>
      <c r="AT11" s="131"/>
      <c r="AU11" s="131"/>
      <c r="AV11" s="132"/>
      <c r="AX11" s="130" t="s">
        <v>31</v>
      </c>
      <c r="AY11" s="131"/>
      <c r="AZ11" s="131"/>
      <c r="BA11" s="132"/>
      <c r="BC11" s="47" t="s">
        <v>36</v>
      </c>
      <c r="BD11" s="48"/>
      <c r="BF11" s="36"/>
    </row>
    <row r="12" spans="1:58" ht="32.25" customHeight="1" x14ac:dyDescent="0.3">
      <c r="A12" s="153"/>
      <c r="B12" s="133" t="s">
        <v>30</v>
      </c>
      <c r="C12" s="133" t="s">
        <v>29</v>
      </c>
      <c r="D12" s="116" t="s">
        <v>27</v>
      </c>
      <c r="E12" s="34" t="s">
        <v>26</v>
      </c>
      <c r="F12" s="122" t="s">
        <v>63</v>
      </c>
      <c r="G12" s="123"/>
      <c r="H12" s="122" t="s">
        <v>50</v>
      </c>
      <c r="I12" s="123"/>
      <c r="J12" s="122" t="s">
        <v>146</v>
      </c>
      <c r="K12" s="123"/>
      <c r="L12" s="122" t="s">
        <v>25</v>
      </c>
      <c r="M12" s="123"/>
      <c r="N12" s="106" t="s">
        <v>23</v>
      </c>
      <c r="O12" s="151" t="s">
        <v>137</v>
      </c>
      <c r="P12" s="122" t="s">
        <v>136</v>
      </c>
      <c r="Q12" s="123"/>
      <c r="R12" s="122" t="s">
        <v>143</v>
      </c>
      <c r="S12" s="123"/>
      <c r="T12" s="122" t="s">
        <v>144</v>
      </c>
      <c r="U12" s="123"/>
      <c r="V12" s="159" t="s">
        <v>142</v>
      </c>
      <c r="W12" s="21"/>
      <c r="X12" s="34" t="s">
        <v>21</v>
      </c>
      <c r="Y12" s="34" t="s">
        <v>20</v>
      </c>
      <c r="Z12" s="34" t="s">
        <v>95</v>
      </c>
      <c r="AA12" s="34" t="s">
        <v>19</v>
      </c>
      <c r="AB12" s="34" t="s">
        <v>18</v>
      </c>
      <c r="AC12" s="34" t="s">
        <v>48</v>
      </c>
      <c r="AD12" s="34" t="s">
        <v>49</v>
      </c>
      <c r="AE12" s="34" t="s">
        <v>17</v>
      </c>
      <c r="AF12" s="106" t="s">
        <v>16</v>
      </c>
      <c r="AG12" s="106" t="s">
        <v>15</v>
      </c>
      <c r="AH12" s="106" t="s">
        <v>14</v>
      </c>
      <c r="AI12" s="106" t="s">
        <v>13</v>
      </c>
      <c r="AJ12" s="106" t="s">
        <v>12</v>
      </c>
      <c r="AK12" s="116" t="s">
        <v>11</v>
      </c>
      <c r="AL12" s="118" t="s">
        <v>10</v>
      </c>
      <c r="AM12" s="120" t="s">
        <v>9</v>
      </c>
      <c r="AN12" s="35">
        <f>(1-O14/E14)</f>
        <v>0.23511253001240073</v>
      </c>
      <c r="AO12" s="35">
        <f>1-(AH14+AQ14)/E14</f>
        <v>0.19815044457929865</v>
      </c>
      <c r="AQ12" s="106" t="s">
        <v>8</v>
      </c>
      <c r="AR12" s="106" t="s">
        <v>7</v>
      </c>
      <c r="AS12" s="106" t="s">
        <v>37</v>
      </c>
      <c r="AT12" s="106" t="s">
        <v>38</v>
      </c>
      <c r="AU12" s="106" t="s">
        <v>6</v>
      </c>
      <c r="AV12" s="106" t="s">
        <v>5</v>
      </c>
      <c r="AX12" s="106" t="s">
        <v>4</v>
      </c>
      <c r="AY12" s="106" t="s">
        <v>3</v>
      </c>
      <c r="AZ12" s="106" t="s">
        <v>2</v>
      </c>
      <c r="BA12" s="106" t="s">
        <v>1</v>
      </c>
      <c r="BC12" s="108"/>
      <c r="BD12" s="108"/>
      <c r="BF12" s="106"/>
    </row>
    <row r="13" spans="1:58" ht="27" customHeight="1" x14ac:dyDescent="0.3">
      <c r="A13" s="154">
        <v>4321441081</v>
      </c>
      <c r="B13" s="134"/>
      <c r="C13" s="134"/>
      <c r="D13" s="117"/>
      <c r="E13" s="31">
        <v>0</v>
      </c>
      <c r="F13" s="33">
        <v>0.09</v>
      </c>
      <c r="G13" s="32">
        <v>1000000</v>
      </c>
      <c r="H13" s="31">
        <v>1</v>
      </c>
      <c r="I13" s="32">
        <v>100000</v>
      </c>
      <c r="J13" s="31">
        <v>1</v>
      </c>
      <c r="K13" s="32">
        <v>300000</v>
      </c>
      <c r="L13" s="31">
        <v>7.0000000000000007E-2</v>
      </c>
      <c r="M13" s="32">
        <v>150000</v>
      </c>
      <c r="N13" s="107"/>
      <c r="O13" s="152"/>
      <c r="P13" s="31">
        <v>0.02</v>
      </c>
      <c r="Q13" s="32">
        <v>1000000</v>
      </c>
      <c r="R13" s="31">
        <v>0.05</v>
      </c>
      <c r="S13" s="32">
        <v>10000</v>
      </c>
      <c r="T13" s="31">
        <v>0.02</v>
      </c>
      <c r="U13" s="32">
        <v>60000</v>
      </c>
      <c r="V13" s="159"/>
      <c r="W13" s="21"/>
      <c r="X13" s="31">
        <f>IF(C14="노트북",7%,IF(C14="저장&amp;주변기기",9%,IF(C14="모니터",7%)))</f>
        <v>7.0000000000000007E-2</v>
      </c>
      <c r="Y13" s="31">
        <v>0</v>
      </c>
      <c r="Z13" s="31">
        <v>0.03</v>
      </c>
      <c r="AA13" s="31">
        <f>IF(F13=0%,20%,0%)</f>
        <v>0</v>
      </c>
      <c r="AB13" s="30">
        <v>0</v>
      </c>
      <c r="AC13" s="30">
        <v>1</v>
      </c>
      <c r="AD13" s="53">
        <v>1</v>
      </c>
      <c r="AE13" s="29">
        <v>0.5</v>
      </c>
      <c r="AF13" s="107"/>
      <c r="AG13" s="107"/>
      <c r="AH13" s="107"/>
      <c r="AI13" s="107"/>
      <c r="AJ13" s="107"/>
      <c r="AK13" s="117"/>
      <c r="AL13" s="119"/>
      <c r="AM13" s="121"/>
      <c r="AN13" s="55" t="s">
        <v>52</v>
      </c>
      <c r="AO13" s="56">
        <f>AN12-AO12</f>
        <v>3.6962085433102088E-2</v>
      </c>
      <c r="AQ13" s="107"/>
      <c r="AR13" s="107"/>
      <c r="AS13" s="107"/>
      <c r="AT13" s="107"/>
      <c r="AU13" s="107"/>
      <c r="AV13" s="107"/>
      <c r="AW13" s="39"/>
      <c r="AX13" s="107"/>
      <c r="AY13" s="117"/>
      <c r="AZ13" s="107"/>
      <c r="BA13" s="107"/>
      <c r="BC13" s="109"/>
      <c r="BD13" s="109"/>
      <c r="BF13" s="107"/>
    </row>
    <row r="14" spans="1:58" ht="27" customHeight="1" x14ac:dyDescent="0.3">
      <c r="A14" s="28" t="s">
        <v>44</v>
      </c>
      <c r="B14" s="38" t="s">
        <v>35</v>
      </c>
      <c r="C14" s="27" t="s">
        <v>0</v>
      </c>
      <c r="D14" s="25">
        <v>3790100</v>
      </c>
      <c r="E14" s="24">
        <f>ROUNDDOWN(D14/(1-E13),-1)</f>
        <v>3790100</v>
      </c>
      <c r="F14" s="110">
        <f>ROUNDDOWN(IF(E14*F13&gt;G13,G13,E14*F13),-1)</f>
        <v>341100</v>
      </c>
      <c r="G14" s="111"/>
      <c r="H14" s="112">
        <f>ROUNDDOWN(IF(E14*H13&gt;I13,I13,E14*H13),-1)</f>
        <v>100000</v>
      </c>
      <c r="I14" s="113"/>
      <c r="J14" s="112">
        <f>ROUNDDOWN(IF(E14*J13&gt;K13,K13,E14*J13),-1)</f>
        <v>300000</v>
      </c>
      <c r="K14" s="113"/>
      <c r="L14" s="110">
        <f>ROUNDDOWN(IF(N14*L13&gt;M13,M13,N14*L13),-1)</f>
        <v>150000</v>
      </c>
      <c r="M14" s="111"/>
      <c r="N14" s="23">
        <f>E14-F14-H14-J14</f>
        <v>3049000</v>
      </c>
      <c r="O14" s="22">
        <f>E14-F14-H14-J14-L14</f>
        <v>2899000</v>
      </c>
      <c r="P14" s="110">
        <f>ROUNDDOWN(IF(N14*P13&gt;Q13,Q13,N14*P13),-1)</f>
        <v>60980</v>
      </c>
      <c r="Q14" s="111"/>
      <c r="R14" s="110">
        <f>ROUNDDOWN(IF(N14*R13&gt;S13,S13,N14*R13),-1)</f>
        <v>10000</v>
      </c>
      <c r="S14" s="111"/>
      <c r="T14" s="110">
        <f>ROUNDDOWN(IF(N14*T13&gt;U13,U13,N14*T13),-1)</f>
        <v>60000</v>
      </c>
      <c r="U14" s="111"/>
      <c r="V14" s="158">
        <f>O14-P14-R14-T14</f>
        <v>2768020</v>
      </c>
      <c r="W14" s="21"/>
      <c r="X14" s="20">
        <f>E14*X13</f>
        <v>265307</v>
      </c>
      <c r="Y14" s="20">
        <f>E14*Y13</f>
        <v>0</v>
      </c>
      <c r="Z14" s="20">
        <f>(E14-H14)*Z13</f>
        <v>110703</v>
      </c>
      <c r="AA14" s="19">
        <f>(E14*E13)*AA13</f>
        <v>0</v>
      </c>
      <c r="AB14" s="19">
        <f>F14*AB13</f>
        <v>0</v>
      </c>
      <c r="AC14" s="19">
        <f>H14*AC13</f>
        <v>100000</v>
      </c>
      <c r="AD14" s="19">
        <f>J14*AD13</f>
        <v>300000</v>
      </c>
      <c r="AE14" s="19">
        <f>L14*AE13</f>
        <v>75000</v>
      </c>
      <c r="AF14" s="19">
        <v>0</v>
      </c>
      <c r="AG14" s="16">
        <v>15000</v>
      </c>
      <c r="AH14" s="18">
        <f>E14-X14-Y14-Z14-AA14-AE14-AB14-AC14-AD14-AF14</f>
        <v>2939090</v>
      </c>
      <c r="AI14" s="18">
        <f>E14-X14-Y14-Z14-AA14-AB14-AC14-AD14-AE14-AF14-AG14</f>
        <v>2924090</v>
      </c>
      <c r="AJ14" s="17">
        <f>AI14-AK14</f>
        <v>-50910</v>
      </c>
      <c r="AK14" s="16">
        <v>2975000</v>
      </c>
      <c r="AL14" s="15">
        <f>AJ14/AK14</f>
        <v>-1.7112605042016806E-2</v>
      </c>
      <c r="AM14" s="14">
        <f>1-O14/(AK14-AQ14-AR14-AS14)</f>
        <v>-8.3478260869565002E-3</v>
      </c>
      <c r="AN14" s="114">
        <f>(1-O14/E14)-(1-(AH14)/E14)</f>
        <v>1.0577557320387343E-2</v>
      </c>
      <c r="AO14" s="115"/>
      <c r="AQ14" s="13">
        <v>100000</v>
      </c>
      <c r="AR14" s="12">
        <f>AB14*AR13</f>
        <v>0</v>
      </c>
      <c r="AS14" s="12">
        <v>0</v>
      </c>
      <c r="AT14" s="12"/>
      <c r="AU14" s="11">
        <f>AI14-(AK14-AQ14-AR14-AS14-AT14)</f>
        <v>49090</v>
      </c>
      <c r="AV14" s="8">
        <f>AU14/AK14</f>
        <v>1.6500840336134453E-2</v>
      </c>
      <c r="AX14" s="10">
        <v>0</v>
      </c>
      <c r="AY14" s="10">
        <v>0</v>
      </c>
      <c r="AZ14" s="9">
        <f>AU14-AX14-AY14</f>
        <v>49090</v>
      </c>
      <c r="BA14" s="8">
        <f>AZ14/AK14</f>
        <v>1.6500840336134453E-2</v>
      </c>
      <c r="BC14" s="49"/>
      <c r="BD14" s="50"/>
      <c r="BF14" s="6"/>
    </row>
    <row r="15" spans="1:58" x14ac:dyDescent="0.3">
      <c r="D15" s="5">
        <v>3199000</v>
      </c>
      <c r="E15" s="4">
        <f>ROUNDDOWN(D15/(1-E13),-1)</f>
        <v>3199000</v>
      </c>
      <c r="F15" s="138">
        <f>E14-F14</f>
        <v>3449000</v>
      </c>
      <c r="G15" s="138"/>
      <c r="H15" s="157">
        <f>E14-F14-H14</f>
        <v>3349000</v>
      </c>
      <c r="I15" s="157"/>
      <c r="O15" s="4"/>
      <c r="P15" s="162">
        <f>SUM(P14:U14)</f>
        <v>130980</v>
      </c>
      <c r="Q15" s="163"/>
      <c r="R15" s="163"/>
      <c r="S15" s="163"/>
      <c r="T15" s="163"/>
      <c r="U15" s="164"/>
      <c r="V15" s="4"/>
      <c r="AB15" s="3">
        <f>F15*AB13</f>
        <v>0</v>
      </c>
      <c r="AC15" s="3"/>
      <c r="AD15" s="3"/>
    </row>
    <row r="16" spans="1:58" x14ac:dyDescent="0.3">
      <c r="A16" s="43"/>
      <c r="B16" s="43"/>
      <c r="C16" s="43"/>
      <c r="D16" s="5"/>
    </row>
    <row r="18" spans="1:58" ht="27" customHeight="1" x14ac:dyDescent="0.3">
      <c r="A18" s="153" t="s">
        <v>34</v>
      </c>
      <c r="B18" s="127" t="s">
        <v>130</v>
      </c>
      <c r="C18" s="128"/>
      <c r="D18" s="128"/>
      <c r="E18" s="128"/>
      <c r="F18" s="128"/>
      <c r="G18" s="128"/>
      <c r="H18" s="128"/>
      <c r="I18" s="128"/>
      <c r="J18" s="128"/>
      <c r="K18" s="128"/>
      <c r="L18" s="128"/>
      <c r="M18" s="156"/>
      <c r="N18" s="127" t="s">
        <v>141</v>
      </c>
      <c r="O18" s="156"/>
      <c r="P18" s="165" t="s">
        <v>167</v>
      </c>
      <c r="Q18" s="166"/>
      <c r="R18" s="166"/>
      <c r="S18" s="166"/>
      <c r="T18" s="166"/>
      <c r="U18" s="166"/>
      <c r="V18" s="167"/>
      <c r="X18" s="130" t="s">
        <v>33</v>
      </c>
      <c r="Y18" s="131"/>
      <c r="Z18" s="131"/>
      <c r="AA18" s="131"/>
      <c r="AB18" s="131"/>
      <c r="AC18" s="131"/>
      <c r="AD18" s="131"/>
      <c r="AE18" s="131"/>
      <c r="AF18" s="131"/>
      <c r="AG18" s="131"/>
      <c r="AH18" s="131"/>
      <c r="AI18" s="131"/>
      <c r="AJ18" s="131"/>
      <c r="AK18" s="131"/>
      <c r="AL18" s="132"/>
      <c r="AM18" s="37"/>
      <c r="AQ18" s="130" t="s">
        <v>32</v>
      </c>
      <c r="AR18" s="131"/>
      <c r="AS18" s="131"/>
      <c r="AT18" s="131"/>
      <c r="AU18" s="131"/>
      <c r="AV18" s="132"/>
      <c r="AX18" s="130" t="s">
        <v>31</v>
      </c>
      <c r="AY18" s="131"/>
      <c r="AZ18" s="131"/>
      <c r="BA18" s="132"/>
      <c r="BC18" s="47" t="s">
        <v>36</v>
      </c>
      <c r="BD18" s="48"/>
      <c r="BF18" s="36"/>
    </row>
    <row r="19" spans="1:58" ht="32.25" customHeight="1" x14ac:dyDescent="0.3">
      <c r="A19" s="153"/>
      <c r="B19" s="133" t="s">
        <v>30</v>
      </c>
      <c r="C19" s="133" t="s">
        <v>29</v>
      </c>
      <c r="D19" s="116" t="s">
        <v>27</v>
      </c>
      <c r="E19" s="34" t="s">
        <v>26</v>
      </c>
      <c r="F19" s="122" t="s">
        <v>63</v>
      </c>
      <c r="G19" s="123"/>
      <c r="H19" s="122" t="s">
        <v>50</v>
      </c>
      <c r="I19" s="123"/>
      <c r="J19" s="122" t="s">
        <v>146</v>
      </c>
      <c r="K19" s="123"/>
      <c r="L19" s="122" t="s">
        <v>25</v>
      </c>
      <c r="M19" s="123"/>
      <c r="N19" s="106" t="s">
        <v>23</v>
      </c>
      <c r="O19" s="151" t="s">
        <v>137</v>
      </c>
      <c r="P19" s="122" t="s">
        <v>136</v>
      </c>
      <c r="Q19" s="123"/>
      <c r="R19" s="122" t="s">
        <v>143</v>
      </c>
      <c r="S19" s="123"/>
      <c r="T19" s="122" t="s">
        <v>144</v>
      </c>
      <c r="U19" s="123"/>
      <c r="V19" s="159" t="s">
        <v>142</v>
      </c>
      <c r="W19" s="21"/>
      <c r="X19" s="34" t="s">
        <v>21</v>
      </c>
      <c r="Y19" s="34" t="s">
        <v>20</v>
      </c>
      <c r="Z19" s="34" t="s">
        <v>95</v>
      </c>
      <c r="AA19" s="34" t="s">
        <v>19</v>
      </c>
      <c r="AB19" s="34" t="s">
        <v>18</v>
      </c>
      <c r="AC19" s="34" t="s">
        <v>48</v>
      </c>
      <c r="AD19" s="34" t="s">
        <v>49</v>
      </c>
      <c r="AE19" s="34" t="s">
        <v>17</v>
      </c>
      <c r="AF19" s="106" t="s">
        <v>16</v>
      </c>
      <c r="AG19" s="106" t="s">
        <v>15</v>
      </c>
      <c r="AH19" s="106" t="s">
        <v>14</v>
      </c>
      <c r="AI19" s="106" t="s">
        <v>13</v>
      </c>
      <c r="AJ19" s="106" t="s">
        <v>12</v>
      </c>
      <c r="AK19" s="116" t="s">
        <v>11</v>
      </c>
      <c r="AL19" s="118" t="s">
        <v>10</v>
      </c>
      <c r="AM19" s="120" t="s">
        <v>9</v>
      </c>
      <c r="AN19" s="35">
        <f>(1-O21/E21)</f>
        <v>0.22716084481120424</v>
      </c>
      <c r="AO19" s="35">
        <f>1-(AH21+AQ21)/E21</f>
        <v>0.1927706246306008</v>
      </c>
      <c r="AQ19" s="106" t="s">
        <v>8</v>
      </c>
      <c r="AR19" s="106" t="s">
        <v>7</v>
      </c>
      <c r="AS19" s="106" t="s">
        <v>37</v>
      </c>
      <c r="AT19" s="106" t="s">
        <v>38</v>
      </c>
      <c r="AU19" s="106" t="s">
        <v>6</v>
      </c>
      <c r="AV19" s="106" t="s">
        <v>5</v>
      </c>
      <c r="AX19" s="106" t="s">
        <v>4</v>
      </c>
      <c r="AY19" s="106" t="s">
        <v>3</v>
      </c>
      <c r="AZ19" s="106" t="s">
        <v>2</v>
      </c>
      <c r="BA19" s="106" t="s">
        <v>1</v>
      </c>
      <c r="BC19" s="108"/>
      <c r="BD19" s="108"/>
      <c r="BF19" s="106"/>
    </row>
    <row r="20" spans="1:58" ht="27" customHeight="1" x14ac:dyDescent="0.3">
      <c r="A20" s="154">
        <v>4321436481</v>
      </c>
      <c r="B20" s="134"/>
      <c r="C20" s="134"/>
      <c r="D20" s="117"/>
      <c r="E20" s="31">
        <v>0</v>
      </c>
      <c r="F20" s="33">
        <v>0.09</v>
      </c>
      <c r="G20" s="32">
        <v>1000000</v>
      </c>
      <c r="H20" s="31">
        <v>1</v>
      </c>
      <c r="I20" s="32">
        <v>100000</v>
      </c>
      <c r="J20" s="31">
        <v>1</v>
      </c>
      <c r="K20" s="32">
        <v>300000</v>
      </c>
      <c r="L20" s="31">
        <v>7.0000000000000007E-2</v>
      </c>
      <c r="M20" s="32">
        <v>150000</v>
      </c>
      <c r="N20" s="107"/>
      <c r="O20" s="152"/>
      <c r="P20" s="31">
        <v>0.02</v>
      </c>
      <c r="Q20" s="32">
        <v>1000000</v>
      </c>
      <c r="R20" s="31">
        <v>0.05</v>
      </c>
      <c r="S20" s="32">
        <v>10000</v>
      </c>
      <c r="T20" s="31">
        <v>0.02</v>
      </c>
      <c r="U20" s="32">
        <v>60000</v>
      </c>
      <c r="V20" s="159"/>
      <c r="W20" s="21"/>
      <c r="X20" s="31">
        <f>IF(C21="노트북",7%,IF(C21="저장&amp;주변기기",9%,IF(C21="모니터",7%)))</f>
        <v>7.0000000000000007E-2</v>
      </c>
      <c r="Y20" s="31">
        <v>0</v>
      </c>
      <c r="Z20" s="31">
        <v>0.03</v>
      </c>
      <c r="AA20" s="31">
        <f>IF(F20=0%,20%,0%)</f>
        <v>0</v>
      </c>
      <c r="AB20" s="30">
        <v>0</v>
      </c>
      <c r="AC20" s="30">
        <v>1</v>
      </c>
      <c r="AD20" s="53">
        <v>1</v>
      </c>
      <c r="AE20" s="29">
        <v>0.5</v>
      </c>
      <c r="AF20" s="107"/>
      <c r="AG20" s="107"/>
      <c r="AH20" s="107"/>
      <c r="AI20" s="107"/>
      <c r="AJ20" s="107"/>
      <c r="AK20" s="117"/>
      <c r="AL20" s="119"/>
      <c r="AM20" s="121"/>
      <c r="AN20" s="55" t="s">
        <v>52</v>
      </c>
      <c r="AO20" s="56">
        <f>AN19-AO19</f>
        <v>3.4390220180603448E-2</v>
      </c>
      <c r="AQ20" s="107"/>
      <c r="AR20" s="107"/>
      <c r="AS20" s="107"/>
      <c r="AT20" s="107"/>
      <c r="AU20" s="107"/>
      <c r="AV20" s="107"/>
      <c r="AW20" s="39"/>
      <c r="AX20" s="107"/>
      <c r="AY20" s="117"/>
      <c r="AZ20" s="107"/>
      <c r="BA20" s="107"/>
      <c r="BC20" s="109"/>
      <c r="BD20" s="109"/>
      <c r="BF20" s="107"/>
    </row>
    <row r="21" spans="1:58" ht="27" customHeight="1" x14ac:dyDescent="0.3">
      <c r="A21" s="28" t="s">
        <v>45</v>
      </c>
      <c r="B21" s="38" t="s">
        <v>35</v>
      </c>
      <c r="C21" s="27" t="s">
        <v>0</v>
      </c>
      <c r="D21" s="25">
        <v>4009890</v>
      </c>
      <c r="E21" s="24">
        <f>ROUNDDOWN(D21/(1-E20),-1)</f>
        <v>4009890</v>
      </c>
      <c r="F21" s="110">
        <f>ROUNDDOWN(IF(E21*F20&gt;G20,G20,E21*F20),-1)</f>
        <v>360890</v>
      </c>
      <c r="G21" s="111"/>
      <c r="H21" s="112">
        <f>ROUNDDOWN(IF(E21*H20&gt;I20,I20,E21*H20),-1)</f>
        <v>100000</v>
      </c>
      <c r="I21" s="113"/>
      <c r="J21" s="112">
        <f>ROUNDDOWN(IF(E21*J20&gt;K20,K20,E21*J20),-1)</f>
        <v>300000</v>
      </c>
      <c r="K21" s="113"/>
      <c r="L21" s="110">
        <f>ROUNDDOWN(IF(N21*L20&gt;M20,M20,N21*L20),-1)</f>
        <v>150000</v>
      </c>
      <c r="M21" s="111"/>
      <c r="N21" s="23">
        <f>E21-F21-H21-J21</f>
        <v>3249000</v>
      </c>
      <c r="O21" s="22">
        <f>E21-F21-H21-J21-L21</f>
        <v>3099000</v>
      </c>
      <c r="P21" s="110">
        <f>ROUNDDOWN(IF(N21*P20&gt;Q20,Q20,N21*P20),-1)</f>
        <v>64980</v>
      </c>
      <c r="Q21" s="111"/>
      <c r="R21" s="110">
        <f>ROUNDDOWN(IF(N21*R20&gt;S20,S20,N21*R20),-1)</f>
        <v>10000</v>
      </c>
      <c r="S21" s="111"/>
      <c r="T21" s="110">
        <f>ROUNDDOWN(IF(N21*T20&gt;U20,U20,N21*T20),-1)</f>
        <v>60000</v>
      </c>
      <c r="U21" s="111"/>
      <c r="V21" s="158">
        <f>O21-P21-R21-T21</f>
        <v>2964020</v>
      </c>
      <c r="W21" s="21"/>
      <c r="X21" s="20">
        <f>E21*X20</f>
        <v>280692.30000000005</v>
      </c>
      <c r="Y21" s="20">
        <f>E21*Y20</f>
        <v>0</v>
      </c>
      <c r="Z21" s="20">
        <f>(E21-H21)*Z20</f>
        <v>117296.7</v>
      </c>
      <c r="AA21" s="19">
        <f>(E21*E20)*AA20</f>
        <v>0</v>
      </c>
      <c r="AB21" s="19">
        <f>F21*AB20</f>
        <v>0</v>
      </c>
      <c r="AC21" s="19">
        <f>H21*AC20</f>
        <v>100000</v>
      </c>
      <c r="AD21" s="19">
        <f>J21*AD20</f>
        <v>300000</v>
      </c>
      <c r="AE21" s="19">
        <f>L21*AE20</f>
        <v>75000</v>
      </c>
      <c r="AF21" s="19">
        <v>0</v>
      </c>
      <c r="AG21" s="16">
        <v>15000</v>
      </c>
      <c r="AH21" s="18">
        <f>E21-X21-Y21-Z21-AA21-AE21-AB21-AC21-AD21-AF21</f>
        <v>3136901</v>
      </c>
      <c r="AI21" s="18">
        <f>E21-X21-Y21-Z21-AA21-AB21-AC21-AD21-AE21-AF21-AG21</f>
        <v>3121901</v>
      </c>
      <c r="AJ21" s="17">
        <f>AI21-AK21</f>
        <v>-22099</v>
      </c>
      <c r="AK21" s="16">
        <v>3144000</v>
      </c>
      <c r="AL21" s="15">
        <f>AJ21/AK21</f>
        <v>-7.0289440203562337E-3</v>
      </c>
      <c r="AM21" s="14">
        <f>1-O21/(AK21-AQ21-AR21-AS21)</f>
        <v>-1.8068331143232585E-2</v>
      </c>
      <c r="AN21" s="114">
        <f>(1-O21/E21)-(1-(AH21)/E21)</f>
        <v>9.4518802261408519E-3</v>
      </c>
      <c r="AO21" s="115"/>
      <c r="AQ21" s="13">
        <v>100000</v>
      </c>
      <c r="AR21" s="12">
        <f>AB21*AR20</f>
        <v>0</v>
      </c>
      <c r="AS21" s="12">
        <v>0</v>
      </c>
      <c r="AT21" s="12"/>
      <c r="AU21" s="11">
        <f>AI21-(AK21-AQ21-AR21-AS21-AT21)</f>
        <v>77901</v>
      </c>
      <c r="AV21" s="8">
        <f>AU21/AK21</f>
        <v>2.4777671755725192E-2</v>
      </c>
      <c r="AX21" s="10">
        <v>0</v>
      </c>
      <c r="AY21" s="10">
        <v>0</v>
      </c>
      <c r="AZ21" s="9">
        <f>AU21-AX21-AY21</f>
        <v>77901</v>
      </c>
      <c r="BA21" s="8">
        <f>AZ21/AK21</f>
        <v>2.4777671755725192E-2</v>
      </c>
      <c r="BC21" s="49"/>
      <c r="BD21" s="50"/>
      <c r="BF21" s="6"/>
    </row>
    <row r="22" spans="1:58" x14ac:dyDescent="0.3">
      <c r="D22" s="5">
        <v>3399000</v>
      </c>
      <c r="E22" s="4">
        <f>ROUNDDOWN(D22/(1-E20),-1)</f>
        <v>3399000</v>
      </c>
      <c r="F22" s="138">
        <f>E21-F21</f>
        <v>3649000</v>
      </c>
      <c r="G22" s="138"/>
      <c r="H22" s="157">
        <f>E21-F21-H21</f>
        <v>3549000</v>
      </c>
      <c r="I22" s="157"/>
      <c r="O22" s="4"/>
      <c r="P22" s="162">
        <f>SUM(P21:U21)</f>
        <v>134980</v>
      </c>
      <c r="Q22" s="163"/>
      <c r="R22" s="163"/>
      <c r="S22" s="163"/>
      <c r="T22" s="163"/>
      <c r="U22" s="164"/>
      <c r="V22" s="4"/>
      <c r="AB22" s="3">
        <f>F22*AB20</f>
        <v>0</v>
      </c>
      <c r="AC22" s="3"/>
      <c r="AD22" s="3"/>
      <c r="AH22" s="75"/>
    </row>
    <row r="23" spans="1:58" x14ac:dyDescent="0.3">
      <c r="D23" s="5"/>
      <c r="E23" s="4"/>
      <c r="F23" s="42"/>
      <c r="G23" s="42"/>
      <c r="I23" s="54"/>
      <c r="AB23" s="3"/>
      <c r="AC23" s="3"/>
      <c r="AD23" s="3"/>
    </row>
    <row r="24" spans="1:58" x14ac:dyDescent="0.3">
      <c r="A24" s="43"/>
      <c r="B24" s="43"/>
      <c r="C24" s="43"/>
      <c r="D24" s="5"/>
    </row>
    <row r="25" spans="1:58" ht="27" customHeight="1" x14ac:dyDescent="0.3">
      <c r="A25" s="153" t="s">
        <v>34</v>
      </c>
      <c r="B25" s="127" t="s">
        <v>130</v>
      </c>
      <c r="C25" s="128"/>
      <c r="D25" s="128"/>
      <c r="E25" s="128"/>
      <c r="F25" s="128"/>
      <c r="G25" s="128"/>
      <c r="H25" s="128"/>
      <c r="I25" s="128"/>
      <c r="J25" s="128"/>
      <c r="K25" s="128"/>
      <c r="L25" s="128"/>
      <c r="M25" s="156"/>
      <c r="N25" s="127" t="s">
        <v>141</v>
      </c>
      <c r="O25" s="156"/>
      <c r="P25" s="165" t="s">
        <v>167</v>
      </c>
      <c r="Q25" s="166"/>
      <c r="R25" s="166"/>
      <c r="S25" s="166"/>
      <c r="T25" s="166"/>
      <c r="U25" s="166"/>
      <c r="V25" s="167"/>
      <c r="X25" s="130" t="s">
        <v>33</v>
      </c>
      <c r="Y25" s="131"/>
      <c r="Z25" s="131"/>
      <c r="AA25" s="131"/>
      <c r="AB25" s="131"/>
      <c r="AC25" s="131"/>
      <c r="AD25" s="131"/>
      <c r="AE25" s="131"/>
      <c r="AF25" s="131"/>
      <c r="AG25" s="131"/>
      <c r="AH25" s="131"/>
      <c r="AI25" s="131"/>
      <c r="AJ25" s="131"/>
      <c r="AK25" s="131"/>
      <c r="AL25" s="132"/>
      <c r="AM25" s="37"/>
      <c r="AQ25" s="130" t="s">
        <v>32</v>
      </c>
      <c r="AR25" s="131"/>
      <c r="AS25" s="131"/>
      <c r="AT25" s="131"/>
      <c r="AU25" s="131"/>
      <c r="AV25" s="132"/>
      <c r="AX25" s="130" t="s">
        <v>31</v>
      </c>
      <c r="AY25" s="131"/>
      <c r="AZ25" s="131"/>
      <c r="BA25" s="132"/>
      <c r="BC25" s="47" t="s">
        <v>36</v>
      </c>
      <c r="BD25" s="48"/>
      <c r="BF25" s="36"/>
    </row>
    <row r="26" spans="1:58" ht="32.25" customHeight="1" x14ac:dyDescent="0.3">
      <c r="A26" s="153"/>
      <c r="B26" s="133" t="s">
        <v>30</v>
      </c>
      <c r="C26" s="133" t="s">
        <v>29</v>
      </c>
      <c r="D26" s="116" t="s">
        <v>27</v>
      </c>
      <c r="E26" s="34" t="s">
        <v>26</v>
      </c>
      <c r="F26" s="122" t="s">
        <v>63</v>
      </c>
      <c r="G26" s="123"/>
      <c r="H26" s="122" t="s">
        <v>50</v>
      </c>
      <c r="I26" s="123"/>
      <c r="J26" s="122" t="s">
        <v>146</v>
      </c>
      <c r="K26" s="123"/>
      <c r="L26" s="122" t="s">
        <v>25</v>
      </c>
      <c r="M26" s="123"/>
      <c r="N26" s="106" t="s">
        <v>23</v>
      </c>
      <c r="O26" s="151" t="s">
        <v>137</v>
      </c>
      <c r="P26" s="122" t="s">
        <v>136</v>
      </c>
      <c r="Q26" s="123"/>
      <c r="R26" s="122" t="s">
        <v>143</v>
      </c>
      <c r="S26" s="123"/>
      <c r="T26" s="122" t="s">
        <v>144</v>
      </c>
      <c r="U26" s="123"/>
      <c r="V26" s="159" t="s">
        <v>142</v>
      </c>
      <c r="W26" s="21"/>
      <c r="X26" s="34" t="s">
        <v>21</v>
      </c>
      <c r="Y26" s="34" t="s">
        <v>20</v>
      </c>
      <c r="Z26" s="34" t="s">
        <v>95</v>
      </c>
      <c r="AA26" s="34" t="s">
        <v>19</v>
      </c>
      <c r="AB26" s="34" t="s">
        <v>18</v>
      </c>
      <c r="AC26" s="34" t="s">
        <v>48</v>
      </c>
      <c r="AD26" s="34" t="s">
        <v>49</v>
      </c>
      <c r="AE26" s="34" t="s">
        <v>17</v>
      </c>
      <c r="AF26" s="106" t="s">
        <v>16</v>
      </c>
      <c r="AG26" s="106" t="s">
        <v>15</v>
      </c>
      <c r="AH26" s="106" t="s">
        <v>14</v>
      </c>
      <c r="AI26" s="106" t="s">
        <v>13</v>
      </c>
      <c r="AJ26" s="106" t="s">
        <v>12</v>
      </c>
      <c r="AK26" s="116" t="s">
        <v>11</v>
      </c>
      <c r="AL26" s="118" t="s">
        <v>10</v>
      </c>
      <c r="AM26" s="120" t="s">
        <v>9</v>
      </c>
      <c r="AN26" s="35">
        <f>(1-O28/E28)</f>
        <v>0.2106404913358193</v>
      </c>
      <c r="AO26" s="35">
        <f>1-(AH28+AQ28)/E28</f>
        <v>0.20353147620092127</v>
      </c>
      <c r="AQ26" s="106" t="s">
        <v>8</v>
      </c>
      <c r="AR26" s="106" t="s">
        <v>7</v>
      </c>
      <c r="AS26" s="106" t="s">
        <v>37</v>
      </c>
      <c r="AT26" s="106" t="s">
        <v>38</v>
      </c>
      <c r="AU26" s="106" t="s">
        <v>6</v>
      </c>
      <c r="AV26" s="106" t="s">
        <v>5</v>
      </c>
      <c r="AX26" s="106" t="s">
        <v>4</v>
      </c>
      <c r="AY26" s="106" t="s">
        <v>3</v>
      </c>
      <c r="AZ26" s="106" t="s">
        <v>2</v>
      </c>
      <c r="BA26" s="106" t="s">
        <v>1</v>
      </c>
      <c r="BC26" s="108"/>
      <c r="BD26" s="108"/>
      <c r="BF26" s="106"/>
    </row>
    <row r="27" spans="1:58" ht="27" customHeight="1" x14ac:dyDescent="0.3">
      <c r="A27" s="154">
        <v>4321378893</v>
      </c>
      <c r="B27" s="134"/>
      <c r="C27" s="134"/>
      <c r="D27" s="117"/>
      <c r="E27" s="31">
        <v>0</v>
      </c>
      <c r="F27" s="33">
        <v>0.09</v>
      </c>
      <c r="G27" s="32">
        <v>1000000</v>
      </c>
      <c r="H27" s="31">
        <v>1</v>
      </c>
      <c r="I27" s="32">
        <v>100000</v>
      </c>
      <c r="J27" s="31">
        <v>1</v>
      </c>
      <c r="K27" s="32">
        <v>300000</v>
      </c>
      <c r="L27" s="31">
        <v>7.0000000000000007E-2</v>
      </c>
      <c r="M27" s="32">
        <v>150000</v>
      </c>
      <c r="N27" s="107"/>
      <c r="O27" s="152"/>
      <c r="P27" s="31">
        <v>0.02</v>
      </c>
      <c r="Q27" s="32">
        <v>1000000</v>
      </c>
      <c r="R27" s="31">
        <v>0.05</v>
      </c>
      <c r="S27" s="32">
        <v>10000</v>
      </c>
      <c r="T27" s="31">
        <v>0.02</v>
      </c>
      <c r="U27" s="32">
        <v>60000</v>
      </c>
      <c r="V27" s="159"/>
      <c r="W27" s="21"/>
      <c r="X27" s="31">
        <f>IF(C28="노트북",7%,IF(C28="저장&amp;주변기기",9%,IF(C28="모니터",7%)))</f>
        <v>7.0000000000000007E-2</v>
      </c>
      <c r="Y27" s="31">
        <v>0</v>
      </c>
      <c r="Z27" s="31">
        <v>0.03</v>
      </c>
      <c r="AA27" s="31">
        <f>IF(F27=0%,20%,0%)</f>
        <v>0</v>
      </c>
      <c r="AB27" s="30">
        <v>0</v>
      </c>
      <c r="AC27" s="30">
        <v>1</v>
      </c>
      <c r="AD27" s="53">
        <v>1</v>
      </c>
      <c r="AE27" s="29">
        <v>0.5</v>
      </c>
      <c r="AF27" s="107"/>
      <c r="AG27" s="107"/>
      <c r="AH27" s="107"/>
      <c r="AI27" s="107"/>
      <c r="AJ27" s="107"/>
      <c r="AK27" s="117"/>
      <c r="AL27" s="119"/>
      <c r="AM27" s="121"/>
      <c r="AN27" s="55" t="s">
        <v>52</v>
      </c>
      <c r="AO27" s="56">
        <f>AN26-AO26</f>
        <v>7.1090151348980335E-3</v>
      </c>
      <c r="AQ27" s="107"/>
      <c r="AR27" s="107"/>
      <c r="AS27" s="107"/>
      <c r="AT27" s="107"/>
      <c r="AU27" s="107"/>
      <c r="AV27" s="107"/>
      <c r="AW27" s="39"/>
      <c r="AX27" s="107"/>
      <c r="AY27" s="117"/>
      <c r="AZ27" s="107"/>
      <c r="BA27" s="107"/>
      <c r="BC27" s="109"/>
      <c r="BD27" s="109"/>
      <c r="BF27" s="107"/>
    </row>
    <row r="28" spans="1:58" ht="27" customHeight="1" x14ac:dyDescent="0.3">
      <c r="A28" s="28" t="s">
        <v>39</v>
      </c>
      <c r="B28" s="38" t="s">
        <v>35</v>
      </c>
      <c r="C28" s="27" t="s">
        <v>0</v>
      </c>
      <c r="D28" s="25">
        <v>4559000</v>
      </c>
      <c r="E28" s="24">
        <f>ROUNDDOWN(D28/(1-E27),-1)</f>
        <v>4559000</v>
      </c>
      <c r="F28" s="110">
        <f>ROUNDDOWN(IF(E28*F27&gt;G27,G27,E28*F27),-1)</f>
        <v>410310</v>
      </c>
      <c r="G28" s="111"/>
      <c r="H28" s="112">
        <f>ROUNDDOWN(IF(E28*H27&gt;I27,I27,E28*H27),-1)</f>
        <v>100000</v>
      </c>
      <c r="I28" s="113"/>
      <c r="J28" s="112">
        <f>ROUNDDOWN(IF(E28*J27&gt;K27,K27,E28*J27),-1)</f>
        <v>300000</v>
      </c>
      <c r="K28" s="113"/>
      <c r="L28" s="110">
        <f>ROUNDDOWN(IF(N28*L27&gt;M27,M27,N28*L27),-1)</f>
        <v>150000</v>
      </c>
      <c r="M28" s="111"/>
      <c r="N28" s="23">
        <f>E28-F28-H28-J28</f>
        <v>3748690</v>
      </c>
      <c r="O28" s="22">
        <f>E28-F28-H28-J28-L28</f>
        <v>3598690</v>
      </c>
      <c r="P28" s="110">
        <f>ROUNDDOWN(IF(N28*P27&gt;Q27,Q27,N28*P27),-1)</f>
        <v>74970</v>
      </c>
      <c r="Q28" s="111"/>
      <c r="R28" s="110">
        <f>ROUNDDOWN(IF(N28*R27&gt;S27,S27,N28*R27),-1)</f>
        <v>10000</v>
      </c>
      <c r="S28" s="111"/>
      <c r="T28" s="110">
        <f>ROUNDDOWN(IF(N28*T27&gt;U27,U27,N28*T27),-1)</f>
        <v>60000</v>
      </c>
      <c r="U28" s="111"/>
      <c r="V28" s="158">
        <f>O28-P28-R28-T28</f>
        <v>3453720</v>
      </c>
      <c r="W28" s="21"/>
      <c r="X28" s="20">
        <f>E28*X27</f>
        <v>319130.00000000006</v>
      </c>
      <c r="Y28" s="20">
        <f>E28*Y27</f>
        <v>0</v>
      </c>
      <c r="Z28" s="20">
        <f>(E28-H28)*Z27</f>
        <v>133770</v>
      </c>
      <c r="AA28" s="19">
        <f>(E28*E27)*AA27</f>
        <v>0</v>
      </c>
      <c r="AB28" s="19">
        <f>F28*AB27</f>
        <v>0</v>
      </c>
      <c r="AC28" s="19">
        <f>H28*AC27</f>
        <v>100000</v>
      </c>
      <c r="AD28" s="19">
        <f>J28*AD27</f>
        <v>300000</v>
      </c>
      <c r="AE28" s="19">
        <f>L28*AE27</f>
        <v>75000</v>
      </c>
      <c r="AF28" s="19">
        <v>0</v>
      </c>
      <c r="AG28" s="16">
        <v>15000</v>
      </c>
      <c r="AH28" s="18">
        <f>E28-X28-Y28-Z28-AA28-AE28-AB28-AC28-AD28-AF28</f>
        <v>3631100</v>
      </c>
      <c r="AI28" s="18">
        <f>E28-X28-Y28-Z28-AA28-AB28-AC28-AD28-AE28-AF28-AG28</f>
        <v>3616100</v>
      </c>
      <c r="AJ28" s="17">
        <f>AI28-AK28</f>
        <v>102100</v>
      </c>
      <c r="AK28" s="16">
        <v>3514000</v>
      </c>
      <c r="AL28" s="15">
        <f>AJ28/AK28</f>
        <v>2.9055207740466705E-2</v>
      </c>
      <c r="AM28" s="14">
        <f>1-O28/(AK28-AQ28-AR28-AS28)</f>
        <v>-2.410073989755257E-2</v>
      </c>
      <c r="AN28" s="114">
        <f>AN26-AO26</f>
        <v>7.1090151348980335E-3</v>
      </c>
      <c r="AO28" s="115"/>
      <c r="AQ28" s="13">
        <v>0</v>
      </c>
      <c r="AR28" s="12">
        <f>AB28*AR27</f>
        <v>0</v>
      </c>
      <c r="AS28" s="12">
        <v>0</v>
      </c>
      <c r="AT28" s="12"/>
      <c r="AU28" s="11">
        <f>AI28-(AK28-AQ28-AR28-AS28-AT28)</f>
        <v>102100</v>
      </c>
      <c r="AV28" s="8">
        <f>AU28/AK28</f>
        <v>2.9055207740466705E-2</v>
      </c>
      <c r="AX28" s="10">
        <v>0</v>
      </c>
      <c r="AY28" s="10">
        <v>0</v>
      </c>
      <c r="AZ28" s="9">
        <f>AU28-AX28-AY28</f>
        <v>102100</v>
      </c>
      <c r="BA28" s="8">
        <f>AZ28/AK28</f>
        <v>2.9055207740466705E-2</v>
      </c>
      <c r="BC28" s="49"/>
      <c r="BD28" s="50"/>
      <c r="BF28" s="6"/>
    </row>
    <row r="29" spans="1:58" x14ac:dyDescent="0.3">
      <c r="A29" s="43"/>
      <c r="B29" s="43"/>
      <c r="C29" s="43"/>
      <c r="D29" s="5">
        <v>3799000</v>
      </c>
      <c r="E29" s="4">
        <f>ROUNDDOWN(D29/(1-E27),-1)</f>
        <v>3799000</v>
      </c>
      <c r="F29" s="138">
        <f>E28-F28</f>
        <v>4148690</v>
      </c>
      <c r="G29" s="138"/>
      <c r="H29" s="157">
        <f>E28-F28-H28</f>
        <v>4048690</v>
      </c>
      <c r="I29" s="157"/>
      <c r="O29" s="4"/>
      <c r="P29" s="162">
        <f>SUM(P28:U28)</f>
        <v>144970</v>
      </c>
      <c r="Q29" s="163"/>
      <c r="R29" s="163"/>
      <c r="S29" s="163"/>
      <c r="T29" s="163"/>
      <c r="U29" s="164"/>
      <c r="V29" s="4"/>
    </row>
    <row r="30" spans="1:58" x14ac:dyDescent="0.3">
      <c r="A30" s="43"/>
      <c r="B30" s="43"/>
      <c r="C30" s="43"/>
      <c r="D30" s="5"/>
      <c r="E30" s="4"/>
      <c r="F30" s="42"/>
      <c r="G30" s="42"/>
      <c r="I30" s="54"/>
      <c r="O30" s="4"/>
      <c r="P30" s="4"/>
      <c r="Q30" s="4"/>
      <c r="R30" s="4"/>
      <c r="S30" s="4"/>
      <c r="T30" s="4"/>
      <c r="U30" s="4"/>
      <c r="V30" s="4"/>
    </row>
    <row r="31" spans="1:58" x14ac:dyDescent="0.3">
      <c r="A31" s="43"/>
      <c r="B31" s="43"/>
      <c r="C31" s="43"/>
      <c r="D31" s="5"/>
      <c r="E31" s="4"/>
      <c r="F31" s="42"/>
      <c r="G31" s="42"/>
      <c r="I31" s="54"/>
    </row>
    <row r="32" spans="1:58" x14ac:dyDescent="0.3">
      <c r="A32" s="43"/>
      <c r="B32" s="43"/>
      <c r="C32" s="43"/>
      <c r="D32" s="5"/>
    </row>
    <row r="33" spans="1:58" s="64" customFormat="1" ht="30" customHeight="1" x14ac:dyDescent="0.3">
      <c r="A33" s="61" t="s">
        <v>169</v>
      </c>
      <c r="B33" s="62"/>
      <c r="C33" s="62"/>
      <c r="D33" s="63"/>
      <c r="AL33" s="65"/>
      <c r="AM33" s="65"/>
      <c r="AN33" s="65"/>
      <c r="AO33" s="65"/>
    </row>
    <row r="34" spans="1:58" x14ac:dyDescent="0.3">
      <c r="A34" s="43"/>
      <c r="B34" s="43"/>
      <c r="C34" s="43"/>
      <c r="D34" s="5"/>
    </row>
    <row r="35" spans="1:58" ht="27" customHeight="1" x14ac:dyDescent="0.3">
      <c r="A35" s="153" t="s">
        <v>34</v>
      </c>
      <c r="B35" s="127" t="s">
        <v>130</v>
      </c>
      <c r="C35" s="128"/>
      <c r="D35" s="128"/>
      <c r="E35" s="128"/>
      <c r="F35" s="128"/>
      <c r="G35" s="128"/>
      <c r="H35" s="128"/>
      <c r="I35" s="128"/>
      <c r="J35" s="128"/>
      <c r="K35" s="128"/>
      <c r="L35" s="128"/>
      <c r="M35" s="156"/>
      <c r="N35" s="127" t="s">
        <v>141</v>
      </c>
      <c r="O35" s="156"/>
      <c r="P35" s="165" t="s">
        <v>167</v>
      </c>
      <c r="Q35" s="166"/>
      <c r="R35" s="166"/>
      <c r="S35" s="166"/>
      <c r="T35" s="166"/>
      <c r="U35" s="166"/>
      <c r="V35" s="167"/>
      <c r="X35" s="130" t="s">
        <v>33</v>
      </c>
      <c r="Y35" s="131"/>
      <c r="Z35" s="131"/>
      <c r="AA35" s="131"/>
      <c r="AB35" s="131"/>
      <c r="AC35" s="131"/>
      <c r="AD35" s="131"/>
      <c r="AE35" s="131"/>
      <c r="AF35" s="131"/>
      <c r="AG35" s="131"/>
      <c r="AH35" s="131"/>
      <c r="AI35" s="131"/>
      <c r="AJ35" s="131"/>
      <c r="AK35" s="131"/>
      <c r="AL35" s="132"/>
      <c r="AM35" s="37"/>
      <c r="AQ35" s="130" t="s">
        <v>32</v>
      </c>
      <c r="AR35" s="131"/>
      <c r="AS35" s="131"/>
      <c r="AT35" s="131"/>
      <c r="AU35" s="131"/>
      <c r="AV35" s="132"/>
      <c r="AX35" s="130" t="s">
        <v>31</v>
      </c>
      <c r="AY35" s="131"/>
      <c r="AZ35" s="131"/>
      <c r="BA35" s="132"/>
      <c r="BC35" s="47" t="s">
        <v>36</v>
      </c>
      <c r="BD35" s="48"/>
      <c r="BF35" s="36"/>
    </row>
    <row r="36" spans="1:58" ht="32.25" customHeight="1" x14ac:dyDescent="0.3">
      <c r="A36" s="153"/>
      <c r="B36" s="133" t="s">
        <v>30</v>
      </c>
      <c r="C36" s="133" t="s">
        <v>29</v>
      </c>
      <c r="D36" s="116" t="s">
        <v>27</v>
      </c>
      <c r="E36" s="34" t="s">
        <v>26</v>
      </c>
      <c r="F36" s="122" t="s">
        <v>63</v>
      </c>
      <c r="G36" s="123"/>
      <c r="H36" s="122" t="s">
        <v>50</v>
      </c>
      <c r="I36" s="123"/>
      <c r="J36" s="122" t="s">
        <v>146</v>
      </c>
      <c r="K36" s="123"/>
      <c r="L36" s="122" t="s">
        <v>25</v>
      </c>
      <c r="M36" s="123"/>
      <c r="N36" s="106" t="s">
        <v>23</v>
      </c>
      <c r="O36" s="151" t="s">
        <v>137</v>
      </c>
      <c r="P36" s="122" t="s">
        <v>136</v>
      </c>
      <c r="Q36" s="123"/>
      <c r="R36" s="122" t="s">
        <v>143</v>
      </c>
      <c r="S36" s="123"/>
      <c r="T36" s="122" t="s">
        <v>144</v>
      </c>
      <c r="U36" s="123"/>
      <c r="V36" s="159" t="s">
        <v>142</v>
      </c>
      <c r="W36" s="21"/>
      <c r="X36" s="34" t="s">
        <v>21</v>
      </c>
      <c r="Y36" s="34" t="s">
        <v>20</v>
      </c>
      <c r="Z36" s="34" t="s">
        <v>95</v>
      </c>
      <c r="AA36" s="34" t="s">
        <v>19</v>
      </c>
      <c r="AB36" s="34" t="s">
        <v>18</v>
      </c>
      <c r="AC36" s="34" t="s">
        <v>48</v>
      </c>
      <c r="AD36" s="34" t="s">
        <v>49</v>
      </c>
      <c r="AE36" s="34" t="s">
        <v>17</v>
      </c>
      <c r="AF36" s="106" t="s">
        <v>16</v>
      </c>
      <c r="AG36" s="106" t="s">
        <v>15</v>
      </c>
      <c r="AH36" s="106" t="s">
        <v>14</v>
      </c>
      <c r="AI36" s="106" t="s">
        <v>13</v>
      </c>
      <c r="AJ36" s="106" t="s">
        <v>12</v>
      </c>
      <c r="AK36" s="116" t="s">
        <v>11</v>
      </c>
      <c r="AL36" s="118" t="s">
        <v>10</v>
      </c>
      <c r="AM36" s="120" t="s">
        <v>9</v>
      </c>
      <c r="AN36" s="35">
        <f>(1-O38/E38)</f>
        <v>0.21641159615708749</v>
      </c>
      <c r="AO36" s="35">
        <f>1-(AH38+AQ38)/E38</f>
        <v>0.18798247092533293</v>
      </c>
      <c r="AQ36" s="106" t="s">
        <v>8</v>
      </c>
      <c r="AR36" s="106" t="s">
        <v>7</v>
      </c>
      <c r="AS36" s="106" t="s">
        <v>37</v>
      </c>
      <c r="AT36" s="106" t="s">
        <v>38</v>
      </c>
      <c r="AU36" s="106" t="s">
        <v>6</v>
      </c>
      <c r="AV36" s="106" t="s">
        <v>5</v>
      </c>
      <c r="AX36" s="106" t="s">
        <v>4</v>
      </c>
      <c r="AY36" s="106" t="s">
        <v>3</v>
      </c>
      <c r="AZ36" s="106" t="s">
        <v>2</v>
      </c>
      <c r="BA36" s="106" t="s">
        <v>1</v>
      </c>
      <c r="BC36" s="108"/>
      <c r="BD36" s="108"/>
      <c r="BF36" s="106"/>
    </row>
    <row r="37" spans="1:58" ht="27" customHeight="1" x14ac:dyDescent="0.3">
      <c r="A37" s="154" t="s">
        <v>148</v>
      </c>
      <c r="B37" s="134"/>
      <c r="C37" s="134"/>
      <c r="D37" s="117"/>
      <c r="E37" s="31">
        <v>0</v>
      </c>
      <c r="F37" s="33">
        <v>0.09</v>
      </c>
      <c r="G37" s="32">
        <v>1000000</v>
      </c>
      <c r="H37" s="31">
        <v>1</v>
      </c>
      <c r="I37" s="32">
        <v>100000</v>
      </c>
      <c r="J37" s="31">
        <v>1</v>
      </c>
      <c r="K37" s="32">
        <v>500000</v>
      </c>
      <c r="L37" s="31">
        <v>7.0000000000000007E-2</v>
      </c>
      <c r="M37" s="32">
        <v>150000</v>
      </c>
      <c r="N37" s="107"/>
      <c r="O37" s="152"/>
      <c r="P37" s="31">
        <v>0.02</v>
      </c>
      <c r="Q37" s="32">
        <v>1000000</v>
      </c>
      <c r="R37" s="31">
        <v>0.05</v>
      </c>
      <c r="S37" s="32">
        <v>10000</v>
      </c>
      <c r="T37" s="31">
        <v>0.02</v>
      </c>
      <c r="U37" s="32">
        <v>60000</v>
      </c>
      <c r="V37" s="159"/>
      <c r="W37" s="21"/>
      <c r="X37" s="31">
        <f>IF(C38="노트북",7%,IF(C38="저장&amp;주변기기",9%,IF(C38="모니터",7%)))</f>
        <v>7.0000000000000007E-2</v>
      </c>
      <c r="Y37" s="31">
        <v>0</v>
      </c>
      <c r="Z37" s="31">
        <v>0.03</v>
      </c>
      <c r="AA37" s="31">
        <f>IF(F37=0%,20%,0%)</f>
        <v>0</v>
      </c>
      <c r="AB37" s="30">
        <v>0</v>
      </c>
      <c r="AC37" s="30">
        <v>1</v>
      </c>
      <c r="AD37" s="53">
        <v>1</v>
      </c>
      <c r="AE37" s="29">
        <v>0.5</v>
      </c>
      <c r="AF37" s="107"/>
      <c r="AG37" s="107"/>
      <c r="AH37" s="107"/>
      <c r="AI37" s="107"/>
      <c r="AJ37" s="107"/>
      <c r="AK37" s="117"/>
      <c r="AL37" s="119"/>
      <c r="AM37" s="121"/>
      <c r="AN37" s="55" t="s">
        <v>52</v>
      </c>
      <c r="AO37" s="56">
        <f>AN36-AO36</f>
        <v>2.842912523175456E-2</v>
      </c>
      <c r="AQ37" s="107"/>
      <c r="AR37" s="107"/>
      <c r="AS37" s="107"/>
      <c r="AT37" s="107"/>
      <c r="AU37" s="107"/>
      <c r="AV37" s="107"/>
      <c r="AW37" s="39"/>
      <c r="AX37" s="107"/>
      <c r="AY37" s="107"/>
      <c r="AZ37" s="107"/>
      <c r="BA37" s="107"/>
      <c r="BC37" s="109"/>
      <c r="BD37" s="109"/>
      <c r="BF37" s="107"/>
    </row>
    <row r="38" spans="1:58" ht="27" customHeight="1" x14ac:dyDescent="0.3">
      <c r="A38" s="28">
        <v>4334604127</v>
      </c>
      <c r="B38" s="38" t="s">
        <v>35</v>
      </c>
      <c r="C38" s="27" t="s">
        <v>0</v>
      </c>
      <c r="D38" s="25">
        <v>5933000</v>
      </c>
      <c r="E38" s="24">
        <f>ROUNDDOWN(D38/(1-E37),-1)</f>
        <v>5933000</v>
      </c>
      <c r="F38" s="110">
        <f>ROUNDDOWN(IF(E38*F37&gt;G37,G37,E38*F37),-1)</f>
        <v>533970</v>
      </c>
      <c r="G38" s="111"/>
      <c r="H38" s="112">
        <f>ROUNDDOWN(IF(E38*H37&gt;I37,I37,E38*H37),-1)</f>
        <v>100000</v>
      </c>
      <c r="I38" s="113"/>
      <c r="J38" s="112">
        <f>ROUNDDOWN(IF(E38*J37&gt;K37,K37,E38*J37),-1)</f>
        <v>500000</v>
      </c>
      <c r="K38" s="113"/>
      <c r="L38" s="110">
        <f>ROUNDDOWN(IF(N38*L37&gt;M37,M37,N38*L37),-1)</f>
        <v>150000</v>
      </c>
      <c r="M38" s="111"/>
      <c r="N38" s="23">
        <f>E38-F38-H38-J38</f>
        <v>4799030</v>
      </c>
      <c r="O38" s="22">
        <f>E38-F38-H38-J38-L38</f>
        <v>4649030</v>
      </c>
      <c r="P38" s="110">
        <f>ROUNDDOWN(IF(N38*P37&gt;Q37,Q37,N38*P37),-1)</f>
        <v>95980</v>
      </c>
      <c r="Q38" s="111"/>
      <c r="R38" s="110">
        <f>ROUNDDOWN(IF(N38*R37&gt;S37,S37,N38*R37),-1)</f>
        <v>10000</v>
      </c>
      <c r="S38" s="111"/>
      <c r="T38" s="110">
        <f>ROUNDDOWN(IF(N38*T37&gt;U37,U37,N38*T37),-1)</f>
        <v>60000</v>
      </c>
      <c r="U38" s="111"/>
      <c r="V38" s="158">
        <f>O38-P38-R38-T38</f>
        <v>4483050</v>
      </c>
      <c r="W38" s="21"/>
      <c r="X38" s="20">
        <f>E38*X37</f>
        <v>415310.00000000006</v>
      </c>
      <c r="Y38" s="20">
        <f>E38*Y37</f>
        <v>0</v>
      </c>
      <c r="Z38" s="20">
        <f>(E38-H38)*Z37</f>
        <v>174990</v>
      </c>
      <c r="AA38" s="19">
        <f>(E38*E37)*AA37</f>
        <v>0</v>
      </c>
      <c r="AB38" s="19">
        <f>F38*AB37</f>
        <v>0</v>
      </c>
      <c r="AC38" s="19">
        <f>H38*AC37</f>
        <v>100000</v>
      </c>
      <c r="AD38" s="19">
        <f>J38*AD37</f>
        <v>500000</v>
      </c>
      <c r="AE38" s="19">
        <f>L38*AE37</f>
        <v>75000</v>
      </c>
      <c r="AF38" s="19">
        <v>0</v>
      </c>
      <c r="AG38" s="16">
        <v>15000</v>
      </c>
      <c r="AH38" s="18">
        <f>E38-X38-Y38-Z38-AA38-AE38-AB38-AC38-AD38-AF38</f>
        <v>4667700</v>
      </c>
      <c r="AI38" s="18">
        <f>E38-X38-Y38-Z38-AA38-AB38-AC38-AD38-AE38-AF38-AG38</f>
        <v>4652700</v>
      </c>
      <c r="AJ38" s="17">
        <f>AI38-AK38</f>
        <v>96700</v>
      </c>
      <c r="AK38" s="16">
        <v>4556000</v>
      </c>
      <c r="AL38" s="15">
        <f>AJ38/AK38</f>
        <v>2.1224758560140475E-2</v>
      </c>
      <c r="AM38" s="14">
        <f>1-O38/(AK38-AQ38-AR38-AS38)</f>
        <v>-5.5158874262369428E-2</v>
      </c>
      <c r="AN38" s="114">
        <f>(1-O38/E38)-(1-(AH38)/E38)</f>
        <v>3.1468060003371212E-3</v>
      </c>
      <c r="AO38" s="115"/>
      <c r="AQ38" s="13">
        <v>150000</v>
      </c>
      <c r="AR38" s="12">
        <f>AB38*AR37</f>
        <v>0</v>
      </c>
      <c r="AS38" s="12">
        <v>0</v>
      </c>
      <c r="AT38" s="12"/>
      <c r="AU38" s="11">
        <f>AI38-(AK38-AQ38-AR38-AS38-AT38)</f>
        <v>246700</v>
      </c>
      <c r="AV38" s="8">
        <f>AU38/AK38</f>
        <v>5.4148375768217738E-2</v>
      </c>
      <c r="AX38" s="10">
        <v>0</v>
      </c>
      <c r="AY38" s="10">
        <v>0</v>
      </c>
      <c r="AZ38" s="9">
        <f>AU38-AX38-AY38</f>
        <v>246700</v>
      </c>
      <c r="BA38" s="8">
        <f>AZ38/AK38</f>
        <v>5.4148375768217738E-2</v>
      </c>
      <c r="BC38" s="49"/>
      <c r="BD38" s="50"/>
      <c r="BF38" s="6"/>
    </row>
    <row r="39" spans="1:58" x14ac:dyDescent="0.3">
      <c r="D39" s="5">
        <v>4899000</v>
      </c>
      <c r="E39" s="4">
        <f>ROUNDDOWN(D39/(1-E37),-1)</f>
        <v>4899000</v>
      </c>
      <c r="F39" s="138">
        <f>E38-F38</f>
        <v>5399030</v>
      </c>
      <c r="G39" s="138"/>
      <c r="H39" s="157">
        <f>E38-F38-H38</f>
        <v>5299030</v>
      </c>
      <c r="I39" s="157"/>
      <c r="O39" s="4"/>
      <c r="P39" s="162">
        <f>SUM(P38:U38)</f>
        <v>165980</v>
      </c>
      <c r="Q39" s="163"/>
      <c r="R39" s="163"/>
      <c r="S39" s="163"/>
      <c r="T39" s="163"/>
      <c r="U39" s="164"/>
      <c r="V39" s="4"/>
      <c r="AB39" s="3">
        <f>F39*AB37</f>
        <v>0</v>
      </c>
      <c r="AC39" s="3"/>
      <c r="AD39" s="3"/>
    </row>
    <row r="40" spans="1:58" x14ac:dyDescent="0.3">
      <c r="D40" s="5"/>
      <c r="E40" s="4"/>
      <c r="F40" s="42"/>
      <c r="G40" s="42"/>
      <c r="I40" s="54"/>
      <c r="O40" s="4"/>
      <c r="P40" s="4"/>
      <c r="Q40" s="4"/>
      <c r="R40" s="4"/>
      <c r="S40" s="4"/>
      <c r="T40" s="4"/>
      <c r="U40" s="4"/>
      <c r="V40" s="4"/>
      <c r="AB40" s="3"/>
      <c r="AC40" s="3"/>
      <c r="AD40" s="3"/>
    </row>
    <row r="41" spans="1:58" x14ac:dyDescent="0.3">
      <c r="D41" s="5"/>
      <c r="E41" s="4"/>
      <c r="F41" s="42"/>
      <c r="G41" s="42"/>
      <c r="I41" s="54"/>
      <c r="O41" s="4"/>
      <c r="P41" s="4"/>
      <c r="Q41" s="4"/>
      <c r="R41" s="4"/>
      <c r="S41" s="4"/>
      <c r="T41" s="4"/>
      <c r="U41" s="4"/>
      <c r="V41" s="4"/>
      <c r="AB41" s="3"/>
      <c r="AC41" s="3"/>
      <c r="AD41" s="3"/>
    </row>
    <row r="42" spans="1:58" x14ac:dyDescent="0.3">
      <c r="D42" s="5"/>
      <c r="E42" s="4"/>
      <c r="F42" s="42"/>
      <c r="G42" s="42"/>
      <c r="I42" s="54"/>
      <c r="AB42" s="3"/>
      <c r="AC42" s="3"/>
      <c r="AD42" s="3"/>
    </row>
    <row r="43" spans="1:58" s="93" customFormat="1" ht="30" customHeight="1" x14ac:dyDescent="0.3">
      <c r="A43" s="90" t="s">
        <v>168</v>
      </c>
      <c r="B43" s="91"/>
      <c r="C43" s="91"/>
      <c r="D43" s="92"/>
      <c r="AL43" s="94"/>
      <c r="AM43" s="94"/>
      <c r="AN43" s="94"/>
      <c r="AO43" s="94"/>
    </row>
    <row r="44" spans="1:58" x14ac:dyDescent="0.3">
      <c r="A44" s="43"/>
      <c r="B44" s="43"/>
      <c r="C44" s="43"/>
      <c r="D44" s="5"/>
    </row>
    <row r="45" spans="1:58" ht="27" customHeight="1" x14ac:dyDescent="0.3">
      <c r="A45" s="153" t="s">
        <v>34</v>
      </c>
      <c r="B45" s="127" t="s">
        <v>130</v>
      </c>
      <c r="C45" s="128"/>
      <c r="D45" s="128"/>
      <c r="E45" s="128"/>
      <c r="F45" s="128"/>
      <c r="G45" s="128"/>
      <c r="H45" s="128"/>
      <c r="I45" s="128"/>
      <c r="J45" s="128"/>
      <c r="K45" s="128"/>
      <c r="L45" s="128"/>
      <c r="M45" s="156"/>
      <c r="N45" s="127" t="s">
        <v>141</v>
      </c>
      <c r="O45" s="156"/>
      <c r="P45" s="165" t="s">
        <v>167</v>
      </c>
      <c r="Q45" s="166"/>
      <c r="R45" s="166"/>
      <c r="S45" s="166"/>
      <c r="T45" s="166"/>
      <c r="U45" s="166"/>
      <c r="V45" s="167"/>
      <c r="X45" s="130" t="s">
        <v>33</v>
      </c>
      <c r="Y45" s="131"/>
      <c r="Z45" s="131"/>
      <c r="AA45" s="131"/>
      <c r="AB45" s="131"/>
      <c r="AC45" s="131"/>
      <c r="AD45" s="131"/>
      <c r="AE45" s="131"/>
      <c r="AF45" s="131"/>
      <c r="AG45" s="131"/>
      <c r="AH45" s="131"/>
      <c r="AI45" s="131"/>
      <c r="AJ45" s="131"/>
      <c r="AK45" s="131"/>
      <c r="AL45" s="132"/>
      <c r="AM45" s="37"/>
      <c r="AQ45" s="130" t="s">
        <v>32</v>
      </c>
      <c r="AR45" s="131"/>
      <c r="AS45" s="131"/>
      <c r="AT45" s="131"/>
      <c r="AU45" s="131"/>
      <c r="AV45" s="132"/>
      <c r="AX45" s="130" t="s">
        <v>31</v>
      </c>
      <c r="AY45" s="131"/>
      <c r="AZ45" s="131"/>
      <c r="BA45" s="132"/>
      <c r="BC45" s="47" t="s">
        <v>36</v>
      </c>
      <c r="BD45" s="48"/>
      <c r="BF45" s="36"/>
    </row>
    <row r="46" spans="1:58" ht="32.25" customHeight="1" x14ac:dyDescent="0.3">
      <c r="A46" s="153"/>
      <c r="B46" s="133" t="s">
        <v>30</v>
      </c>
      <c r="C46" s="133" t="s">
        <v>29</v>
      </c>
      <c r="D46" s="116" t="s">
        <v>27</v>
      </c>
      <c r="E46" s="34" t="s">
        <v>26</v>
      </c>
      <c r="F46" s="122" t="s">
        <v>63</v>
      </c>
      <c r="G46" s="123"/>
      <c r="H46" s="122" t="s">
        <v>50</v>
      </c>
      <c r="I46" s="123"/>
      <c r="J46" s="122" t="s">
        <v>146</v>
      </c>
      <c r="K46" s="123"/>
      <c r="L46" s="122" t="s">
        <v>25</v>
      </c>
      <c r="M46" s="123"/>
      <c r="N46" s="106" t="s">
        <v>23</v>
      </c>
      <c r="O46" s="151" t="s">
        <v>137</v>
      </c>
      <c r="P46" s="122" t="s">
        <v>136</v>
      </c>
      <c r="Q46" s="123"/>
      <c r="R46" s="122" t="s">
        <v>143</v>
      </c>
      <c r="S46" s="123"/>
      <c r="T46" s="122" t="s">
        <v>144</v>
      </c>
      <c r="U46" s="123"/>
      <c r="V46" s="159" t="s">
        <v>142</v>
      </c>
      <c r="W46" s="21"/>
      <c r="X46" s="34" t="s">
        <v>21</v>
      </c>
      <c r="Y46" s="34" t="s">
        <v>20</v>
      </c>
      <c r="Z46" s="34" t="s">
        <v>95</v>
      </c>
      <c r="AA46" s="34" t="s">
        <v>19</v>
      </c>
      <c r="AB46" s="34" t="s">
        <v>18</v>
      </c>
      <c r="AC46" s="34" t="s">
        <v>48</v>
      </c>
      <c r="AD46" s="34" t="s">
        <v>49</v>
      </c>
      <c r="AE46" s="34" t="s">
        <v>17</v>
      </c>
      <c r="AF46" s="106" t="s">
        <v>16</v>
      </c>
      <c r="AG46" s="106" t="s">
        <v>15</v>
      </c>
      <c r="AH46" s="106" t="s">
        <v>14</v>
      </c>
      <c r="AI46" s="106" t="s">
        <v>13</v>
      </c>
      <c r="AJ46" s="106" t="s">
        <v>12</v>
      </c>
      <c r="AK46" s="116" t="s">
        <v>11</v>
      </c>
      <c r="AL46" s="118" t="s">
        <v>10</v>
      </c>
      <c r="AM46" s="120" t="s">
        <v>9</v>
      </c>
      <c r="AN46" s="35">
        <f>(1-O48/E48)</f>
        <v>0.16883094546017441</v>
      </c>
      <c r="AO46" s="35">
        <f>1-(AH48+AQ48)/E48</f>
        <v>0.16048512810810511</v>
      </c>
      <c r="AQ46" s="106" t="s">
        <v>8</v>
      </c>
      <c r="AR46" s="106" t="s">
        <v>7</v>
      </c>
      <c r="AS46" s="106" t="s">
        <v>37</v>
      </c>
      <c r="AT46" s="106" t="s">
        <v>38</v>
      </c>
      <c r="AU46" s="106" t="s">
        <v>6</v>
      </c>
      <c r="AV46" s="106" t="s">
        <v>5</v>
      </c>
      <c r="AX46" s="106" t="s">
        <v>4</v>
      </c>
      <c r="AY46" s="106" t="s">
        <v>3</v>
      </c>
      <c r="AZ46" s="106" t="s">
        <v>2</v>
      </c>
      <c r="BA46" s="106" t="s">
        <v>1</v>
      </c>
      <c r="BC46" s="108"/>
      <c r="BD46" s="108"/>
      <c r="BF46" s="106"/>
    </row>
    <row r="47" spans="1:58" ht="27" customHeight="1" x14ac:dyDescent="0.3">
      <c r="A47" s="154" t="s">
        <v>149</v>
      </c>
      <c r="B47" s="134"/>
      <c r="C47" s="134"/>
      <c r="D47" s="117"/>
      <c r="E47" s="31">
        <v>0</v>
      </c>
      <c r="F47" s="33">
        <v>0.09</v>
      </c>
      <c r="G47" s="32">
        <v>1000000</v>
      </c>
      <c r="H47" s="31">
        <v>1</v>
      </c>
      <c r="I47" s="32">
        <v>100000</v>
      </c>
      <c r="J47" s="31">
        <v>1</v>
      </c>
      <c r="K47" s="32">
        <v>300000</v>
      </c>
      <c r="L47" s="31">
        <v>7.0000000000000007E-2</v>
      </c>
      <c r="M47" s="32">
        <v>150000</v>
      </c>
      <c r="N47" s="107"/>
      <c r="O47" s="152"/>
      <c r="P47" s="31">
        <v>0.02</v>
      </c>
      <c r="Q47" s="32">
        <v>1000000</v>
      </c>
      <c r="R47" s="31">
        <v>0.05</v>
      </c>
      <c r="S47" s="32">
        <v>10000</v>
      </c>
      <c r="T47" s="31">
        <v>0.02</v>
      </c>
      <c r="U47" s="32">
        <v>60000</v>
      </c>
      <c r="V47" s="159"/>
      <c r="W47" s="21"/>
      <c r="X47" s="31">
        <f>IF(C48="노트북",7%,IF(C48="저장&amp;주변기기",9%,IF(C48="모니터",7%)))</f>
        <v>7.0000000000000007E-2</v>
      </c>
      <c r="Y47" s="31">
        <v>0</v>
      </c>
      <c r="Z47" s="31">
        <v>0.03</v>
      </c>
      <c r="AA47" s="31">
        <f>IF(F47=0%,20%,0%)</f>
        <v>0</v>
      </c>
      <c r="AB47" s="30">
        <v>0</v>
      </c>
      <c r="AC47" s="30">
        <v>1</v>
      </c>
      <c r="AD47" s="53">
        <v>0.83333299999999999</v>
      </c>
      <c r="AE47" s="29">
        <v>0.5</v>
      </c>
      <c r="AF47" s="107"/>
      <c r="AG47" s="107"/>
      <c r="AH47" s="107"/>
      <c r="AI47" s="107"/>
      <c r="AJ47" s="107"/>
      <c r="AK47" s="117"/>
      <c r="AL47" s="119"/>
      <c r="AM47" s="121"/>
      <c r="AN47" s="55" t="s">
        <v>52</v>
      </c>
      <c r="AO47" s="56">
        <f>AN46-AO46</f>
        <v>8.3458173520692958E-3</v>
      </c>
      <c r="AQ47" s="107"/>
      <c r="AR47" s="107"/>
      <c r="AS47" s="107"/>
      <c r="AT47" s="107"/>
      <c r="AU47" s="107"/>
      <c r="AV47" s="107"/>
      <c r="AW47" s="39"/>
      <c r="AX47" s="107"/>
      <c r="AY47" s="117"/>
      <c r="AZ47" s="107"/>
      <c r="BA47" s="107"/>
      <c r="BC47" s="109"/>
      <c r="BD47" s="109"/>
      <c r="BF47" s="107"/>
    </row>
    <row r="48" spans="1:58" ht="27" customHeight="1" x14ac:dyDescent="0.3">
      <c r="A48" s="28">
        <v>4660412701</v>
      </c>
      <c r="B48" s="38" t="s">
        <v>35</v>
      </c>
      <c r="C48" s="27" t="s">
        <v>0</v>
      </c>
      <c r="D48" s="25">
        <v>6976920</v>
      </c>
      <c r="E48" s="24">
        <f>ROUNDDOWN(D48/(1-E47),-1)</f>
        <v>6976920</v>
      </c>
      <c r="F48" s="110">
        <f>ROUNDDOWN(IF(E48*F47&gt;G47,G47,E48*F47),-1)</f>
        <v>627920</v>
      </c>
      <c r="G48" s="111"/>
      <c r="H48" s="112">
        <f>ROUNDDOWN(IF(E48*H47&gt;I47,I47,E48*H47),-1)</f>
        <v>100000</v>
      </c>
      <c r="I48" s="113"/>
      <c r="J48" s="112">
        <f>ROUNDDOWN(IF(E48*J47&gt;K47,K47,E48*J47),-1)</f>
        <v>300000</v>
      </c>
      <c r="K48" s="113"/>
      <c r="L48" s="110">
        <f>ROUNDDOWN(IF(N48*L47&gt;M47,M47,N48*L47),-1)</f>
        <v>150000</v>
      </c>
      <c r="M48" s="111"/>
      <c r="N48" s="23">
        <f>E48-F48-H48-J48</f>
        <v>5949000</v>
      </c>
      <c r="O48" s="22">
        <f>E48-F48-H48-J48-L48</f>
        <v>5799000</v>
      </c>
      <c r="P48" s="110">
        <f>ROUNDDOWN(IF(N48*P47&gt;Q47,Q47,N48*P47),-1)</f>
        <v>118980</v>
      </c>
      <c r="Q48" s="111"/>
      <c r="R48" s="110">
        <f>ROUNDDOWN(IF(N48*R47&gt;S47,S47,N48*R47),-1)</f>
        <v>10000</v>
      </c>
      <c r="S48" s="111"/>
      <c r="T48" s="110">
        <f>ROUNDDOWN(IF(N48*T47&gt;U47,U47,N48*T47),-1)</f>
        <v>60000</v>
      </c>
      <c r="U48" s="111"/>
      <c r="V48" s="158">
        <f>O48-P48-R48-T48</f>
        <v>5610020</v>
      </c>
      <c r="W48" s="21"/>
      <c r="X48" s="20">
        <f>E48*X47</f>
        <v>488384.4</v>
      </c>
      <c r="Y48" s="20">
        <f>E48*Y47</f>
        <v>0</v>
      </c>
      <c r="Z48" s="20">
        <f>(E48-H48)*Z47</f>
        <v>206307.6</v>
      </c>
      <c r="AA48" s="19">
        <f>(E48*E47)*AA47</f>
        <v>0</v>
      </c>
      <c r="AB48" s="19">
        <f>F48*AB47</f>
        <v>0</v>
      </c>
      <c r="AC48" s="19">
        <f>H48*AC47</f>
        <v>100000</v>
      </c>
      <c r="AD48" s="19">
        <f>J48*AD47</f>
        <v>249999.9</v>
      </c>
      <c r="AE48" s="19">
        <f>L48*AE47</f>
        <v>75000</v>
      </c>
      <c r="AF48" s="19">
        <v>0</v>
      </c>
      <c r="AG48" s="16">
        <v>15000</v>
      </c>
      <c r="AH48" s="18">
        <f>E48-X48-Y48-Z48-AA48-AE48-AB48-AC48-AD48-AF48</f>
        <v>5857228.0999999996</v>
      </c>
      <c r="AI48" s="18">
        <f>E48-X48-Y48-Z48-AA48-AB48-AC48-AD48-AE48-AF48-AG48</f>
        <v>5842228.0999999996</v>
      </c>
      <c r="AJ48" s="17">
        <f>AI48-AK48</f>
        <v>348228.09999999963</v>
      </c>
      <c r="AK48" s="16">
        <v>5494000</v>
      </c>
      <c r="AL48" s="15">
        <f>AJ48/AK48</f>
        <v>6.3383345467782973E-2</v>
      </c>
      <c r="AM48" s="14">
        <f>1-O48/(AK48-AQ48-AR48-AS48)</f>
        <v>-5.5515107389879859E-2</v>
      </c>
      <c r="AN48" s="114">
        <f>(1-O48/E48)-(1-(AH48)/E48)</f>
        <v>8.3458173520692958E-3</v>
      </c>
      <c r="AO48" s="115"/>
      <c r="AQ48" s="13">
        <v>0</v>
      </c>
      <c r="AR48" s="12">
        <f>AB48*AR47</f>
        <v>0</v>
      </c>
      <c r="AS48" s="12">
        <v>0</v>
      </c>
      <c r="AT48" s="12"/>
      <c r="AU48" s="11">
        <f>AI48-(AK48-AQ48-AR48-AS48-AT48)</f>
        <v>348228.09999999963</v>
      </c>
      <c r="AV48" s="8">
        <f>AU48/AK48</f>
        <v>6.3383345467782973E-2</v>
      </c>
      <c r="AX48" s="10">
        <v>0</v>
      </c>
      <c r="AY48" s="10">
        <v>0</v>
      </c>
      <c r="AZ48" s="9">
        <f>AU48-AX48-AY48</f>
        <v>348228.09999999963</v>
      </c>
      <c r="BA48" s="8">
        <f>AZ48/AK48</f>
        <v>6.3383345467782973E-2</v>
      </c>
      <c r="BC48" s="49"/>
      <c r="BD48" s="50"/>
      <c r="BF48" s="6"/>
    </row>
    <row r="49" spans="1:58" x14ac:dyDescent="0.3">
      <c r="D49" s="5">
        <v>5999000</v>
      </c>
      <c r="E49" s="4">
        <f>ROUNDDOWN(D49/(1-E47),-1)</f>
        <v>5999000</v>
      </c>
      <c r="F49" s="138">
        <f>E48-F48</f>
        <v>6349000</v>
      </c>
      <c r="G49" s="138"/>
      <c r="H49" s="157">
        <f>E48-F48-H48</f>
        <v>6249000</v>
      </c>
      <c r="I49" s="157"/>
      <c r="O49" s="4"/>
      <c r="P49" s="162">
        <f>SUM(P48:U48)</f>
        <v>188980</v>
      </c>
      <c r="Q49" s="163"/>
      <c r="R49" s="163"/>
      <c r="S49" s="163"/>
      <c r="T49" s="163"/>
      <c r="U49" s="164"/>
      <c r="V49" s="4"/>
      <c r="AB49" s="3">
        <f>F49*AB47</f>
        <v>0</v>
      </c>
      <c r="AC49" s="3"/>
      <c r="AD49" s="3"/>
    </row>
    <row r="50" spans="1:58" x14ac:dyDescent="0.3">
      <c r="D50" s="5"/>
      <c r="E50" s="4"/>
      <c r="F50" s="89"/>
      <c r="G50" s="89"/>
      <c r="I50" s="54"/>
      <c r="O50" s="4"/>
      <c r="P50" s="4"/>
      <c r="Q50" s="4"/>
      <c r="R50" s="4"/>
      <c r="S50" s="4"/>
      <c r="T50" s="4"/>
      <c r="U50" s="4"/>
      <c r="V50" s="4"/>
      <c r="AB50" s="3"/>
      <c r="AC50" s="3"/>
      <c r="AD50" s="3"/>
    </row>
    <row r="51" spans="1:58" x14ac:dyDescent="0.3">
      <c r="D51" s="5"/>
      <c r="E51" s="4"/>
      <c r="F51" s="54"/>
      <c r="G51" s="54"/>
      <c r="I51" s="54"/>
      <c r="O51" s="4"/>
      <c r="P51" s="4"/>
      <c r="Q51" s="4"/>
      <c r="R51" s="4"/>
      <c r="S51" s="4"/>
      <c r="T51" s="4"/>
      <c r="U51" s="4"/>
      <c r="V51" s="4"/>
      <c r="AB51" s="3"/>
      <c r="AC51" s="3"/>
      <c r="AD51" s="3"/>
    </row>
    <row r="52" spans="1:58" ht="27" customHeight="1" x14ac:dyDescent="0.3">
      <c r="A52" s="153" t="s">
        <v>34</v>
      </c>
      <c r="B52" s="127" t="s">
        <v>130</v>
      </c>
      <c r="C52" s="128"/>
      <c r="D52" s="128"/>
      <c r="E52" s="128"/>
      <c r="F52" s="128"/>
      <c r="G52" s="128"/>
      <c r="H52" s="128"/>
      <c r="I52" s="128"/>
      <c r="J52" s="128"/>
      <c r="K52" s="128"/>
      <c r="L52" s="128"/>
      <c r="M52" s="156"/>
      <c r="N52" s="127" t="s">
        <v>141</v>
      </c>
      <c r="O52" s="156"/>
      <c r="P52" s="165" t="s">
        <v>167</v>
      </c>
      <c r="Q52" s="166"/>
      <c r="R52" s="166"/>
      <c r="S52" s="166"/>
      <c r="T52" s="166"/>
      <c r="U52" s="166"/>
      <c r="V52" s="167"/>
      <c r="X52" s="130" t="s">
        <v>33</v>
      </c>
      <c r="Y52" s="131"/>
      <c r="Z52" s="131"/>
      <c r="AA52" s="131"/>
      <c r="AB52" s="131"/>
      <c r="AC52" s="131"/>
      <c r="AD52" s="131"/>
      <c r="AE52" s="131"/>
      <c r="AF52" s="131"/>
      <c r="AG52" s="131"/>
      <c r="AH52" s="131"/>
      <c r="AI52" s="131"/>
      <c r="AJ52" s="131"/>
      <c r="AK52" s="131"/>
      <c r="AL52" s="132"/>
      <c r="AM52" s="37"/>
      <c r="AQ52" s="130" t="s">
        <v>32</v>
      </c>
      <c r="AR52" s="131"/>
      <c r="AS52" s="131"/>
      <c r="AT52" s="131"/>
      <c r="AU52" s="131"/>
      <c r="AV52" s="132"/>
      <c r="AX52" s="130" t="s">
        <v>31</v>
      </c>
      <c r="AY52" s="131"/>
      <c r="AZ52" s="131"/>
      <c r="BA52" s="132"/>
      <c r="BC52" s="47" t="s">
        <v>36</v>
      </c>
      <c r="BD52" s="48"/>
      <c r="BF52" s="36"/>
    </row>
    <row r="53" spans="1:58" ht="32.25" customHeight="1" x14ac:dyDescent="0.3">
      <c r="A53" s="153"/>
      <c r="B53" s="133" t="s">
        <v>30</v>
      </c>
      <c r="C53" s="133" t="s">
        <v>29</v>
      </c>
      <c r="D53" s="116" t="s">
        <v>27</v>
      </c>
      <c r="E53" s="34" t="s">
        <v>26</v>
      </c>
      <c r="F53" s="122" t="s">
        <v>63</v>
      </c>
      <c r="G53" s="123"/>
      <c r="H53" s="122" t="s">
        <v>50</v>
      </c>
      <c r="I53" s="123"/>
      <c r="J53" s="122" t="s">
        <v>146</v>
      </c>
      <c r="K53" s="123"/>
      <c r="L53" s="122" t="s">
        <v>25</v>
      </c>
      <c r="M53" s="123"/>
      <c r="N53" s="106" t="s">
        <v>23</v>
      </c>
      <c r="O53" s="151" t="s">
        <v>137</v>
      </c>
      <c r="P53" s="122" t="s">
        <v>136</v>
      </c>
      <c r="Q53" s="123"/>
      <c r="R53" s="122" t="s">
        <v>143</v>
      </c>
      <c r="S53" s="123"/>
      <c r="T53" s="122" t="s">
        <v>144</v>
      </c>
      <c r="U53" s="123"/>
      <c r="V53" s="159" t="s">
        <v>142</v>
      </c>
      <c r="W53" s="21"/>
      <c r="X53" s="34" t="s">
        <v>21</v>
      </c>
      <c r="Y53" s="34" t="s">
        <v>20</v>
      </c>
      <c r="Z53" s="34" t="s">
        <v>95</v>
      </c>
      <c r="AA53" s="34" t="s">
        <v>19</v>
      </c>
      <c r="AB53" s="34" t="s">
        <v>18</v>
      </c>
      <c r="AC53" s="34" t="s">
        <v>48</v>
      </c>
      <c r="AD53" s="34" t="s">
        <v>49</v>
      </c>
      <c r="AE53" s="34" t="s">
        <v>17</v>
      </c>
      <c r="AF53" s="106" t="s">
        <v>16</v>
      </c>
      <c r="AG53" s="106" t="s">
        <v>15</v>
      </c>
      <c r="AH53" s="106" t="s">
        <v>14</v>
      </c>
      <c r="AI53" s="106" t="s">
        <v>13</v>
      </c>
      <c r="AJ53" s="106" t="s">
        <v>12</v>
      </c>
      <c r="AK53" s="116" t="s">
        <v>11</v>
      </c>
      <c r="AL53" s="118" t="s">
        <v>10</v>
      </c>
      <c r="AM53" s="120" t="s">
        <v>9</v>
      </c>
      <c r="AN53" s="35">
        <f>(1-O55/E55)</f>
        <v>0.16527408818614431</v>
      </c>
      <c r="AO53" s="35">
        <f>1-(AH55+AQ55)/E55</f>
        <v>0.15775606678354748</v>
      </c>
      <c r="AQ53" s="106" t="s">
        <v>8</v>
      </c>
      <c r="AR53" s="106" t="s">
        <v>7</v>
      </c>
      <c r="AS53" s="106" t="s">
        <v>37</v>
      </c>
      <c r="AT53" s="106" t="s">
        <v>38</v>
      </c>
      <c r="AU53" s="106" t="s">
        <v>6</v>
      </c>
      <c r="AV53" s="106" t="s">
        <v>5</v>
      </c>
      <c r="AX53" s="106" t="s">
        <v>4</v>
      </c>
      <c r="AY53" s="106" t="s">
        <v>3</v>
      </c>
      <c r="AZ53" s="106" t="s">
        <v>2</v>
      </c>
      <c r="BA53" s="106" t="s">
        <v>1</v>
      </c>
      <c r="BC53" s="108"/>
      <c r="BD53" s="108"/>
      <c r="BF53" s="106"/>
    </row>
    <row r="54" spans="1:58" ht="27" customHeight="1" x14ac:dyDescent="0.3">
      <c r="A54" s="154" t="s">
        <v>150</v>
      </c>
      <c r="B54" s="134"/>
      <c r="C54" s="134"/>
      <c r="D54" s="117"/>
      <c r="E54" s="31">
        <v>0</v>
      </c>
      <c r="F54" s="33">
        <v>0.09</v>
      </c>
      <c r="G54" s="32">
        <v>1000000</v>
      </c>
      <c r="H54" s="31">
        <v>1</v>
      </c>
      <c r="I54" s="32">
        <v>100000</v>
      </c>
      <c r="J54" s="31">
        <v>1</v>
      </c>
      <c r="K54" s="32">
        <v>300000</v>
      </c>
      <c r="L54" s="31">
        <v>7.0000000000000007E-2</v>
      </c>
      <c r="M54" s="32">
        <v>150000</v>
      </c>
      <c r="N54" s="107"/>
      <c r="O54" s="152"/>
      <c r="P54" s="31">
        <v>0.02</v>
      </c>
      <c r="Q54" s="32">
        <v>1000000</v>
      </c>
      <c r="R54" s="31">
        <v>0.05</v>
      </c>
      <c r="S54" s="32">
        <v>10000</v>
      </c>
      <c r="T54" s="31">
        <v>0.02</v>
      </c>
      <c r="U54" s="32">
        <v>60000</v>
      </c>
      <c r="V54" s="159"/>
      <c r="W54" s="21"/>
      <c r="X54" s="31">
        <f>IF(C55="노트북",7%,IF(C55="저장&amp;주변기기",9%,IF(C55="모니터",7%)))</f>
        <v>7.0000000000000007E-2</v>
      </c>
      <c r="Y54" s="31">
        <v>0</v>
      </c>
      <c r="Z54" s="31">
        <v>0.03</v>
      </c>
      <c r="AA54" s="31">
        <f>IF(F54=0%,20%,0%)</f>
        <v>0</v>
      </c>
      <c r="AB54" s="30">
        <v>0</v>
      </c>
      <c r="AC54" s="30">
        <v>1</v>
      </c>
      <c r="AD54" s="53">
        <v>0.83333299999999999</v>
      </c>
      <c r="AE54" s="29">
        <v>0.5</v>
      </c>
      <c r="AF54" s="107"/>
      <c r="AG54" s="107"/>
      <c r="AH54" s="107"/>
      <c r="AI54" s="107"/>
      <c r="AJ54" s="107"/>
      <c r="AK54" s="117"/>
      <c r="AL54" s="119"/>
      <c r="AM54" s="121"/>
      <c r="AN54" s="55" t="s">
        <v>52</v>
      </c>
      <c r="AO54" s="56">
        <f>AN53-AO53</f>
        <v>7.5180214025968306E-3</v>
      </c>
      <c r="AQ54" s="107"/>
      <c r="AR54" s="107"/>
      <c r="AS54" s="107"/>
      <c r="AT54" s="107"/>
      <c r="AU54" s="107"/>
      <c r="AV54" s="107"/>
      <c r="AW54" s="39"/>
      <c r="AX54" s="107"/>
      <c r="AY54" s="117"/>
      <c r="AZ54" s="107"/>
      <c r="BA54" s="107"/>
      <c r="BC54" s="109"/>
      <c r="BD54" s="109"/>
      <c r="BF54" s="107"/>
    </row>
    <row r="55" spans="1:58" ht="27" customHeight="1" x14ac:dyDescent="0.3">
      <c r="A55" s="28">
        <v>4660417885</v>
      </c>
      <c r="B55" s="38" t="s">
        <v>35</v>
      </c>
      <c r="C55" s="27" t="s">
        <v>0</v>
      </c>
      <c r="D55" s="25">
        <v>7306590</v>
      </c>
      <c r="E55" s="24">
        <f>ROUNDDOWN(D55/(1-E54),-1)</f>
        <v>7306590</v>
      </c>
      <c r="F55" s="110">
        <f>ROUNDDOWN(IF(E55*F54&gt;G54,G54,E55*F54),-1)</f>
        <v>657590</v>
      </c>
      <c r="G55" s="111"/>
      <c r="H55" s="112">
        <f>ROUNDDOWN(IF(E55*H54&gt;I54,I54,E55*H54),-1)</f>
        <v>100000</v>
      </c>
      <c r="I55" s="113"/>
      <c r="J55" s="112">
        <f>ROUNDDOWN(IF(E55*J54&gt;K54,K54,E55*J54),-1)</f>
        <v>300000</v>
      </c>
      <c r="K55" s="113"/>
      <c r="L55" s="110">
        <f>ROUNDDOWN(IF(N55*L54&gt;M54,M54,N55*L54),-1)</f>
        <v>150000</v>
      </c>
      <c r="M55" s="111"/>
      <c r="N55" s="23">
        <f>E55-F55-H55-J55</f>
        <v>6249000</v>
      </c>
      <c r="O55" s="22">
        <f>E55-F55-H55-J55-L55</f>
        <v>6099000</v>
      </c>
      <c r="P55" s="110">
        <f>ROUNDDOWN(IF(N55*P54&gt;Q54,Q54,N55*P54),-1)</f>
        <v>124980</v>
      </c>
      <c r="Q55" s="111"/>
      <c r="R55" s="110">
        <f>ROUNDDOWN(IF(N55*R54&gt;S54,S54,N55*R54),-1)</f>
        <v>10000</v>
      </c>
      <c r="S55" s="111"/>
      <c r="T55" s="110">
        <f>ROUNDDOWN(IF(N55*T54&gt;U54,U54,N55*T54),-1)</f>
        <v>60000</v>
      </c>
      <c r="U55" s="111"/>
      <c r="V55" s="158">
        <f>O55-P55-R55-T55</f>
        <v>5904020</v>
      </c>
      <c r="W55" s="21"/>
      <c r="X55" s="20">
        <f>E55*X54</f>
        <v>511461.30000000005</v>
      </c>
      <c r="Y55" s="20">
        <f>E55*Y54</f>
        <v>0</v>
      </c>
      <c r="Z55" s="20">
        <f>(E55-H55)*Z54</f>
        <v>216197.69999999998</v>
      </c>
      <c r="AA55" s="19">
        <f>(E55*E54)*AA54</f>
        <v>0</v>
      </c>
      <c r="AB55" s="19">
        <f>F55*AB54</f>
        <v>0</v>
      </c>
      <c r="AC55" s="19">
        <f>H55*AC54</f>
        <v>100000</v>
      </c>
      <c r="AD55" s="19">
        <f>J55*AD54</f>
        <v>249999.9</v>
      </c>
      <c r="AE55" s="19">
        <f>L55*AE54</f>
        <v>75000</v>
      </c>
      <c r="AF55" s="19">
        <v>0</v>
      </c>
      <c r="AG55" s="16">
        <v>15000</v>
      </c>
      <c r="AH55" s="18">
        <f>E55-X55-Y55-Z55-AA55-AE55-AB55-AC55-AD55-AF55</f>
        <v>6153931.0999999996</v>
      </c>
      <c r="AI55" s="18">
        <f>E55-X55-Y55-Z55-AA55-AB55-AC55-AD55-AE55-AF55-AG55</f>
        <v>6138931.0999999996</v>
      </c>
      <c r="AJ55" s="17">
        <f>AI55-AK55</f>
        <v>1884931.0999999996</v>
      </c>
      <c r="AK55" s="16">
        <v>4254000</v>
      </c>
      <c r="AL55" s="15">
        <f>AJ55/AK55</f>
        <v>0.44309616831217669</v>
      </c>
      <c r="AM55" s="14">
        <f>1-O55/(AK55-AQ55-AR55-AS55)</f>
        <v>-0.43370944992947824</v>
      </c>
      <c r="AN55" s="114">
        <f>(1-O55/E55)-(1-(AH55)/E55)</f>
        <v>7.5180214025968306E-3</v>
      </c>
      <c r="AO55" s="115"/>
      <c r="AQ55" s="13">
        <v>0</v>
      </c>
      <c r="AR55" s="12">
        <f>AB55*AR54</f>
        <v>0</v>
      </c>
      <c r="AS55" s="12">
        <v>0</v>
      </c>
      <c r="AT55" s="12"/>
      <c r="AU55" s="11">
        <f>AI55-(AK55-AQ55-AR55-AS55-AT55)</f>
        <v>1884931.0999999996</v>
      </c>
      <c r="AV55" s="8">
        <f>AU55/AK55</f>
        <v>0.44309616831217669</v>
      </c>
      <c r="AX55" s="10">
        <v>0</v>
      </c>
      <c r="AY55" s="10">
        <v>0</v>
      </c>
      <c r="AZ55" s="9">
        <f>AU55-AX55-AY55</f>
        <v>1884931.0999999996</v>
      </c>
      <c r="BA55" s="8">
        <f>AZ55/AK55</f>
        <v>0.44309616831217669</v>
      </c>
      <c r="BC55" s="49"/>
      <c r="BD55" s="50"/>
      <c r="BF55" s="6"/>
    </row>
    <row r="56" spans="1:58" x14ac:dyDescent="0.3">
      <c r="D56" s="5">
        <v>6299000</v>
      </c>
      <c r="E56" s="4">
        <f>ROUNDDOWN(D56/(1-E54),-1)</f>
        <v>6299000</v>
      </c>
      <c r="F56" s="138">
        <f>E55-F55</f>
        <v>6649000</v>
      </c>
      <c r="G56" s="138"/>
      <c r="H56" s="157">
        <f>E55-F55-H55</f>
        <v>6549000</v>
      </c>
      <c r="I56" s="157"/>
      <c r="O56" s="4"/>
      <c r="P56" s="162">
        <f>SUM(P55:U55)</f>
        <v>194980</v>
      </c>
      <c r="Q56" s="163"/>
      <c r="R56" s="163"/>
      <c r="S56" s="163"/>
      <c r="T56" s="163"/>
      <c r="U56" s="164"/>
      <c r="V56" s="4"/>
      <c r="AB56" s="3">
        <f>F56*AB54</f>
        <v>0</v>
      </c>
      <c r="AC56" s="3"/>
      <c r="AD56" s="3"/>
    </row>
    <row r="57" spans="1:58" x14ac:dyDescent="0.3">
      <c r="D57" s="5"/>
      <c r="E57" s="4"/>
      <c r="F57" s="42"/>
      <c r="G57" s="42"/>
      <c r="I57" s="54"/>
      <c r="O57" s="4"/>
      <c r="P57" s="4"/>
      <c r="Q57" s="4"/>
      <c r="R57" s="4"/>
      <c r="S57" s="4"/>
      <c r="T57" s="4"/>
      <c r="U57" s="4"/>
      <c r="V57" s="4"/>
      <c r="AB57" s="3"/>
      <c r="AC57" s="3"/>
      <c r="AD57" s="3"/>
    </row>
    <row r="58" spans="1:58" x14ac:dyDescent="0.3">
      <c r="D58" s="5"/>
      <c r="E58" s="4"/>
      <c r="F58" s="42"/>
      <c r="G58" s="42"/>
      <c r="I58" s="54"/>
      <c r="O58" s="4"/>
      <c r="P58" s="4"/>
      <c r="Q58" s="4"/>
      <c r="R58" s="4"/>
      <c r="S58" s="4"/>
      <c r="T58" s="4"/>
      <c r="U58" s="4"/>
      <c r="V58" s="4"/>
      <c r="AB58" s="3"/>
      <c r="AC58" s="3"/>
      <c r="AD58" s="3"/>
    </row>
    <row r="59" spans="1:58" x14ac:dyDescent="0.3">
      <c r="D59" s="5"/>
      <c r="E59" s="4"/>
      <c r="F59" s="42"/>
      <c r="G59" s="42"/>
      <c r="I59" s="54"/>
      <c r="O59" s="4"/>
      <c r="P59" s="4"/>
      <c r="Q59" s="4"/>
      <c r="R59" s="4"/>
      <c r="S59" s="4"/>
      <c r="T59" s="4"/>
      <c r="U59" s="4"/>
      <c r="V59" s="4"/>
      <c r="AB59" s="3"/>
      <c r="AC59" s="3"/>
      <c r="AD59" s="3"/>
    </row>
    <row r="60" spans="1:58" s="96" customFormat="1" ht="30" customHeight="1" x14ac:dyDescent="0.3">
      <c r="A60" s="95" t="s">
        <v>122</v>
      </c>
      <c r="D60" s="98"/>
      <c r="E60" s="99"/>
      <c r="F60" s="99"/>
      <c r="Y60" s="100"/>
      <c r="AH60" s="101"/>
      <c r="AI60" s="101"/>
      <c r="AJ60" s="101"/>
      <c r="AK60" s="101"/>
      <c r="AZ60" s="102"/>
      <c r="BA60" s="102"/>
      <c r="BB60" s="102"/>
      <c r="BC60" s="102"/>
      <c r="BD60" s="102"/>
    </row>
    <row r="61" spans="1:58" x14ac:dyDescent="0.3">
      <c r="D61" s="5"/>
      <c r="E61" s="4"/>
      <c r="F61" s="42"/>
      <c r="G61" s="42"/>
      <c r="I61" s="54"/>
      <c r="O61" s="4"/>
      <c r="P61" s="4"/>
      <c r="Q61" s="4"/>
      <c r="R61" s="4"/>
      <c r="S61" s="4"/>
      <c r="T61" s="4"/>
      <c r="U61" s="4"/>
      <c r="V61" s="4"/>
      <c r="AB61" s="3"/>
      <c r="AC61" s="3"/>
      <c r="AD61" s="3"/>
    </row>
    <row r="62" spans="1:58" ht="27" customHeight="1" x14ac:dyDescent="0.3">
      <c r="A62" s="153" t="s">
        <v>34</v>
      </c>
      <c r="B62" s="127" t="s">
        <v>130</v>
      </c>
      <c r="C62" s="128"/>
      <c r="D62" s="128"/>
      <c r="E62" s="128"/>
      <c r="F62" s="128"/>
      <c r="G62" s="128"/>
      <c r="H62" s="128"/>
      <c r="I62" s="128"/>
      <c r="J62" s="128"/>
      <c r="K62" s="128"/>
      <c r="L62" s="128"/>
      <c r="M62" s="156"/>
      <c r="N62" s="127" t="s">
        <v>141</v>
      </c>
      <c r="O62" s="156"/>
      <c r="P62" s="165" t="s">
        <v>167</v>
      </c>
      <c r="Q62" s="166"/>
      <c r="R62" s="166"/>
      <c r="S62" s="166"/>
      <c r="T62" s="166"/>
      <c r="U62" s="166"/>
      <c r="V62" s="167"/>
      <c r="X62" s="130" t="s">
        <v>33</v>
      </c>
      <c r="Y62" s="131"/>
      <c r="Z62" s="131"/>
      <c r="AA62" s="131"/>
      <c r="AB62" s="131"/>
      <c r="AC62" s="131"/>
      <c r="AD62" s="131"/>
      <c r="AE62" s="131"/>
      <c r="AF62" s="131"/>
      <c r="AG62" s="131"/>
      <c r="AH62" s="131"/>
      <c r="AI62" s="131"/>
      <c r="AJ62" s="131"/>
      <c r="AK62" s="131"/>
      <c r="AL62" s="132"/>
      <c r="AM62" s="37"/>
      <c r="AQ62" s="130" t="s">
        <v>32</v>
      </c>
      <c r="AR62" s="131"/>
      <c r="AS62" s="131"/>
      <c r="AT62" s="131"/>
      <c r="AU62" s="131"/>
      <c r="AV62" s="132"/>
      <c r="AX62" s="130" t="s">
        <v>31</v>
      </c>
      <c r="AY62" s="131"/>
      <c r="AZ62" s="131"/>
      <c r="BA62" s="132"/>
      <c r="BC62" s="47" t="s">
        <v>36</v>
      </c>
      <c r="BD62" s="48"/>
      <c r="BF62" s="36"/>
    </row>
    <row r="63" spans="1:58" ht="32.25" customHeight="1" x14ac:dyDescent="0.3">
      <c r="A63" s="153"/>
      <c r="B63" s="133" t="s">
        <v>30</v>
      </c>
      <c r="C63" s="133" t="s">
        <v>29</v>
      </c>
      <c r="D63" s="116" t="s">
        <v>27</v>
      </c>
      <c r="E63" s="34" t="s">
        <v>26</v>
      </c>
      <c r="F63" s="122" t="s">
        <v>63</v>
      </c>
      <c r="G63" s="123"/>
      <c r="H63" s="122" t="s">
        <v>50</v>
      </c>
      <c r="I63" s="123"/>
      <c r="J63" s="122" t="s">
        <v>146</v>
      </c>
      <c r="K63" s="123"/>
      <c r="L63" s="122" t="s">
        <v>25</v>
      </c>
      <c r="M63" s="123"/>
      <c r="N63" s="106" t="s">
        <v>23</v>
      </c>
      <c r="O63" s="151" t="s">
        <v>137</v>
      </c>
      <c r="P63" s="122" t="s">
        <v>136</v>
      </c>
      <c r="Q63" s="123"/>
      <c r="R63" s="122" t="s">
        <v>143</v>
      </c>
      <c r="S63" s="123"/>
      <c r="T63" s="122" t="s">
        <v>144</v>
      </c>
      <c r="U63" s="123"/>
      <c r="V63" s="159" t="s">
        <v>142</v>
      </c>
      <c r="W63" s="21"/>
      <c r="X63" s="34" t="s">
        <v>21</v>
      </c>
      <c r="Y63" s="34" t="s">
        <v>20</v>
      </c>
      <c r="Z63" s="34" t="s">
        <v>95</v>
      </c>
      <c r="AA63" s="34" t="s">
        <v>19</v>
      </c>
      <c r="AB63" s="34" t="s">
        <v>18</v>
      </c>
      <c r="AC63" s="34" t="s">
        <v>48</v>
      </c>
      <c r="AD63" s="34" t="s">
        <v>49</v>
      </c>
      <c r="AE63" s="34" t="s">
        <v>17</v>
      </c>
      <c r="AF63" s="106" t="s">
        <v>16</v>
      </c>
      <c r="AG63" s="106" t="s">
        <v>15</v>
      </c>
      <c r="AH63" s="106" t="s">
        <v>14</v>
      </c>
      <c r="AI63" s="106" t="s">
        <v>13</v>
      </c>
      <c r="AJ63" s="106" t="s">
        <v>12</v>
      </c>
      <c r="AK63" s="116" t="s">
        <v>11</v>
      </c>
      <c r="AL63" s="118" t="s">
        <v>10</v>
      </c>
      <c r="AM63" s="120" t="s">
        <v>9</v>
      </c>
      <c r="AN63" s="35">
        <f>(1-O65/E65)</f>
        <v>0.26567351058528921</v>
      </c>
      <c r="AO63" s="35">
        <f>1-(AH65+AQ65)/E65</f>
        <v>0.18687986303645121</v>
      </c>
      <c r="AQ63" s="106" t="s">
        <v>8</v>
      </c>
      <c r="AR63" s="106" t="s">
        <v>7</v>
      </c>
      <c r="AS63" s="106" t="s">
        <v>37</v>
      </c>
      <c r="AT63" s="106" t="s">
        <v>38</v>
      </c>
      <c r="AU63" s="106" t="s">
        <v>6</v>
      </c>
      <c r="AV63" s="106" t="s">
        <v>5</v>
      </c>
      <c r="AX63" s="106" t="s">
        <v>4</v>
      </c>
      <c r="AY63" s="106" t="s">
        <v>3</v>
      </c>
      <c r="AZ63" s="106" t="s">
        <v>2</v>
      </c>
      <c r="BA63" s="106" t="s">
        <v>1</v>
      </c>
      <c r="BC63" s="108"/>
      <c r="BD63" s="108"/>
      <c r="BF63" s="106"/>
    </row>
    <row r="64" spans="1:58" ht="27" customHeight="1" x14ac:dyDescent="0.3">
      <c r="A64" s="154" t="s">
        <v>151</v>
      </c>
      <c r="B64" s="134"/>
      <c r="C64" s="134"/>
      <c r="D64" s="117"/>
      <c r="E64" s="31">
        <v>0</v>
      </c>
      <c r="F64" s="33">
        <v>0.09</v>
      </c>
      <c r="G64" s="32">
        <v>1000000</v>
      </c>
      <c r="H64" s="31">
        <v>1</v>
      </c>
      <c r="I64" s="32">
        <v>100000</v>
      </c>
      <c r="J64" s="31">
        <v>1</v>
      </c>
      <c r="K64" s="32">
        <v>300000</v>
      </c>
      <c r="L64" s="31">
        <v>7.0000000000000007E-2</v>
      </c>
      <c r="M64" s="32">
        <v>150000</v>
      </c>
      <c r="N64" s="107"/>
      <c r="O64" s="152"/>
      <c r="P64" s="31">
        <v>0.02</v>
      </c>
      <c r="Q64" s="32">
        <v>1000000</v>
      </c>
      <c r="R64" s="31">
        <v>0.05</v>
      </c>
      <c r="S64" s="32">
        <v>10000</v>
      </c>
      <c r="T64" s="31">
        <v>0.02</v>
      </c>
      <c r="U64" s="32">
        <v>60000</v>
      </c>
      <c r="V64" s="159"/>
      <c r="W64" s="21"/>
      <c r="X64" s="31">
        <f>IF(C65="노트북",7%,IF(C65="저장&amp;주변기기",9%,IF(C65="모니터",7%)))</f>
        <v>7.0000000000000007E-2</v>
      </c>
      <c r="Y64" s="31">
        <v>0</v>
      </c>
      <c r="Z64" s="31">
        <v>0.03</v>
      </c>
      <c r="AA64" s="31">
        <v>0</v>
      </c>
      <c r="AB64" s="30">
        <v>0</v>
      </c>
      <c r="AC64" s="30">
        <v>1</v>
      </c>
      <c r="AD64" s="53">
        <v>1</v>
      </c>
      <c r="AE64" s="29">
        <v>0.5</v>
      </c>
      <c r="AF64" s="107"/>
      <c r="AG64" s="107"/>
      <c r="AH64" s="107"/>
      <c r="AI64" s="107"/>
      <c r="AJ64" s="107"/>
      <c r="AK64" s="117"/>
      <c r="AL64" s="119"/>
      <c r="AM64" s="121"/>
      <c r="AN64" s="55" t="s">
        <v>52</v>
      </c>
      <c r="AO64" s="56">
        <f>AN63-AO63</f>
        <v>7.8793647548837997E-2</v>
      </c>
      <c r="AQ64" s="107"/>
      <c r="AR64" s="107"/>
      <c r="AS64" s="107"/>
      <c r="AT64" s="107"/>
      <c r="AU64" s="107"/>
      <c r="AV64" s="107"/>
      <c r="AW64" s="39"/>
      <c r="AX64" s="107"/>
      <c r="AY64" s="117"/>
      <c r="AZ64" s="107"/>
      <c r="BA64" s="107"/>
      <c r="BC64" s="109"/>
      <c r="BD64" s="109"/>
      <c r="BF64" s="107"/>
    </row>
    <row r="65" spans="1:58" ht="27" customHeight="1" x14ac:dyDescent="0.3">
      <c r="A65" s="28">
        <v>4714573992</v>
      </c>
      <c r="B65" s="38" t="s">
        <v>35</v>
      </c>
      <c r="C65" s="27" t="s">
        <v>0</v>
      </c>
      <c r="D65" s="25">
        <v>3130760</v>
      </c>
      <c r="E65" s="24">
        <f>ROUNDDOWN(D65/(1-E64),-1)</f>
        <v>3130760</v>
      </c>
      <c r="F65" s="110">
        <f>ROUNDDOWN(IF(E65*F64&gt;G64,G64,E65*F64),-1)</f>
        <v>281760</v>
      </c>
      <c r="G65" s="111"/>
      <c r="H65" s="112">
        <f>ROUNDDOWN(IF(E65*H64&gt;I64,I64,E65*H64),-1)</f>
        <v>100000</v>
      </c>
      <c r="I65" s="113"/>
      <c r="J65" s="112">
        <f>ROUNDDOWN(IF(E65*J64&gt;K64,K64,E65*J64),-1)</f>
        <v>300000</v>
      </c>
      <c r="K65" s="113"/>
      <c r="L65" s="110">
        <f>ROUNDDOWN(IF(N65*L64&gt;M64,M64,N65*L64),-1)</f>
        <v>150000</v>
      </c>
      <c r="M65" s="111"/>
      <c r="N65" s="23">
        <f>E65-F65-H65-J65</f>
        <v>2449000</v>
      </c>
      <c r="O65" s="22">
        <f>E65-F65-H65-J65-L65</f>
        <v>2299000</v>
      </c>
      <c r="P65" s="110">
        <f>ROUNDDOWN(IF(N65*P64&gt;Q64,Q64,N65*P64),-1)</f>
        <v>48980</v>
      </c>
      <c r="Q65" s="111"/>
      <c r="R65" s="110">
        <f>ROUNDDOWN(IF(N65*R64&gt;S64,S64,N65*R64),-1)</f>
        <v>10000</v>
      </c>
      <c r="S65" s="111"/>
      <c r="T65" s="110">
        <f>ROUNDDOWN(IF(N65*T64&gt;U64,U64,N65*T64),-1)</f>
        <v>48980</v>
      </c>
      <c r="U65" s="111"/>
      <c r="V65" s="158">
        <f>O65-P65-R65-T65</f>
        <v>2191040</v>
      </c>
      <c r="W65" s="21"/>
      <c r="X65" s="20">
        <f>E65*X64</f>
        <v>219153.2</v>
      </c>
      <c r="Y65" s="20">
        <f>E65*Y64</f>
        <v>0</v>
      </c>
      <c r="Z65" s="20">
        <f>(E65-H65)*Z64</f>
        <v>90922.8</v>
      </c>
      <c r="AA65" s="19">
        <f>(E65*E64)*AA64</f>
        <v>0</v>
      </c>
      <c r="AB65" s="19">
        <f>F65*AB64</f>
        <v>0</v>
      </c>
      <c r="AC65" s="19">
        <f>H65*AC64</f>
        <v>100000</v>
      </c>
      <c r="AD65" s="19">
        <f>J65*AD64</f>
        <v>300000</v>
      </c>
      <c r="AE65" s="19">
        <f>L65*AE64</f>
        <v>75000</v>
      </c>
      <c r="AF65" s="19">
        <v>0</v>
      </c>
      <c r="AG65" s="16">
        <v>8000</v>
      </c>
      <c r="AH65" s="18">
        <f>E65-X65-Y65-Z65-AA65-AE65-AB65-AC65-AD65-AF65</f>
        <v>2345684</v>
      </c>
      <c r="AI65" s="18">
        <f>E65-X65-Y65-Z65-AA65-AB65-AC65-AD65-AE65-AF65-AG65</f>
        <v>2337684</v>
      </c>
      <c r="AJ65" s="17">
        <f>AI65-AK65</f>
        <v>-11316</v>
      </c>
      <c r="AK65" s="16">
        <v>2349000</v>
      </c>
      <c r="AL65" s="15">
        <f>AJ65/AK65</f>
        <v>-4.8173690932311625E-3</v>
      </c>
      <c r="AM65" s="14">
        <f>1-O65/(AK65-AQ65-AR65-AS65)</f>
        <v>-6.979990693345739E-2</v>
      </c>
      <c r="AN65" s="114">
        <f>(1-O65/E65)-(1-(AH65)/E65)</f>
        <v>1.4911395316153264E-2</v>
      </c>
      <c r="AO65" s="115"/>
      <c r="AQ65" s="13">
        <v>200000</v>
      </c>
      <c r="AR65" s="12"/>
      <c r="AS65" s="12">
        <v>0</v>
      </c>
      <c r="AT65" s="12"/>
      <c r="AU65" s="11">
        <f>AI65-(AK65-AQ65-AR65-AS65-AT65)</f>
        <v>188684</v>
      </c>
      <c r="AV65" s="8">
        <f>AU65/AK65</f>
        <v>8.0325244785014904E-2</v>
      </c>
      <c r="AX65" s="10">
        <v>0</v>
      </c>
      <c r="AY65" s="10">
        <v>0</v>
      </c>
      <c r="AZ65" s="9">
        <f>AU65-AX65-AY65</f>
        <v>188684</v>
      </c>
      <c r="BA65" s="8">
        <f>AZ65/AK65</f>
        <v>8.0325244785014904E-2</v>
      </c>
      <c r="BC65" s="49"/>
      <c r="BD65" s="50"/>
      <c r="BF65" s="6"/>
    </row>
    <row r="66" spans="1:58" x14ac:dyDescent="0.3">
      <c r="D66" s="5">
        <v>2499000</v>
      </c>
      <c r="E66" s="4">
        <f>ROUNDDOWN(D66/(1-E64),-1)</f>
        <v>2499000</v>
      </c>
      <c r="F66" s="138">
        <f>E65-F65</f>
        <v>2849000</v>
      </c>
      <c r="G66" s="138"/>
      <c r="H66" s="157">
        <f>E65-F65-H65</f>
        <v>2749000</v>
      </c>
      <c r="I66" s="157"/>
      <c r="O66" s="4"/>
      <c r="P66" s="162">
        <f>SUM(P65:U65)</f>
        <v>107960</v>
      </c>
      <c r="Q66" s="163"/>
      <c r="R66" s="163"/>
      <c r="S66" s="163"/>
      <c r="T66" s="163"/>
      <c r="U66" s="164"/>
      <c r="V66" s="4"/>
      <c r="AB66" s="3">
        <f>F66*AB64</f>
        <v>0</v>
      </c>
      <c r="AC66" s="3"/>
      <c r="AD66" s="3"/>
    </row>
    <row r="67" spans="1:58" x14ac:dyDescent="0.3">
      <c r="D67" s="5">
        <v>2599000</v>
      </c>
      <c r="E67" s="4"/>
      <c r="F67" s="42"/>
      <c r="G67" s="42"/>
      <c r="I67" s="54"/>
      <c r="O67" s="4"/>
      <c r="P67" s="4"/>
      <c r="Q67" s="4"/>
      <c r="R67" s="4"/>
      <c r="S67" s="4"/>
      <c r="T67" s="4"/>
      <c r="U67" s="4"/>
      <c r="V67" s="4"/>
      <c r="AB67" s="3"/>
      <c r="AC67" s="3"/>
      <c r="AD67" s="3"/>
    </row>
    <row r="68" spans="1:58" x14ac:dyDescent="0.3">
      <c r="D68" s="5"/>
      <c r="E68" s="4"/>
      <c r="F68" s="42"/>
      <c r="G68" s="42"/>
      <c r="I68" s="54"/>
      <c r="O68" s="4"/>
      <c r="P68" s="4"/>
      <c r="Q68" s="4"/>
      <c r="R68" s="4"/>
      <c r="S68" s="4"/>
      <c r="T68" s="4"/>
      <c r="U68" s="4"/>
      <c r="V68" s="4"/>
      <c r="AB68" s="3"/>
      <c r="AC68" s="3"/>
      <c r="AD68" s="3"/>
    </row>
    <row r="69" spans="1:58" x14ac:dyDescent="0.3">
      <c r="D69" s="5"/>
      <c r="E69" s="4"/>
      <c r="F69" s="42"/>
      <c r="G69" s="42"/>
      <c r="I69" s="54"/>
      <c r="AB69" s="3"/>
      <c r="AC69" s="3"/>
      <c r="AD69" s="3"/>
    </row>
    <row r="70" spans="1:58" x14ac:dyDescent="0.3">
      <c r="A70" s="43"/>
      <c r="B70" s="43"/>
      <c r="C70" s="43"/>
      <c r="D70" s="5"/>
    </row>
    <row r="71" spans="1:58" s="77" customFormat="1" ht="30" customHeight="1" x14ac:dyDescent="0.3">
      <c r="A71" s="76" t="s">
        <v>78</v>
      </c>
      <c r="D71" s="79"/>
      <c r="E71" s="80"/>
      <c r="F71" s="80"/>
      <c r="Y71" s="81"/>
      <c r="AH71" s="82"/>
      <c r="AI71" s="82"/>
      <c r="AJ71" s="82"/>
      <c r="AK71" s="82"/>
      <c r="AZ71" s="83"/>
      <c r="BA71" s="83"/>
      <c r="BB71" s="83"/>
      <c r="BC71" s="83"/>
      <c r="BD71" s="83"/>
    </row>
    <row r="72" spans="1:58" x14ac:dyDescent="0.3">
      <c r="A72" s="43"/>
      <c r="B72" s="43"/>
      <c r="C72" s="43"/>
      <c r="D72" s="5"/>
    </row>
    <row r="73" spans="1:58" ht="27" customHeight="1" x14ac:dyDescent="0.3">
      <c r="A73" s="153" t="s">
        <v>34</v>
      </c>
      <c r="B73" s="127" t="s">
        <v>130</v>
      </c>
      <c r="C73" s="128"/>
      <c r="D73" s="128"/>
      <c r="E73" s="128"/>
      <c r="F73" s="128"/>
      <c r="G73" s="128"/>
      <c r="H73" s="128"/>
      <c r="I73" s="128"/>
      <c r="J73" s="128"/>
      <c r="K73" s="128"/>
      <c r="L73" s="128"/>
      <c r="M73" s="156"/>
      <c r="N73" s="127" t="s">
        <v>141</v>
      </c>
      <c r="O73" s="156"/>
      <c r="P73" s="165" t="s">
        <v>167</v>
      </c>
      <c r="Q73" s="166"/>
      <c r="R73" s="166"/>
      <c r="S73" s="166"/>
      <c r="T73" s="166"/>
      <c r="U73" s="166"/>
      <c r="V73" s="167"/>
      <c r="X73" s="130" t="s">
        <v>33</v>
      </c>
      <c r="Y73" s="131"/>
      <c r="Z73" s="131"/>
      <c r="AA73" s="131"/>
      <c r="AB73" s="131"/>
      <c r="AC73" s="131"/>
      <c r="AD73" s="131"/>
      <c r="AE73" s="131"/>
      <c r="AF73" s="131"/>
      <c r="AG73" s="131"/>
      <c r="AH73" s="131"/>
      <c r="AI73" s="131"/>
      <c r="AJ73" s="131"/>
      <c r="AK73" s="131"/>
      <c r="AL73" s="132"/>
      <c r="AM73" s="37"/>
      <c r="AQ73" s="130" t="s">
        <v>32</v>
      </c>
      <c r="AR73" s="131"/>
      <c r="AS73" s="131"/>
      <c r="AT73" s="131"/>
      <c r="AU73" s="131"/>
      <c r="AV73" s="132"/>
      <c r="AX73" s="130" t="s">
        <v>31</v>
      </c>
      <c r="AY73" s="131"/>
      <c r="AZ73" s="131"/>
      <c r="BA73" s="132"/>
      <c r="BC73" s="47" t="s">
        <v>36</v>
      </c>
      <c r="BD73" s="48"/>
      <c r="BF73" s="36"/>
    </row>
    <row r="74" spans="1:58" ht="32.25" customHeight="1" x14ac:dyDescent="0.3">
      <c r="A74" s="153"/>
      <c r="B74" s="133" t="s">
        <v>30</v>
      </c>
      <c r="C74" s="133" t="s">
        <v>29</v>
      </c>
      <c r="D74" s="116" t="s">
        <v>27</v>
      </c>
      <c r="E74" s="34" t="s">
        <v>26</v>
      </c>
      <c r="F74" s="122" t="s">
        <v>63</v>
      </c>
      <c r="G74" s="123"/>
      <c r="H74" s="122" t="s">
        <v>50</v>
      </c>
      <c r="I74" s="123"/>
      <c r="J74" s="122" t="s">
        <v>146</v>
      </c>
      <c r="K74" s="123"/>
      <c r="L74" s="122" t="s">
        <v>25</v>
      </c>
      <c r="M74" s="123"/>
      <c r="N74" s="106" t="s">
        <v>23</v>
      </c>
      <c r="O74" s="151" t="s">
        <v>137</v>
      </c>
      <c r="P74" s="122" t="s">
        <v>136</v>
      </c>
      <c r="Q74" s="123"/>
      <c r="R74" s="122" t="s">
        <v>143</v>
      </c>
      <c r="S74" s="123"/>
      <c r="T74" s="122" t="s">
        <v>144</v>
      </c>
      <c r="U74" s="123"/>
      <c r="V74" s="159" t="s">
        <v>142</v>
      </c>
      <c r="W74" s="21"/>
      <c r="X74" s="34" t="s">
        <v>21</v>
      </c>
      <c r="Y74" s="34" t="s">
        <v>20</v>
      </c>
      <c r="Z74" s="34" t="s">
        <v>95</v>
      </c>
      <c r="AA74" s="34" t="s">
        <v>19</v>
      </c>
      <c r="AB74" s="34" t="s">
        <v>18</v>
      </c>
      <c r="AC74" s="34" t="s">
        <v>48</v>
      </c>
      <c r="AD74" s="34" t="s">
        <v>49</v>
      </c>
      <c r="AE74" s="34" t="s">
        <v>17</v>
      </c>
      <c r="AF74" s="106" t="s">
        <v>16</v>
      </c>
      <c r="AG74" s="106" t="s">
        <v>15</v>
      </c>
      <c r="AH74" s="106" t="s">
        <v>14</v>
      </c>
      <c r="AI74" s="106" t="s">
        <v>13</v>
      </c>
      <c r="AJ74" s="106" t="s">
        <v>12</v>
      </c>
      <c r="AK74" s="116" t="s">
        <v>11</v>
      </c>
      <c r="AL74" s="118" t="s">
        <v>10</v>
      </c>
      <c r="AM74" s="120" t="s">
        <v>9</v>
      </c>
      <c r="AN74" s="35">
        <f>(1-O76/E76)</f>
        <v>0.34651420802524158</v>
      </c>
      <c r="AO74" s="35">
        <f>1-(AH76+AQ76)/E76</f>
        <v>0.20523750585187228</v>
      </c>
      <c r="AQ74" s="106" t="s">
        <v>8</v>
      </c>
      <c r="AR74" s="106" t="s">
        <v>7</v>
      </c>
      <c r="AS74" s="106" t="s">
        <v>37</v>
      </c>
      <c r="AT74" s="106" t="s">
        <v>38</v>
      </c>
      <c r="AU74" s="106" t="s">
        <v>6</v>
      </c>
      <c r="AV74" s="106" t="s">
        <v>5</v>
      </c>
      <c r="AX74" s="106" t="s">
        <v>4</v>
      </c>
      <c r="AY74" s="106" t="s">
        <v>3</v>
      </c>
      <c r="AZ74" s="106" t="s">
        <v>2</v>
      </c>
      <c r="BA74" s="106" t="s">
        <v>1</v>
      </c>
      <c r="BC74" s="108"/>
      <c r="BD74" s="108"/>
      <c r="BF74" s="106"/>
    </row>
    <row r="75" spans="1:58" ht="27" customHeight="1" x14ac:dyDescent="0.3">
      <c r="A75" s="154" t="s">
        <v>152</v>
      </c>
      <c r="B75" s="134"/>
      <c r="C75" s="134"/>
      <c r="D75" s="117"/>
      <c r="E75" s="31">
        <v>0</v>
      </c>
      <c r="F75" s="33">
        <v>0.09</v>
      </c>
      <c r="G75" s="32">
        <v>1000000</v>
      </c>
      <c r="H75" s="31">
        <v>1</v>
      </c>
      <c r="I75" s="32">
        <v>30000</v>
      </c>
      <c r="J75" s="31">
        <v>1</v>
      </c>
      <c r="K75" s="32">
        <v>300000</v>
      </c>
      <c r="L75" s="31">
        <v>7.0000000000000007E-2</v>
      </c>
      <c r="M75" s="32">
        <v>70000</v>
      </c>
      <c r="N75" s="107"/>
      <c r="O75" s="152"/>
      <c r="P75" s="31">
        <v>0.02</v>
      </c>
      <c r="Q75" s="32">
        <v>1000000</v>
      </c>
      <c r="R75" s="31">
        <v>0.05</v>
      </c>
      <c r="S75" s="32">
        <v>10000</v>
      </c>
      <c r="T75" s="31">
        <v>0.02</v>
      </c>
      <c r="U75" s="32">
        <v>60000</v>
      </c>
      <c r="V75" s="159"/>
      <c r="W75" s="21"/>
      <c r="X75" s="31">
        <f>IF(C76="노트북",7%,IF(C76="저장&amp;주변기기",9%,IF(C76="모니터",7%)))</f>
        <v>7.0000000000000007E-2</v>
      </c>
      <c r="Y75" s="31">
        <v>0</v>
      </c>
      <c r="Z75" s="31">
        <v>0.03</v>
      </c>
      <c r="AA75" s="31">
        <v>0</v>
      </c>
      <c r="AB75" s="30">
        <v>0</v>
      </c>
      <c r="AC75" s="30">
        <v>1</v>
      </c>
      <c r="AD75" s="53">
        <v>1</v>
      </c>
      <c r="AE75" s="29">
        <v>0.5</v>
      </c>
      <c r="AF75" s="107"/>
      <c r="AG75" s="107"/>
      <c r="AH75" s="107"/>
      <c r="AI75" s="107"/>
      <c r="AJ75" s="107"/>
      <c r="AK75" s="117"/>
      <c r="AL75" s="119"/>
      <c r="AM75" s="121"/>
      <c r="AN75" s="55" t="s">
        <v>52</v>
      </c>
      <c r="AO75" s="56">
        <f>AN74-AO74</f>
        <v>0.1412767021733693</v>
      </c>
      <c r="AQ75" s="107"/>
      <c r="AR75" s="107"/>
      <c r="AS75" s="107"/>
      <c r="AT75" s="107"/>
      <c r="AU75" s="107"/>
      <c r="AV75" s="107"/>
      <c r="AW75" s="39"/>
      <c r="AX75" s="107"/>
      <c r="AY75" s="117"/>
      <c r="AZ75" s="107"/>
      <c r="BA75" s="107"/>
      <c r="BC75" s="109"/>
      <c r="BD75" s="109"/>
      <c r="BF75" s="107"/>
    </row>
    <row r="76" spans="1:58" ht="27" customHeight="1" x14ac:dyDescent="0.3">
      <c r="A76" s="28">
        <v>4514791229</v>
      </c>
      <c r="B76" s="38" t="s">
        <v>35</v>
      </c>
      <c r="C76" s="27" t="s">
        <v>0</v>
      </c>
      <c r="D76" s="25">
        <v>1559330</v>
      </c>
      <c r="E76" s="24">
        <f>ROUNDDOWN(D76/(1-E75),-1)</f>
        <v>1559330</v>
      </c>
      <c r="F76" s="110">
        <f>ROUNDDOWN(IF(E76*F75&gt;G75,G75,E76*F75),-1)</f>
        <v>140330</v>
      </c>
      <c r="G76" s="111"/>
      <c r="H76" s="112">
        <f>ROUNDDOWN(IF(E76*H75&gt;I75,I75,E76*H75),-1)</f>
        <v>30000</v>
      </c>
      <c r="I76" s="113"/>
      <c r="J76" s="112">
        <f>ROUNDDOWN(IF(E76*J75&gt;K75,K75,E76*J75),-1)</f>
        <v>300000</v>
      </c>
      <c r="K76" s="113"/>
      <c r="L76" s="110">
        <f>ROUNDDOWN(IF(N76*L75&gt;M75,M75,N76*L75),-1)</f>
        <v>70000</v>
      </c>
      <c r="M76" s="111"/>
      <c r="N76" s="23">
        <f>E76-F76-H76-J76</f>
        <v>1089000</v>
      </c>
      <c r="O76" s="22">
        <f>E76-F76-H76-J76-L76</f>
        <v>1019000</v>
      </c>
      <c r="P76" s="110">
        <f>ROUNDDOWN(IF(N76*P75&gt;Q75,Q75,N76*P75),-1)</f>
        <v>21780</v>
      </c>
      <c r="Q76" s="111"/>
      <c r="R76" s="110">
        <f>ROUNDDOWN(IF(N76*R75&gt;S75,S75,N76*R75),-1)</f>
        <v>10000</v>
      </c>
      <c r="S76" s="111"/>
      <c r="T76" s="110">
        <f>ROUNDDOWN(IF(N76*T75&gt;U75,U75,N76*T75),-1)</f>
        <v>21780</v>
      </c>
      <c r="U76" s="111"/>
      <c r="V76" s="158">
        <f>O76-P76-R76-T76</f>
        <v>965440</v>
      </c>
      <c r="W76" s="21"/>
      <c r="X76" s="20">
        <f>E76*X75</f>
        <v>109153.1</v>
      </c>
      <c r="Y76" s="20">
        <f>E76*Y75</f>
        <v>0</v>
      </c>
      <c r="Z76" s="20">
        <f>(E76-H76)*Z75</f>
        <v>45879.9</v>
      </c>
      <c r="AA76" s="19">
        <f>(E76*E75)*AA75</f>
        <v>0</v>
      </c>
      <c r="AB76" s="19">
        <f>F76*AB75</f>
        <v>0</v>
      </c>
      <c r="AC76" s="19">
        <f>H76*AC75</f>
        <v>30000</v>
      </c>
      <c r="AD76" s="19">
        <f>J76*AD75</f>
        <v>300000</v>
      </c>
      <c r="AE76" s="19">
        <f>L76*AE75</f>
        <v>35000</v>
      </c>
      <c r="AF76" s="19">
        <v>0</v>
      </c>
      <c r="AG76" s="16">
        <v>8000</v>
      </c>
      <c r="AH76" s="18">
        <f>E76-X76-Y76-Z76-AA76-AE76-AB76-AC76-AD76-AF76</f>
        <v>1039297</v>
      </c>
      <c r="AI76" s="18">
        <f>E76-X76-Y76-Z76-AA76-AB76-AC76-AD76-AE76-AF76-AG76</f>
        <v>1031297</v>
      </c>
      <c r="AJ76" s="17">
        <f>AI76-AK76</f>
        <v>-176703</v>
      </c>
      <c r="AK76" s="16">
        <v>1208000</v>
      </c>
      <c r="AL76" s="15">
        <f>AJ76/AK76</f>
        <v>-0.1462773178807947</v>
      </c>
      <c r="AM76" s="14">
        <f>1-O76/(AK76-AQ76-AR76-AS76)</f>
        <v>-1.0912698412698374E-2</v>
      </c>
      <c r="AN76" s="114">
        <f>(1-O76/E76)-(1-(AH76)/E76)</f>
        <v>1.3016487850551206E-2</v>
      </c>
      <c r="AO76" s="115"/>
      <c r="AQ76" s="13">
        <v>200000</v>
      </c>
      <c r="AR76" s="12"/>
      <c r="AS76" s="12">
        <v>0</v>
      </c>
      <c r="AT76" s="12"/>
      <c r="AU76" s="11">
        <f>AI76-(AK76-AQ76-AR76-AS76-AT76)</f>
        <v>23297</v>
      </c>
      <c r="AV76" s="8">
        <f>AU76/AK76</f>
        <v>1.9285596026490066E-2</v>
      </c>
      <c r="AX76" s="10">
        <v>0</v>
      </c>
      <c r="AY76" s="10">
        <v>0</v>
      </c>
      <c r="AZ76" s="9">
        <f>AU76-AX76-AY76</f>
        <v>23297</v>
      </c>
      <c r="BA76" s="8">
        <f>AZ76/AK76</f>
        <v>1.9285596026490066E-2</v>
      </c>
      <c r="BC76" s="49"/>
      <c r="BD76" s="50"/>
      <c r="BF76" s="6"/>
    </row>
    <row r="77" spans="1:58" x14ac:dyDescent="0.3">
      <c r="D77" s="5">
        <v>1299000</v>
      </c>
      <c r="E77" s="4">
        <f>ROUNDDOWN(D77/(1-E75),-1)</f>
        <v>1299000</v>
      </c>
      <c r="F77" s="138">
        <f>E76-F76</f>
        <v>1419000</v>
      </c>
      <c r="G77" s="138"/>
      <c r="H77" s="157">
        <f>E76-F76-H76</f>
        <v>1389000</v>
      </c>
      <c r="I77" s="157"/>
      <c r="O77" s="4"/>
      <c r="P77" s="162">
        <f>SUM(P76:U76)</f>
        <v>53560</v>
      </c>
      <c r="Q77" s="163"/>
      <c r="R77" s="163"/>
      <c r="S77" s="163"/>
      <c r="T77" s="163"/>
      <c r="U77" s="164"/>
      <c r="V77" s="4"/>
      <c r="AB77" s="3">
        <f>F77*AB75</f>
        <v>0</v>
      </c>
      <c r="AC77" s="3"/>
      <c r="AD77" s="3"/>
    </row>
    <row r="78" spans="1:58" x14ac:dyDescent="0.3">
      <c r="A78" s="43"/>
      <c r="B78" s="43"/>
      <c r="C78" s="43"/>
      <c r="D78" s="5"/>
    </row>
    <row r="79" spans="1:58" x14ac:dyDescent="0.3">
      <c r="A79" s="43"/>
      <c r="B79" s="43"/>
      <c r="C79" s="43"/>
      <c r="D79" s="5"/>
    </row>
    <row r="80" spans="1:58" ht="27" customHeight="1" x14ac:dyDescent="0.3">
      <c r="A80" s="153" t="s">
        <v>34</v>
      </c>
      <c r="B80" s="127" t="s">
        <v>130</v>
      </c>
      <c r="C80" s="128"/>
      <c r="D80" s="128"/>
      <c r="E80" s="128"/>
      <c r="F80" s="128"/>
      <c r="G80" s="128"/>
      <c r="H80" s="128"/>
      <c r="I80" s="128"/>
      <c r="J80" s="128"/>
      <c r="K80" s="128"/>
      <c r="L80" s="128"/>
      <c r="M80" s="156"/>
      <c r="N80" s="127" t="s">
        <v>141</v>
      </c>
      <c r="O80" s="156"/>
      <c r="P80" s="165" t="s">
        <v>167</v>
      </c>
      <c r="Q80" s="166"/>
      <c r="R80" s="166"/>
      <c r="S80" s="166"/>
      <c r="T80" s="166"/>
      <c r="U80" s="166"/>
      <c r="V80" s="167"/>
      <c r="X80" s="130" t="s">
        <v>33</v>
      </c>
      <c r="Y80" s="131"/>
      <c r="Z80" s="131"/>
      <c r="AA80" s="131"/>
      <c r="AB80" s="131"/>
      <c r="AC80" s="131"/>
      <c r="AD80" s="131"/>
      <c r="AE80" s="131"/>
      <c r="AF80" s="131"/>
      <c r="AG80" s="131"/>
      <c r="AH80" s="131"/>
      <c r="AI80" s="131"/>
      <c r="AJ80" s="131"/>
      <c r="AK80" s="131"/>
      <c r="AL80" s="132"/>
      <c r="AM80" s="37"/>
      <c r="AQ80" s="130" t="s">
        <v>32</v>
      </c>
      <c r="AR80" s="131"/>
      <c r="AS80" s="131"/>
      <c r="AT80" s="131"/>
      <c r="AU80" s="131"/>
      <c r="AV80" s="132"/>
      <c r="AX80" s="130" t="s">
        <v>31</v>
      </c>
      <c r="AY80" s="131"/>
      <c r="AZ80" s="131"/>
      <c r="BA80" s="132"/>
      <c r="BC80" s="47" t="s">
        <v>36</v>
      </c>
      <c r="BD80" s="48"/>
      <c r="BF80" s="36"/>
    </row>
    <row r="81" spans="1:58" ht="32.25" customHeight="1" x14ac:dyDescent="0.3">
      <c r="A81" s="153"/>
      <c r="B81" s="133" t="s">
        <v>30</v>
      </c>
      <c r="C81" s="133" t="s">
        <v>29</v>
      </c>
      <c r="D81" s="116" t="s">
        <v>27</v>
      </c>
      <c r="E81" s="34" t="s">
        <v>26</v>
      </c>
      <c r="F81" s="122" t="s">
        <v>63</v>
      </c>
      <c r="G81" s="123"/>
      <c r="H81" s="122" t="s">
        <v>50</v>
      </c>
      <c r="I81" s="123"/>
      <c r="J81" s="122" t="s">
        <v>146</v>
      </c>
      <c r="K81" s="123"/>
      <c r="L81" s="122" t="s">
        <v>25</v>
      </c>
      <c r="M81" s="123"/>
      <c r="N81" s="106" t="s">
        <v>23</v>
      </c>
      <c r="O81" s="151" t="s">
        <v>137</v>
      </c>
      <c r="P81" s="122" t="s">
        <v>136</v>
      </c>
      <c r="Q81" s="123"/>
      <c r="R81" s="122" t="s">
        <v>143</v>
      </c>
      <c r="S81" s="123"/>
      <c r="T81" s="122" t="s">
        <v>144</v>
      </c>
      <c r="U81" s="123"/>
      <c r="V81" s="159" t="s">
        <v>142</v>
      </c>
      <c r="W81" s="21"/>
      <c r="X81" s="34" t="s">
        <v>21</v>
      </c>
      <c r="Y81" s="34" t="s">
        <v>20</v>
      </c>
      <c r="Z81" s="34" t="s">
        <v>95</v>
      </c>
      <c r="AA81" s="34" t="s">
        <v>19</v>
      </c>
      <c r="AB81" s="34" t="s">
        <v>18</v>
      </c>
      <c r="AC81" s="34" t="s">
        <v>48</v>
      </c>
      <c r="AD81" s="34" t="s">
        <v>49</v>
      </c>
      <c r="AE81" s="34" t="s">
        <v>17</v>
      </c>
      <c r="AF81" s="106" t="s">
        <v>16</v>
      </c>
      <c r="AG81" s="106" t="s">
        <v>15</v>
      </c>
      <c r="AH81" s="106" t="s">
        <v>14</v>
      </c>
      <c r="AI81" s="106" t="s">
        <v>13</v>
      </c>
      <c r="AJ81" s="106" t="s">
        <v>12</v>
      </c>
      <c r="AK81" s="116" t="s">
        <v>11</v>
      </c>
      <c r="AL81" s="118" t="s">
        <v>10</v>
      </c>
      <c r="AM81" s="120" t="s">
        <v>9</v>
      </c>
      <c r="AN81" s="35">
        <f>(1-O83/E83)</f>
        <v>0.32052926850482732</v>
      </c>
      <c r="AO81" s="35">
        <f>1-(AH83+AQ83)/E83</f>
        <v>0.27729353309559013</v>
      </c>
      <c r="AQ81" s="106" t="s">
        <v>8</v>
      </c>
      <c r="AR81" s="106" t="s">
        <v>7</v>
      </c>
      <c r="AS81" s="106" t="s">
        <v>37</v>
      </c>
      <c r="AT81" s="106" t="s">
        <v>38</v>
      </c>
      <c r="AU81" s="106" t="s">
        <v>6</v>
      </c>
      <c r="AV81" s="106" t="s">
        <v>5</v>
      </c>
      <c r="AX81" s="106" t="s">
        <v>4</v>
      </c>
      <c r="AY81" s="106" t="s">
        <v>3</v>
      </c>
      <c r="AZ81" s="106" t="s">
        <v>2</v>
      </c>
      <c r="BA81" s="106" t="s">
        <v>1</v>
      </c>
      <c r="BC81" s="108"/>
      <c r="BD81" s="108"/>
      <c r="BF81" s="106"/>
    </row>
    <row r="82" spans="1:58" ht="27" customHeight="1" x14ac:dyDescent="0.3">
      <c r="A82" s="154" t="s">
        <v>153</v>
      </c>
      <c r="B82" s="134"/>
      <c r="C82" s="134"/>
      <c r="D82" s="117"/>
      <c r="E82" s="31">
        <v>0</v>
      </c>
      <c r="F82" s="33">
        <v>0.09</v>
      </c>
      <c r="G82" s="32">
        <v>1000000</v>
      </c>
      <c r="H82" s="31">
        <v>1</v>
      </c>
      <c r="I82" s="32">
        <v>30000</v>
      </c>
      <c r="J82" s="31">
        <v>1</v>
      </c>
      <c r="K82" s="32">
        <v>300000</v>
      </c>
      <c r="L82" s="31">
        <v>7.0000000000000007E-2</v>
      </c>
      <c r="M82" s="32">
        <v>150000</v>
      </c>
      <c r="N82" s="107"/>
      <c r="O82" s="152"/>
      <c r="P82" s="31">
        <v>0.02</v>
      </c>
      <c r="Q82" s="32">
        <v>1000000</v>
      </c>
      <c r="R82" s="31">
        <v>0.05</v>
      </c>
      <c r="S82" s="32">
        <v>10000</v>
      </c>
      <c r="T82" s="31">
        <v>0.02</v>
      </c>
      <c r="U82" s="32">
        <v>60000</v>
      </c>
      <c r="V82" s="159"/>
      <c r="W82" s="21"/>
      <c r="X82" s="31">
        <f>IF(C83="노트북",7%,IF(C83="저장&amp;주변기기",9%,IF(C83="모니터",7%)))</f>
        <v>7.0000000000000007E-2</v>
      </c>
      <c r="Y82" s="31">
        <v>0</v>
      </c>
      <c r="Z82" s="31">
        <v>0.03</v>
      </c>
      <c r="AA82" s="31">
        <v>0</v>
      </c>
      <c r="AB82" s="30">
        <v>0</v>
      </c>
      <c r="AC82" s="30">
        <v>1</v>
      </c>
      <c r="AD82" s="53">
        <v>1</v>
      </c>
      <c r="AE82" s="29">
        <v>0.5</v>
      </c>
      <c r="AF82" s="107"/>
      <c r="AG82" s="107"/>
      <c r="AH82" s="107"/>
      <c r="AI82" s="107"/>
      <c r="AJ82" s="107"/>
      <c r="AK82" s="117"/>
      <c r="AL82" s="119"/>
      <c r="AM82" s="121"/>
      <c r="AN82" s="55" t="s">
        <v>52</v>
      </c>
      <c r="AO82" s="56">
        <f>AN81-AO81</f>
        <v>4.3235735409237197E-2</v>
      </c>
      <c r="AQ82" s="107"/>
      <c r="AR82" s="107"/>
      <c r="AS82" s="107"/>
      <c r="AT82" s="107"/>
      <c r="AU82" s="107"/>
      <c r="AV82" s="107"/>
      <c r="AW82" s="39"/>
      <c r="AX82" s="107"/>
      <c r="AY82" s="117"/>
      <c r="AZ82" s="107"/>
      <c r="BA82" s="107"/>
      <c r="BC82" s="109"/>
      <c r="BD82" s="109"/>
      <c r="BF82" s="107"/>
    </row>
    <row r="83" spans="1:58" ht="27" customHeight="1" x14ac:dyDescent="0.3">
      <c r="A83" s="28">
        <v>4514843899</v>
      </c>
      <c r="B83" s="38" t="s">
        <v>35</v>
      </c>
      <c r="C83" s="27" t="s">
        <v>0</v>
      </c>
      <c r="D83" s="25">
        <v>1839520</v>
      </c>
      <c r="E83" s="24">
        <f>ROUNDDOWN(D83/(1-E82),-1)</f>
        <v>1839520</v>
      </c>
      <c r="F83" s="110">
        <f>ROUNDDOWN(IF(E83*F82&gt;G82,G82,E83*F82),-1)</f>
        <v>165550</v>
      </c>
      <c r="G83" s="111"/>
      <c r="H83" s="112">
        <f>ROUNDDOWN(IF(E83*H82&gt;I82,I82,E83*H82),-1)</f>
        <v>30000</v>
      </c>
      <c r="I83" s="113"/>
      <c r="J83" s="112">
        <f>ROUNDDOWN(IF(E83*J82&gt;K82,K82,E83*J82),-1)</f>
        <v>300000</v>
      </c>
      <c r="K83" s="113"/>
      <c r="L83" s="110">
        <f>ROUNDDOWN(IF(N83*L82&gt;M82,M82,N83*L82),-1)</f>
        <v>94070</v>
      </c>
      <c r="M83" s="111"/>
      <c r="N83" s="23">
        <f>E83-F83-H83-J83</f>
        <v>1343970</v>
      </c>
      <c r="O83" s="22">
        <f>E83-F83-H83-J83-L83</f>
        <v>1249900</v>
      </c>
      <c r="P83" s="110">
        <f>ROUNDDOWN(IF(N83*P82&gt;Q82,Q82,N83*P82),-1)</f>
        <v>26870</v>
      </c>
      <c r="Q83" s="111"/>
      <c r="R83" s="110">
        <f>ROUNDDOWN(IF(N83*R82&gt;S82,S82,N83*R82),-1)</f>
        <v>10000</v>
      </c>
      <c r="S83" s="111"/>
      <c r="T83" s="110">
        <f>ROUNDDOWN(IF(N83*T82&gt;U82,U82,N83*T82),-1)</f>
        <v>26870</v>
      </c>
      <c r="U83" s="111"/>
      <c r="V83" s="158">
        <f>O83-P83-R83-T83</f>
        <v>1186160</v>
      </c>
      <c r="W83" s="21"/>
      <c r="X83" s="20">
        <f>E83*X82</f>
        <v>128766.40000000001</v>
      </c>
      <c r="Y83" s="20">
        <f>E83*Y82</f>
        <v>0</v>
      </c>
      <c r="Z83" s="20">
        <f>(E83-H83)*Z82</f>
        <v>54285.599999999999</v>
      </c>
      <c r="AA83" s="19">
        <f>(E83*E82)*AA82</f>
        <v>0</v>
      </c>
      <c r="AB83" s="19">
        <f>F83*AB82</f>
        <v>0</v>
      </c>
      <c r="AC83" s="19">
        <f>H83*AC82</f>
        <v>30000</v>
      </c>
      <c r="AD83" s="19">
        <f>J83*AD82</f>
        <v>300000</v>
      </c>
      <c r="AE83" s="19">
        <f>L83*AE82</f>
        <v>47035</v>
      </c>
      <c r="AF83" s="19">
        <v>0</v>
      </c>
      <c r="AG83" s="16">
        <v>8000</v>
      </c>
      <c r="AH83" s="18">
        <f>E83-X83-Y83-Z83-AA83-AE83-AB83-AC83-AD83-AF83</f>
        <v>1279433</v>
      </c>
      <c r="AI83" s="18">
        <f>E83-X83-Y83-Z83-AA83-AB83-AC83-AD83-AE83-AF83-AG83</f>
        <v>1271433</v>
      </c>
      <c r="AJ83" s="17">
        <f>AI83-AK83</f>
        <v>-36567</v>
      </c>
      <c r="AK83" s="16">
        <v>1308000</v>
      </c>
      <c r="AL83" s="15">
        <f>AJ83/AK83</f>
        <v>-2.7956422018348623E-2</v>
      </c>
      <c r="AM83" s="14">
        <f>1-O83/(AK83-AQ83-AR83-AS83)</f>
        <v>6.4387917329093991E-3</v>
      </c>
      <c r="AN83" s="114">
        <f>(1-O83/E83)-(1-(AH83)/E83)</f>
        <v>1.6054731669131073E-2</v>
      </c>
      <c r="AO83" s="115"/>
      <c r="AQ83" s="13">
        <v>50000</v>
      </c>
      <c r="AR83" s="12"/>
      <c r="AS83" s="12">
        <v>0</v>
      </c>
      <c r="AT83" s="12"/>
      <c r="AU83" s="11">
        <f>AI83-(AK83-AQ83-AR83-AS83-AT83)</f>
        <v>13433</v>
      </c>
      <c r="AV83" s="8">
        <f>AU83/AK83</f>
        <v>1.0269877675840979E-2</v>
      </c>
      <c r="AX83" s="10">
        <v>0</v>
      </c>
      <c r="AY83" s="10">
        <v>0</v>
      </c>
      <c r="AZ83" s="9">
        <f>AU83-AX83-AY83</f>
        <v>13433</v>
      </c>
      <c r="BA83" s="8">
        <f>AZ83/AK83</f>
        <v>1.0269877675840979E-2</v>
      </c>
      <c r="BC83" s="49"/>
      <c r="BD83" s="50"/>
      <c r="BF83" s="6"/>
    </row>
    <row r="84" spans="1:58" x14ac:dyDescent="0.3">
      <c r="D84" s="5">
        <v>1399000</v>
      </c>
      <c r="E84" s="4">
        <f>ROUNDDOWN(D84/(1-E82),-1)</f>
        <v>1399000</v>
      </c>
      <c r="F84" s="138">
        <f>E83-F83</f>
        <v>1673970</v>
      </c>
      <c r="G84" s="138"/>
      <c r="H84" s="157">
        <f>E83-F83-H83</f>
        <v>1643970</v>
      </c>
      <c r="I84" s="157"/>
      <c r="O84" s="4"/>
      <c r="P84" s="162">
        <f>SUM(P83:U83)</f>
        <v>63740</v>
      </c>
      <c r="Q84" s="163"/>
      <c r="R84" s="163"/>
      <c r="S84" s="163"/>
      <c r="T84" s="163"/>
      <c r="U84" s="164"/>
      <c r="V84" s="4"/>
      <c r="AB84" s="3">
        <f>F84*AB82</f>
        <v>0</v>
      </c>
      <c r="AC84" s="3"/>
      <c r="AD84" s="3"/>
    </row>
    <row r="86" spans="1:58" x14ac:dyDescent="0.3">
      <c r="A86" s="43"/>
      <c r="B86" s="43"/>
      <c r="C86" s="43"/>
      <c r="D86" s="5"/>
    </row>
    <row r="87" spans="1:58" ht="27" customHeight="1" x14ac:dyDescent="0.3">
      <c r="A87" s="153" t="s">
        <v>34</v>
      </c>
      <c r="B87" s="127" t="s">
        <v>130</v>
      </c>
      <c r="C87" s="128"/>
      <c r="D87" s="128"/>
      <c r="E87" s="128"/>
      <c r="F87" s="128"/>
      <c r="G87" s="128"/>
      <c r="H87" s="128"/>
      <c r="I87" s="128"/>
      <c r="J87" s="128"/>
      <c r="K87" s="128"/>
      <c r="L87" s="128"/>
      <c r="M87" s="156"/>
      <c r="N87" s="127" t="s">
        <v>141</v>
      </c>
      <c r="O87" s="156"/>
      <c r="P87" s="165" t="s">
        <v>167</v>
      </c>
      <c r="Q87" s="166"/>
      <c r="R87" s="166"/>
      <c r="S87" s="166"/>
      <c r="T87" s="166"/>
      <c r="U87" s="166"/>
      <c r="V87" s="167"/>
      <c r="X87" s="130" t="s">
        <v>33</v>
      </c>
      <c r="Y87" s="131"/>
      <c r="Z87" s="131"/>
      <c r="AA87" s="131"/>
      <c r="AB87" s="131"/>
      <c r="AC87" s="131"/>
      <c r="AD87" s="131"/>
      <c r="AE87" s="131"/>
      <c r="AF87" s="131"/>
      <c r="AG87" s="131"/>
      <c r="AH87" s="131"/>
      <c r="AI87" s="131"/>
      <c r="AJ87" s="131"/>
      <c r="AK87" s="131"/>
      <c r="AL87" s="132"/>
      <c r="AM87" s="37"/>
      <c r="AQ87" s="130" t="s">
        <v>32</v>
      </c>
      <c r="AR87" s="131"/>
      <c r="AS87" s="131"/>
      <c r="AT87" s="131"/>
      <c r="AU87" s="131"/>
      <c r="AV87" s="132"/>
      <c r="AX87" s="130" t="s">
        <v>31</v>
      </c>
      <c r="AY87" s="131"/>
      <c r="AZ87" s="131"/>
      <c r="BA87" s="132"/>
      <c r="BC87" s="47" t="s">
        <v>36</v>
      </c>
      <c r="BD87" s="48"/>
      <c r="BF87" s="36"/>
    </row>
    <row r="88" spans="1:58" ht="32.25" customHeight="1" x14ac:dyDescent="0.3">
      <c r="A88" s="153"/>
      <c r="B88" s="133" t="s">
        <v>30</v>
      </c>
      <c r="C88" s="133" t="s">
        <v>29</v>
      </c>
      <c r="D88" s="116" t="s">
        <v>27</v>
      </c>
      <c r="E88" s="34" t="s">
        <v>26</v>
      </c>
      <c r="F88" s="122" t="s">
        <v>63</v>
      </c>
      <c r="G88" s="123"/>
      <c r="H88" s="122" t="s">
        <v>50</v>
      </c>
      <c r="I88" s="123"/>
      <c r="J88" s="122" t="s">
        <v>146</v>
      </c>
      <c r="K88" s="123"/>
      <c r="L88" s="122" t="s">
        <v>25</v>
      </c>
      <c r="M88" s="123"/>
      <c r="N88" s="106" t="s">
        <v>23</v>
      </c>
      <c r="O88" s="151" t="s">
        <v>137</v>
      </c>
      <c r="P88" s="122" t="s">
        <v>136</v>
      </c>
      <c r="Q88" s="123"/>
      <c r="R88" s="122" t="s">
        <v>143</v>
      </c>
      <c r="S88" s="123"/>
      <c r="T88" s="122" t="s">
        <v>144</v>
      </c>
      <c r="U88" s="123"/>
      <c r="V88" s="159" t="s">
        <v>142</v>
      </c>
      <c r="W88" s="21"/>
      <c r="X88" s="34" t="s">
        <v>21</v>
      </c>
      <c r="Y88" s="34" t="s">
        <v>20</v>
      </c>
      <c r="Z88" s="34" t="s">
        <v>95</v>
      </c>
      <c r="AA88" s="34" t="s">
        <v>19</v>
      </c>
      <c r="AB88" s="34" t="s">
        <v>18</v>
      </c>
      <c r="AC88" s="34" t="s">
        <v>48</v>
      </c>
      <c r="AD88" s="34" t="s">
        <v>49</v>
      </c>
      <c r="AE88" s="34" t="s">
        <v>17</v>
      </c>
      <c r="AF88" s="106" t="s">
        <v>16</v>
      </c>
      <c r="AG88" s="106" t="s">
        <v>15</v>
      </c>
      <c r="AH88" s="106" t="s">
        <v>14</v>
      </c>
      <c r="AI88" s="106" t="s">
        <v>13</v>
      </c>
      <c r="AJ88" s="106" t="s">
        <v>12</v>
      </c>
      <c r="AK88" s="116" t="s">
        <v>11</v>
      </c>
      <c r="AL88" s="118" t="s">
        <v>10</v>
      </c>
      <c r="AM88" s="120" t="s">
        <v>9</v>
      </c>
      <c r="AN88" s="35">
        <f>(1-O90/E90)</f>
        <v>0.32611235955056184</v>
      </c>
      <c r="AO88" s="35">
        <f>1-(AH90+AQ90)/E90</f>
        <v>0.19788764044943818</v>
      </c>
      <c r="AQ88" s="106" t="s">
        <v>8</v>
      </c>
      <c r="AR88" s="106" t="s">
        <v>7</v>
      </c>
      <c r="AS88" s="106" t="s">
        <v>37</v>
      </c>
      <c r="AT88" s="106" t="s">
        <v>38</v>
      </c>
      <c r="AU88" s="106" t="s">
        <v>6</v>
      </c>
      <c r="AV88" s="106" t="s">
        <v>5</v>
      </c>
      <c r="AX88" s="106" t="s">
        <v>4</v>
      </c>
      <c r="AY88" s="106" t="s">
        <v>3</v>
      </c>
      <c r="AZ88" s="106" t="s">
        <v>2</v>
      </c>
      <c r="BA88" s="106" t="s">
        <v>1</v>
      </c>
      <c r="BC88" s="108"/>
      <c r="BD88" s="108"/>
      <c r="BF88" s="106"/>
    </row>
    <row r="89" spans="1:58" ht="27" customHeight="1" x14ac:dyDescent="0.3">
      <c r="A89" s="154" t="s">
        <v>154</v>
      </c>
      <c r="B89" s="134"/>
      <c r="C89" s="134"/>
      <c r="D89" s="117"/>
      <c r="E89" s="31">
        <v>0</v>
      </c>
      <c r="F89" s="33">
        <v>0.09</v>
      </c>
      <c r="G89" s="32">
        <v>1000000</v>
      </c>
      <c r="H89" s="31">
        <v>1</v>
      </c>
      <c r="I89" s="32">
        <v>30000</v>
      </c>
      <c r="J89" s="31">
        <v>1</v>
      </c>
      <c r="K89" s="32">
        <v>300000</v>
      </c>
      <c r="L89" s="31">
        <v>7.0000000000000007E-2</v>
      </c>
      <c r="M89" s="32">
        <v>150000</v>
      </c>
      <c r="N89" s="107"/>
      <c r="O89" s="152"/>
      <c r="P89" s="31">
        <v>0.02</v>
      </c>
      <c r="Q89" s="32">
        <v>1000000</v>
      </c>
      <c r="R89" s="31">
        <v>0.05</v>
      </c>
      <c r="S89" s="32">
        <v>10000</v>
      </c>
      <c r="T89" s="31">
        <v>0.02</v>
      </c>
      <c r="U89" s="32">
        <v>60000</v>
      </c>
      <c r="V89" s="159"/>
      <c r="W89" s="21"/>
      <c r="X89" s="31">
        <f>IF(C90="노트북",7%,IF(C90="저장&amp;주변기기",9%,IF(C90="모니터",7%)))</f>
        <v>7.0000000000000007E-2</v>
      </c>
      <c r="Y89" s="31">
        <v>0</v>
      </c>
      <c r="Z89" s="31">
        <v>0.03</v>
      </c>
      <c r="AA89" s="31">
        <f>IF(F89=0%,20%,0%)</f>
        <v>0</v>
      </c>
      <c r="AB89" s="30">
        <v>0</v>
      </c>
      <c r="AC89" s="30">
        <v>1</v>
      </c>
      <c r="AD89" s="53">
        <v>1</v>
      </c>
      <c r="AE89" s="29">
        <v>0.5</v>
      </c>
      <c r="AF89" s="107"/>
      <c r="AG89" s="107"/>
      <c r="AH89" s="107"/>
      <c r="AI89" s="107"/>
      <c r="AJ89" s="107"/>
      <c r="AK89" s="117"/>
      <c r="AL89" s="119"/>
      <c r="AM89" s="121"/>
      <c r="AN89" s="55" t="s">
        <v>52</v>
      </c>
      <c r="AO89" s="56">
        <f>AN88-AO88</f>
        <v>0.12822471910112365</v>
      </c>
      <c r="AQ89" s="107"/>
      <c r="AR89" s="107"/>
      <c r="AS89" s="107"/>
      <c r="AT89" s="107"/>
      <c r="AU89" s="107"/>
      <c r="AV89" s="107"/>
      <c r="AW89" s="39"/>
      <c r="AX89" s="107"/>
      <c r="AY89" s="117"/>
      <c r="AZ89" s="107"/>
      <c r="BA89" s="107"/>
      <c r="BC89" s="109"/>
      <c r="BD89" s="109"/>
      <c r="BF89" s="107"/>
    </row>
    <row r="90" spans="1:58" ht="27" customHeight="1" x14ac:dyDescent="0.3">
      <c r="A90" s="28">
        <v>4514865274</v>
      </c>
      <c r="B90" s="38" t="s">
        <v>35</v>
      </c>
      <c r="C90" s="27" t="s">
        <v>0</v>
      </c>
      <c r="D90" s="25">
        <v>1780000</v>
      </c>
      <c r="E90" s="24">
        <f>ROUNDDOWN(D90/(1-E89),-1)</f>
        <v>1780000</v>
      </c>
      <c r="F90" s="110">
        <f>ROUNDDOWN(IF(E90*F89&gt;G89,G89,E90*F89),-1)</f>
        <v>160200</v>
      </c>
      <c r="G90" s="111"/>
      <c r="H90" s="112">
        <f>ROUNDDOWN(IF(E90*H89&gt;I89,I89,E90*H89),-1)</f>
        <v>30000</v>
      </c>
      <c r="I90" s="113"/>
      <c r="J90" s="112">
        <f>ROUNDDOWN(IF(E90*J89&gt;K89,K89,E90*J89),-1)</f>
        <v>300000</v>
      </c>
      <c r="K90" s="113"/>
      <c r="L90" s="110">
        <f>ROUNDDOWN(IF(N90*L89&gt;M89,M89,N90*L89),-1)</f>
        <v>90280</v>
      </c>
      <c r="M90" s="111"/>
      <c r="N90" s="23">
        <f>E90-F90-H90-J90</f>
        <v>1289800</v>
      </c>
      <c r="O90" s="22">
        <f>E90-F90-H90-J90-L90</f>
        <v>1199520</v>
      </c>
      <c r="P90" s="110">
        <f>ROUNDDOWN(IF(N90*P89&gt;Q89,Q89,N90*P89),-1)</f>
        <v>25790</v>
      </c>
      <c r="Q90" s="111"/>
      <c r="R90" s="110">
        <f>ROUNDDOWN(IF(N90*R89&gt;S89,S89,N90*R89),-1)</f>
        <v>10000</v>
      </c>
      <c r="S90" s="111"/>
      <c r="T90" s="110">
        <f>ROUNDDOWN(IF(N90*T89&gt;U89,U89,N90*T89),-1)</f>
        <v>25790</v>
      </c>
      <c r="U90" s="111"/>
      <c r="V90" s="158">
        <f>O90-P90-R90-T90</f>
        <v>1137940</v>
      </c>
      <c r="W90" s="21"/>
      <c r="X90" s="20">
        <f>E90*X89</f>
        <v>124600.00000000001</v>
      </c>
      <c r="Y90" s="20">
        <f>E90*Y89</f>
        <v>0</v>
      </c>
      <c r="Z90" s="20">
        <f>(E90-H90)*Z89</f>
        <v>52500</v>
      </c>
      <c r="AA90" s="19">
        <f>(E90*E89)*AA89</f>
        <v>0</v>
      </c>
      <c r="AB90" s="19">
        <f>F90*AB89</f>
        <v>0</v>
      </c>
      <c r="AC90" s="19">
        <f>H90*AC89</f>
        <v>30000</v>
      </c>
      <c r="AD90" s="19">
        <f>J90*AD89</f>
        <v>300000</v>
      </c>
      <c r="AE90" s="19">
        <f>L90*AE89</f>
        <v>45140</v>
      </c>
      <c r="AF90" s="19">
        <v>0</v>
      </c>
      <c r="AG90" s="16">
        <v>8000</v>
      </c>
      <c r="AH90" s="18">
        <f>E90-X90-Y90-Z90-AA90-AE90-AB90-AC90-AD90-AF90</f>
        <v>1227760</v>
      </c>
      <c r="AI90" s="18">
        <f>E90-X90-Y90-Z90-AA90-AB90-AC90-AD90-AE90-AF90-AG90</f>
        <v>1219760</v>
      </c>
      <c r="AJ90" s="17">
        <f>AI90-AK90</f>
        <v>-190240</v>
      </c>
      <c r="AK90" s="16">
        <v>1410000</v>
      </c>
      <c r="AL90" s="15">
        <f>AJ90/AK90</f>
        <v>-0.13492198581560283</v>
      </c>
      <c r="AM90" s="14">
        <f>1-O90/(AK90-AQ90-AR90-AS90)</f>
        <v>8.66115702479342E-3</v>
      </c>
      <c r="AN90" s="114">
        <f>(1-O90/E90)-(1-(AH90)/E90)</f>
        <v>1.5865168539325847E-2</v>
      </c>
      <c r="AO90" s="115"/>
      <c r="AQ90" s="13">
        <v>200000</v>
      </c>
      <c r="AR90" s="12"/>
      <c r="AS90" s="12">
        <v>0</v>
      </c>
      <c r="AT90" s="12"/>
      <c r="AU90" s="11">
        <f>AI90-(AK90-AQ90-AR90-AS90-AT90)</f>
        <v>9760</v>
      </c>
      <c r="AV90" s="8">
        <f>AU90/AK90</f>
        <v>6.9219858156028373E-3</v>
      </c>
      <c r="AX90" s="10">
        <v>0</v>
      </c>
      <c r="AY90" s="10">
        <v>0</v>
      </c>
      <c r="AZ90" s="9">
        <f>AU90-AX90-AY90</f>
        <v>9760</v>
      </c>
      <c r="BA90" s="8">
        <f>AZ90/AK90</f>
        <v>6.9219858156028373E-3</v>
      </c>
      <c r="BC90" s="49"/>
      <c r="BD90" s="50"/>
      <c r="BF90" s="6"/>
    </row>
    <row r="91" spans="1:58" x14ac:dyDescent="0.3">
      <c r="D91" s="5">
        <v>1499000</v>
      </c>
      <c r="E91" s="4">
        <f>ROUNDDOWN(D91/(1-E89),-1)</f>
        <v>1499000</v>
      </c>
      <c r="F91" s="138">
        <f>E90-F90</f>
        <v>1619800</v>
      </c>
      <c r="G91" s="138"/>
      <c r="H91" s="157">
        <f>E90-F90-H90</f>
        <v>1589800</v>
      </c>
      <c r="I91" s="157"/>
      <c r="O91" s="4"/>
      <c r="P91" s="162">
        <f>SUM(P90:U90)</f>
        <v>61580</v>
      </c>
      <c r="Q91" s="163"/>
      <c r="R91" s="163"/>
      <c r="S91" s="163"/>
      <c r="T91" s="163"/>
      <c r="U91" s="164"/>
      <c r="V91" s="4"/>
      <c r="AB91" s="3">
        <f>F91*AB89</f>
        <v>0</v>
      </c>
      <c r="AC91" s="3"/>
      <c r="AD91" s="3"/>
    </row>
    <row r="92" spans="1:58" x14ac:dyDescent="0.3">
      <c r="A92" s="43"/>
      <c r="B92" s="43"/>
      <c r="C92" s="43"/>
      <c r="D92" s="5"/>
    </row>
    <row r="93" spans="1:58" x14ac:dyDescent="0.3">
      <c r="A93" s="43"/>
      <c r="B93" s="43"/>
      <c r="C93" s="43"/>
      <c r="D93" s="5"/>
    </row>
    <row r="94" spans="1:58" ht="27" customHeight="1" x14ac:dyDescent="0.3">
      <c r="A94" s="153" t="s">
        <v>34</v>
      </c>
      <c r="B94" s="127" t="s">
        <v>130</v>
      </c>
      <c r="C94" s="128"/>
      <c r="D94" s="128"/>
      <c r="E94" s="128"/>
      <c r="F94" s="128"/>
      <c r="G94" s="128"/>
      <c r="H94" s="128"/>
      <c r="I94" s="128"/>
      <c r="J94" s="128"/>
      <c r="K94" s="128"/>
      <c r="L94" s="128"/>
      <c r="M94" s="156"/>
      <c r="N94" s="127" t="s">
        <v>141</v>
      </c>
      <c r="O94" s="156"/>
      <c r="P94" s="165" t="s">
        <v>167</v>
      </c>
      <c r="Q94" s="166"/>
      <c r="R94" s="166"/>
      <c r="S94" s="166"/>
      <c r="T94" s="166"/>
      <c r="U94" s="166"/>
      <c r="V94" s="167"/>
      <c r="X94" s="130" t="s">
        <v>33</v>
      </c>
      <c r="Y94" s="131"/>
      <c r="Z94" s="131"/>
      <c r="AA94" s="131"/>
      <c r="AB94" s="131"/>
      <c r="AC94" s="131"/>
      <c r="AD94" s="131"/>
      <c r="AE94" s="131"/>
      <c r="AF94" s="131"/>
      <c r="AG94" s="131"/>
      <c r="AH94" s="131"/>
      <c r="AI94" s="131"/>
      <c r="AJ94" s="131"/>
      <c r="AK94" s="131"/>
      <c r="AL94" s="132"/>
      <c r="AM94" s="37"/>
      <c r="AQ94" s="130" t="s">
        <v>32</v>
      </c>
      <c r="AR94" s="131"/>
      <c r="AS94" s="131"/>
      <c r="AT94" s="131"/>
      <c r="AU94" s="131"/>
      <c r="AV94" s="132"/>
      <c r="AX94" s="130" t="s">
        <v>31</v>
      </c>
      <c r="AY94" s="131"/>
      <c r="AZ94" s="131"/>
      <c r="BA94" s="132"/>
      <c r="BC94" s="47" t="s">
        <v>36</v>
      </c>
      <c r="BD94" s="48"/>
      <c r="BF94" s="36"/>
    </row>
    <row r="95" spans="1:58" ht="32.25" customHeight="1" x14ac:dyDescent="0.3">
      <c r="A95" s="153"/>
      <c r="B95" s="133" t="s">
        <v>30</v>
      </c>
      <c r="C95" s="133" t="s">
        <v>29</v>
      </c>
      <c r="D95" s="116" t="s">
        <v>27</v>
      </c>
      <c r="E95" s="34" t="s">
        <v>26</v>
      </c>
      <c r="F95" s="122" t="s">
        <v>63</v>
      </c>
      <c r="G95" s="123"/>
      <c r="H95" s="122" t="s">
        <v>50</v>
      </c>
      <c r="I95" s="123"/>
      <c r="J95" s="122" t="s">
        <v>146</v>
      </c>
      <c r="K95" s="123"/>
      <c r="L95" s="122" t="s">
        <v>25</v>
      </c>
      <c r="M95" s="123"/>
      <c r="N95" s="106" t="s">
        <v>23</v>
      </c>
      <c r="O95" s="151" t="s">
        <v>137</v>
      </c>
      <c r="P95" s="122" t="s">
        <v>136</v>
      </c>
      <c r="Q95" s="123"/>
      <c r="R95" s="122" t="s">
        <v>143</v>
      </c>
      <c r="S95" s="123"/>
      <c r="T95" s="122" t="s">
        <v>144</v>
      </c>
      <c r="U95" s="123"/>
      <c r="V95" s="159" t="s">
        <v>142</v>
      </c>
      <c r="W95" s="21"/>
      <c r="X95" s="34" t="s">
        <v>21</v>
      </c>
      <c r="Y95" s="34" t="s">
        <v>20</v>
      </c>
      <c r="Z95" s="34" t="s">
        <v>95</v>
      </c>
      <c r="AA95" s="34" t="s">
        <v>19</v>
      </c>
      <c r="AB95" s="34" t="s">
        <v>18</v>
      </c>
      <c r="AC95" s="34" t="s">
        <v>48</v>
      </c>
      <c r="AD95" s="34" t="s">
        <v>49</v>
      </c>
      <c r="AE95" s="34" t="s">
        <v>17</v>
      </c>
      <c r="AF95" s="106" t="s">
        <v>16</v>
      </c>
      <c r="AG95" s="106" t="s">
        <v>15</v>
      </c>
      <c r="AH95" s="106" t="s">
        <v>14</v>
      </c>
      <c r="AI95" s="106" t="s">
        <v>13</v>
      </c>
      <c r="AJ95" s="106" t="s">
        <v>12</v>
      </c>
      <c r="AK95" s="116" t="s">
        <v>11</v>
      </c>
      <c r="AL95" s="118" t="s">
        <v>10</v>
      </c>
      <c r="AM95" s="120" t="s">
        <v>9</v>
      </c>
      <c r="AN95" s="35">
        <f>(1-O97/E97)</f>
        <v>0.31238366080661839</v>
      </c>
      <c r="AO95" s="35">
        <f>1-(AH97+AQ97)/E97</f>
        <v>0.21848241985522232</v>
      </c>
      <c r="AQ95" s="106" t="s">
        <v>8</v>
      </c>
      <c r="AR95" s="106" t="s">
        <v>7</v>
      </c>
      <c r="AS95" s="106" t="s">
        <v>37</v>
      </c>
      <c r="AT95" s="106" t="s">
        <v>38</v>
      </c>
      <c r="AU95" s="106" t="s">
        <v>6</v>
      </c>
      <c r="AV95" s="106" t="s">
        <v>5</v>
      </c>
      <c r="AX95" s="106" t="s">
        <v>4</v>
      </c>
      <c r="AY95" s="106" t="s">
        <v>3</v>
      </c>
      <c r="AZ95" s="106" t="s">
        <v>2</v>
      </c>
      <c r="BA95" s="106" t="s">
        <v>1</v>
      </c>
      <c r="BC95" s="108"/>
      <c r="BD95" s="108"/>
      <c r="BF95" s="106"/>
    </row>
    <row r="96" spans="1:58" ht="27" customHeight="1" x14ac:dyDescent="0.3">
      <c r="A96" s="154" t="s">
        <v>155</v>
      </c>
      <c r="B96" s="134"/>
      <c r="C96" s="134"/>
      <c r="D96" s="117"/>
      <c r="E96" s="31">
        <v>0</v>
      </c>
      <c r="F96" s="33">
        <v>0.09</v>
      </c>
      <c r="G96" s="32">
        <v>1000000</v>
      </c>
      <c r="H96" s="31">
        <v>1</v>
      </c>
      <c r="I96" s="32">
        <v>30000</v>
      </c>
      <c r="J96" s="31">
        <v>1</v>
      </c>
      <c r="K96" s="32">
        <v>300000</v>
      </c>
      <c r="L96" s="31">
        <v>7.0000000000000007E-2</v>
      </c>
      <c r="M96" s="32">
        <v>150000</v>
      </c>
      <c r="N96" s="107"/>
      <c r="O96" s="152"/>
      <c r="P96" s="31">
        <v>0.02</v>
      </c>
      <c r="Q96" s="32">
        <v>1000000</v>
      </c>
      <c r="R96" s="31">
        <v>0.05</v>
      </c>
      <c r="S96" s="32">
        <v>10000</v>
      </c>
      <c r="T96" s="31">
        <v>0.02</v>
      </c>
      <c r="U96" s="32">
        <v>60000</v>
      </c>
      <c r="V96" s="159"/>
      <c r="W96" s="21"/>
      <c r="X96" s="31">
        <f>IF(C97="노트북",7%,IF(C97="저장&amp;주변기기",9%,IF(C97="모니터",7%)))</f>
        <v>7.0000000000000007E-2</v>
      </c>
      <c r="Y96" s="31">
        <v>0</v>
      </c>
      <c r="Z96" s="31">
        <v>0.03</v>
      </c>
      <c r="AA96" s="31">
        <f>IF(F96=0%,20%,0%)</f>
        <v>0</v>
      </c>
      <c r="AB96" s="30">
        <v>0</v>
      </c>
      <c r="AC96" s="30">
        <v>1</v>
      </c>
      <c r="AD96" s="53">
        <v>1</v>
      </c>
      <c r="AE96" s="29">
        <v>0.5</v>
      </c>
      <c r="AF96" s="107"/>
      <c r="AG96" s="107"/>
      <c r="AH96" s="107"/>
      <c r="AI96" s="107"/>
      <c r="AJ96" s="107"/>
      <c r="AK96" s="117"/>
      <c r="AL96" s="119"/>
      <c r="AM96" s="121"/>
      <c r="AN96" s="55" t="s">
        <v>52</v>
      </c>
      <c r="AO96" s="56">
        <f>AN95-AO95</f>
        <v>9.390124095139607E-2</v>
      </c>
      <c r="AQ96" s="107"/>
      <c r="AR96" s="107"/>
      <c r="AS96" s="107"/>
      <c r="AT96" s="107"/>
      <c r="AU96" s="107"/>
      <c r="AV96" s="107"/>
      <c r="AW96" s="39"/>
      <c r="AX96" s="107"/>
      <c r="AY96" s="117"/>
      <c r="AZ96" s="107"/>
      <c r="BA96" s="107"/>
      <c r="BC96" s="109"/>
      <c r="BD96" s="109"/>
      <c r="BF96" s="107"/>
    </row>
    <row r="97" spans="1:58" ht="27" customHeight="1" x14ac:dyDescent="0.3">
      <c r="A97" s="28">
        <v>4742601146</v>
      </c>
      <c r="B97" s="38" t="s">
        <v>35</v>
      </c>
      <c r="C97" s="27" t="s">
        <v>0</v>
      </c>
      <c r="D97" s="25">
        <v>1934000</v>
      </c>
      <c r="E97" s="24">
        <f>ROUNDDOWN(D97/(1-E96),-1)</f>
        <v>1934000</v>
      </c>
      <c r="F97" s="110">
        <f>ROUNDDOWN(IF(E97*F96&gt;G96,G96,E97*F96),-1)</f>
        <v>174060</v>
      </c>
      <c r="G97" s="111"/>
      <c r="H97" s="112">
        <f>ROUNDDOWN(IF(E97*H96&gt;I96,I96,E97*H96),-1)</f>
        <v>30000</v>
      </c>
      <c r="I97" s="113"/>
      <c r="J97" s="112">
        <f>ROUNDDOWN(IF(E97*J96&gt;K96,K96,E97*J96),-1)</f>
        <v>300000</v>
      </c>
      <c r="K97" s="113"/>
      <c r="L97" s="110">
        <f>ROUNDDOWN(IF(N97*L96&gt;M96,M96,N97*L96),-1)</f>
        <v>100090</v>
      </c>
      <c r="M97" s="111"/>
      <c r="N97" s="23">
        <f>E97-F97-H97-J97</f>
        <v>1429940</v>
      </c>
      <c r="O97" s="22">
        <f>E97-F97-H97-J97-L97</f>
        <v>1329850</v>
      </c>
      <c r="P97" s="110">
        <f>ROUNDDOWN(IF(N97*P96&gt;Q96,Q96,N97*P96),-1)</f>
        <v>28590</v>
      </c>
      <c r="Q97" s="111"/>
      <c r="R97" s="110">
        <f>ROUNDDOWN(IF(N97*R96&gt;S96,S96,N97*R96),-1)</f>
        <v>10000</v>
      </c>
      <c r="S97" s="111"/>
      <c r="T97" s="110">
        <f>ROUNDDOWN(IF(N97*T96&gt;U96,U96,N97*T96),-1)</f>
        <v>28590</v>
      </c>
      <c r="U97" s="111"/>
      <c r="V97" s="158">
        <f>O97-P97-R97-T97</f>
        <v>1262670</v>
      </c>
      <c r="W97" s="21"/>
      <c r="X97" s="20">
        <f>E97*X96</f>
        <v>135380</v>
      </c>
      <c r="Y97" s="20">
        <f>E97*Y96</f>
        <v>0</v>
      </c>
      <c r="Z97" s="20">
        <f>(E97-H97)*Z96</f>
        <v>57120</v>
      </c>
      <c r="AA97" s="19">
        <f>(E97*E96)*AA96</f>
        <v>0</v>
      </c>
      <c r="AB97" s="19">
        <f>F97*AB96</f>
        <v>0</v>
      </c>
      <c r="AC97" s="19">
        <f>H97*AC96</f>
        <v>30000</v>
      </c>
      <c r="AD97" s="19">
        <f>J97*AD96</f>
        <v>300000</v>
      </c>
      <c r="AE97" s="19">
        <f>L97*AE96</f>
        <v>50045</v>
      </c>
      <c r="AF97" s="19">
        <v>0</v>
      </c>
      <c r="AG97" s="16">
        <v>8000</v>
      </c>
      <c r="AH97" s="18">
        <f>E97-X97-Y97-Z97-AA97-AE97-AB97-AC97-AD97-AF97</f>
        <v>1361455</v>
      </c>
      <c r="AI97" s="18">
        <f>E97-X97-Y97-Z97-AA97-AB97-AC97-AD97-AE97-AF97-AG97</f>
        <v>1353455</v>
      </c>
      <c r="AJ97" s="17">
        <f>AI97-AK97</f>
        <v>-133545</v>
      </c>
      <c r="AK97" s="16">
        <v>1487000</v>
      </c>
      <c r="AL97" s="15">
        <f>AJ97/AK97</f>
        <v>-8.9808338937457974E-2</v>
      </c>
      <c r="AM97" s="14">
        <f>1-O97/(AK97-AQ97-AR97-AS97)</f>
        <v>5.3477935676888855E-3</v>
      </c>
      <c r="AN97" s="114">
        <f>(1-O97/E97)-(1-(AH97)/E97)</f>
        <v>1.6341778697001041E-2</v>
      </c>
      <c r="AO97" s="115"/>
      <c r="AQ97" s="13">
        <v>150000</v>
      </c>
      <c r="AR97" s="12"/>
      <c r="AS97" s="12">
        <v>0</v>
      </c>
      <c r="AT97" s="12"/>
      <c r="AU97" s="11">
        <f>AI97-(AK97-AQ97-AR97-AS97-AT97)</f>
        <v>16455</v>
      </c>
      <c r="AV97" s="8">
        <f>AU97/AK97</f>
        <v>1.1065904505716206E-2</v>
      </c>
      <c r="AX97" s="10">
        <v>0</v>
      </c>
      <c r="AY97" s="10">
        <v>0</v>
      </c>
      <c r="AZ97" s="9">
        <f>AU97-AX97-AY97</f>
        <v>16455</v>
      </c>
      <c r="BA97" s="8">
        <f>AZ97/AK97</f>
        <v>1.1065904505716206E-2</v>
      </c>
      <c r="BC97" s="49"/>
      <c r="BD97" s="50"/>
      <c r="BF97" s="6"/>
    </row>
    <row r="98" spans="1:58" x14ac:dyDescent="0.3">
      <c r="D98" s="5">
        <v>1599000</v>
      </c>
      <c r="E98" s="4">
        <f>ROUNDDOWN(D98/(1-E96),-1)</f>
        <v>1599000</v>
      </c>
      <c r="F98" s="138">
        <f>E97-F97</f>
        <v>1759940</v>
      </c>
      <c r="G98" s="138"/>
      <c r="H98" s="157">
        <f>E97-F97-H97</f>
        <v>1729940</v>
      </c>
      <c r="I98" s="157"/>
      <c r="O98" s="4"/>
      <c r="P98" s="162">
        <f>SUM(P97:U97)</f>
        <v>67180</v>
      </c>
      <c r="Q98" s="163"/>
      <c r="R98" s="163"/>
      <c r="S98" s="163"/>
      <c r="T98" s="163"/>
      <c r="U98" s="164"/>
      <c r="V98" s="4"/>
      <c r="AB98" s="3">
        <f>F98*AB96</f>
        <v>0</v>
      </c>
      <c r="AC98" s="3"/>
      <c r="AD98" s="3"/>
      <c r="AK98" s="57"/>
    </row>
    <row r="99" spans="1:58" x14ac:dyDescent="0.3">
      <c r="D99" s="5"/>
      <c r="E99" s="4"/>
      <c r="F99" s="89"/>
      <c r="G99" s="89"/>
      <c r="I99" s="54"/>
      <c r="O99" s="4"/>
      <c r="P99" s="4"/>
      <c r="Q99" s="4"/>
      <c r="R99" s="4"/>
      <c r="S99" s="4"/>
      <c r="T99" s="4"/>
      <c r="U99" s="4"/>
      <c r="V99" s="4"/>
      <c r="AB99" s="3"/>
      <c r="AC99" s="3"/>
      <c r="AD99" s="3"/>
      <c r="AK99" s="57"/>
    </row>
    <row r="100" spans="1:58" x14ac:dyDescent="0.3">
      <c r="D100" s="5"/>
      <c r="E100" s="4"/>
      <c r="F100" s="89"/>
      <c r="G100" s="89"/>
      <c r="I100" s="54"/>
      <c r="O100" s="4"/>
      <c r="P100" s="4"/>
      <c r="Q100" s="4"/>
      <c r="R100" s="4"/>
      <c r="S100" s="4"/>
      <c r="T100" s="4"/>
      <c r="U100" s="4"/>
      <c r="V100" s="4"/>
      <c r="AB100" s="3"/>
      <c r="AC100" s="3"/>
      <c r="AD100" s="3"/>
      <c r="AK100" s="57"/>
    </row>
    <row r="101" spans="1:58" ht="27" customHeight="1" x14ac:dyDescent="0.3">
      <c r="A101" s="153" t="s">
        <v>34</v>
      </c>
      <c r="B101" s="127" t="s">
        <v>130</v>
      </c>
      <c r="C101" s="128"/>
      <c r="D101" s="128"/>
      <c r="E101" s="128"/>
      <c r="F101" s="128"/>
      <c r="G101" s="128"/>
      <c r="H101" s="128"/>
      <c r="I101" s="128"/>
      <c r="J101" s="128"/>
      <c r="K101" s="128"/>
      <c r="L101" s="128"/>
      <c r="M101" s="156"/>
      <c r="N101" s="127" t="s">
        <v>141</v>
      </c>
      <c r="O101" s="156"/>
      <c r="P101" s="165" t="s">
        <v>167</v>
      </c>
      <c r="Q101" s="166"/>
      <c r="R101" s="166"/>
      <c r="S101" s="166"/>
      <c r="T101" s="166"/>
      <c r="U101" s="166"/>
      <c r="V101" s="167"/>
      <c r="X101" s="130" t="s">
        <v>33</v>
      </c>
      <c r="Y101" s="131"/>
      <c r="Z101" s="131"/>
      <c r="AA101" s="131"/>
      <c r="AB101" s="131"/>
      <c r="AC101" s="131"/>
      <c r="AD101" s="131"/>
      <c r="AE101" s="131"/>
      <c r="AF101" s="131"/>
      <c r="AG101" s="131"/>
      <c r="AH101" s="131"/>
      <c r="AI101" s="131"/>
      <c r="AJ101" s="131"/>
      <c r="AK101" s="131"/>
      <c r="AL101" s="132"/>
      <c r="AM101" s="37"/>
      <c r="AQ101" s="130" t="s">
        <v>32</v>
      </c>
      <c r="AR101" s="131"/>
      <c r="AS101" s="131"/>
      <c r="AT101" s="131"/>
      <c r="AU101" s="131"/>
      <c r="AV101" s="132"/>
      <c r="AX101" s="130" t="s">
        <v>31</v>
      </c>
      <c r="AY101" s="131"/>
      <c r="AZ101" s="131"/>
      <c r="BA101" s="132"/>
      <c r="BC101" s="47" t="s">
        <v>36</v>
      </c>
      <c r="BD101" s="48"/>
      <c r="BF101" s="36"/>
    </row>
    <row r="102" spans="1:58" ht="32.25" customHeight="1" x14ac:dyDescent="0.3">
      <c r="A102" s="153"/>
      <c r="B102" s="133" t="s">
        <v>30</v>
      </c>
      <c r="C102" s="133" t="s">
        <v>29</v>
      </c>
      <c r="D102" s="116" t="s">
        <v>27</v>
      </c>
      <c r="E102" s="34" t="s">
        <v>26</v>
      </c>
      <c r="F102" s="122" t="s">
        <v>63</v>
      </c>
      <c r="G102" s="123"/>
      <c r="H102" s="122" t="s">
        <v>50</v>
      </c>
      <c r="I102" s="123"/>
      <c r="J102" s="122" t="s">
        <v>146</v>
      </c>
      <c r="K102" s="123"/>
      <c r="L102" s="122" t="s">
        <v>25</v>
      </c>
      <c r="M102" s="123"/>
      <c r="N102" s="106" t="s">
        <v>23</v>
      </c>
      <c r="O102" s="151" t="s">
        <v>137</v>
      </c>
      <c r="P102" s="122" t="s">
        <v>136</v>
      </c>
      <c r="Q102" s="123"/>
      <c r="R102" s="122" t="s">
        <v>143</v>
      </c>
      <c r="S102" s="123"/>
      <c r="T102" s="122" t="s">
        <v>144</v>
      </c>
      <c r="U102" s="123"/>
      <c r="V102" s="159" t="s">
        <v>142</v>
      </c>
      <c r="W102" s="21"/>
      <c r="X102" s="34" t="s">
        <v>21</v>
      </c>
      <c r="Y102" s="34" t="s">
        <v>20</v>
      </c>
      <c r="Z102" s="34" t="s">
        <v>95</v>
      </c>
      <c r="AA102" s="34" t="s">
        <v>19</v>
      </c>
      <c r="AB102" s="34" t="s">
        <v>18</v>
      </c>
      <c r="AC102" s="34" t="s">
        <v>48</v>
      </c>
      <c r="AD102" s="34" t="s">
        <v>49</v>
      </c>
      <c r="AE102" s="34" t="s">
        <v>17</v>
      </c>
      <c r="AF102" s="106" t="s">
        <v>16</v>
      </c>
      <c r="AG102" s="106" t="s">
        <v>15</v>
      </c>
      <c r="AH102" s="106" t="s">
        <v>14</v>
      </c>
      <c r="AI102" s="106" t="s">
        <v>13</v>
      </c>
      <c r="AJ102" s="106" t="s">
        <v>12</v>
      </c>
      <c r="AK102" s="116" t="s">
        <v>11</v>
      </c>
      <c r="AL102" s="118" t="s">
        <v>10</v>
      </c>
      <c r="AM102" s="120" t="s">
        <v>9</v>
      </c>
      <c r="AN102" s="35">
        <f>(1-O104/E104)</f>
        <v>0.28514524101184713</v>
      </c>
      <c r="AO102" s="35">
        <f>1-(AH104+AQ104)/E104</f>
        <v>0.20361325029767774</v>
      </c>
      <c r="AQ102" s="106" t="s">
        <v>8</v>
      </c>
      <c r="AR102" s="106" t="s">
        <v>7</v>
      </c>
      <c r="AS102" s="106" t="s">
        <v>37</v>
      </c>
      <c r="AT102" s="106" t="s">
        <v>38</v>
      </c>
      <c r="AU102" s="106" t="s">
        <v>6</v>
      </c>
      <c r="AV102" s="106" t="s">
        <v>5</v>
      </c>
      <c r="AX102" s="106" t="s">
        <v>4</v>
      </c>
      <c r="AY102" s="106" t="s">
        <v>3</v>
      </c>
      <c r="AZ102" s="106" t="s">
        <v>2</v>
      </c>
      <c r="BA102" s="106" t="s">
        <v>1</v>
      </c>
      <c r="BC102" s="108"/>
      <c r="BD102" s="108"/>
      <c r="BF102" s="106"/>
    </row>
    <row r="103" spans="1:58" ht="27" customHeight="1" x14ac:dyDescent="0.3">
      <c r="A103" s="154" t="s">
        <v>156</v>
      </c>
      <c r="B103" s="134"/>
      <c r="C103" s="134"/>
      <c r="D103" s="117"/>
      <c r="E103" s="31">
        <v>0</v>
      </c>
      <c r="F103" s="33">
        <v>0.09</v>
      </c>
      <c r="G103" s="32">
        <v>1000000</v>
      </c>
      <c r="H103" s="31">
        <v>1</v>
      </c>
      <c r="I103" s="32">
        <v>30000</v>
      </c>
      <c r="J103" s="31">
        <v>1</v>
      </c>
      <c r="K103" s="32">
        <v>300000</v>
      </c>
      <c r="L103" s="31">
        <v>7.0000000000000007E-2</v>
      </c>
      <c r="M103" s="32">
        <v>150000</v>
      </c>
      <c r="N103" s="107"/>
      <c r="O103" s="152"/>
      <c r="P103" s="31">
        <v>0.02</v>
      </c>
      <c r="Q103" s="32">
        <v>1000000</v>
      </c>
      <c r="R103" s="31">
        <v>0.05</v>
      </c>
      <c r="S103" s="32">
        <v>10000</v>
      </c>
      <c r="T103" s="31">
        <v>0.02</v>
      </c>
      <c r="U103" s="32">
        <v>60000</v>
      </c>
      <c r="V103" s="159"/>
      <c r="W103" s="21"/>
      <c r="X103" s="31">
        <f>IF(C104="노트북",7%,IF(C104="저장&amp;주변기기",9%,IF(C104="모니터",7%)))</f>
        <v>7.0000000000000007E-2</v>
      </c>
      <c r="Y103" s="31">
        <v>0</v>
      </c>
      <c r="Z103" s="31">
        <v>0.03</v>
      </c>
      <c r="AA103" s="31">
        <f>IF(F103=0%,20%,0%)</f>
        <v>0</v>
      </c>
      <c r="AB103" s="30">
        <v>0</v>
      </c>
      <c r="AC103" s="30">
        <v>1</v>
      </c>
      <c r="AD103" s="53">
        <v>1</v>
      </c>
      <c r="AE103" s="29">
        <v>0.5</v>
      </c>
      <c r="AF103" s="107"/>
      <c r="AG103" s="107"/>
      <c r="AH103" s="107"/>
      <c r="AI103" s="107"/>
      <c r="AJ103" s="107"/>
      <c r="AK103" s="117"/>
      <c r="AL103" s="119"/>
      <c r="AM103" s="121"/>
      <c r="AN103" s="55" t="s">
        <v>52</v>
      </c>
      <c r="AO103" s="56">
        <f>AN102-AO102</f>
        <v>8.1531990714169389E-2</v>
      </c>
      <c r="AQ103" s="107"/>
      <c r="AR103" s="107"/>
      <c r="AS103" s="107"/>
      <c r="AT103" s="107"/>
      <c r="AU103" s="107"/>
      <c r="AV103" s="107"/>
      <c r="AW103" s="39"/>
      <c r="AX103" s="107"/>
      <c r="AY103" s="107"/>
      <c r="AZ103" s="107"/>
      <c r="BA103" s="107"/>
      <c r="BC103" s="109"/>
      <c r="BD103" s="109"/>
      <c r="BF103" s="107"/>
    </row>
    <row r="104" spans="1:58" ht="27" customHeight="1" x14ac:dyDescent="0.3">
      <c r="A104" s="28">
        <v>4604254115</v>
      </c>
      <c r="B104" s="38" t="s">
        <v>35</v>
      </c>
      <c r="C104" s="27" t="s">
        <v>0</v>
      </c>
      <c r="D104" s="25">
        <v>2334740</v>
      </c>
      <c r="E104" s="24">
        <f>ROUNDDOWN(D104/(1-E103),-1)</f>
        <v>2334740</v>
      </c>
      <c r="F104" s="110">
        <f>ROUNDDOWN(IF(E104*F103&gt;G103,G103,E104*F103),-1)</f>
        <v>210120</v>
      </c>
      <c r="G104" s="111"/>
      <c r="H104" s="112">
        <f>ROUNDDOWN(IF(E104*H103&gt;I103,I103,E104*H103),-1)</f>
        <v>30000</v>
      </c>
      <c r="I104" s="113"/>
      <c r="J104" s="112">
        <f>ROUNDDOWN(IF(E104*J103&gt;K103,K103,E104*J103),-1)</f>
        <v>300000</v>
      </c>
      <c r="K104" s="113"/>
      <c r="L104" s="110">
        <f>ROUNDDOWN(IF(N104*L103&gt;M103,M103,N104*L103),-1)</f>
        <v>125620</v>
      </c>
      <c r="M104" s="111"/>
      <c r="N104" s="23">
        <f>E104-F104-H104-J104</f>
        <v>1794620</v>
      </c>
      <c r="O104" s="22">
        <f>E104-F104-H104-J104-L104</f>
        <v>1669000</v>
      </c>
      <c r="P104" s="110">
        <f>ROUNDDOWN(IF(N104*P103&gt;Q103,Q103,N104*P103),-1)</f>
        <v>35890</v>
      </c>
      <c r="Q104" s="111"/>
      <c r="R104" s="110">
        <f>ROUNDDOWN(IF(N104*R103&gt;S103,S103,N104*R103),-1)</f>
        <v>10000</v>
      </c>
      <c r="S104" s="111"/>
      <c r="T104" s="110">
        <f>ROUNDDOWN(IF(N104*T103&gt;U103,U103,N104*T103),-1)</f>
        <v>35890</v>
      </c>
      <c r="U104" s="111"/>
      <c r="V104" s="158">
        <f>O104-P104-R104-T104</f>
        <v>1587220</v>
      </c>
      <c r="W104" s="21"/>
      <c r="X104" s="20">
        <f>E104*X103</f>
        <v>163431.80000000002</v>
      </c>
      <c r="Y104" s="20">
        <f>E104*Y103</f>
        <v>0</v>
      </c>
      <c r="Z104" s="20">
        <f>(E104-H104)*Z103</f>
        <v>69142.2</v>
      </c>
      <c r="AA104" s="19">
        <f>(E104*E103)*AA103</f>
        <v>0</v>
      </c>
      <c r="AB104" s="19">
        <f>F104*AB103</f>
        <v>0</v>
      </c>
      <c r="AC104" s="19">
        <f>H104*AC103</f>
        <v>30000</v>
      </c>
      <c r="AD104" s="19">
        <f>J104*AD103</f>
        <v>300000</v>
      </c>
      <c r="AE104" s="19">
        <f>L104*AE103</f>
        <v>62810</v>
      </c>
      <c r="AF104" s="19">
        <v>0</v>
      </c>
      <c r="AG104" s="16">
        <v>8000</v>
      </c>
      <c r="AH104" s="18">
        <f>E104-X104-Y104-Z104-AA104-AE104-AB104-AC104-AD104-AF104</f>
        <v>1709356</v>
      </c>
      <c r="AI104" s="18">
        <f>E104-X104-Y104-Z104-AA104-AB104-AC104-AD104-AE104-AF104-AG104</f>
        <v>1701356</v>
      </c>
      <c r="AJ104" s="17">
        <f>AI104-AK104</f>
        <v>-73644</v>
      </c>
      <c r="AK104" s="16">
        <v>1775000</v>
      </c>
      <c r="AL104" s="15">
        <f>AJ104/AK104</f>
        <v>-4.1489577464788735E-2</v>
      </c>
      <c r="AM104" s="14">
        <f>1-O104/(AK104-AQ104-AR104-AS104)</f>
        <v>-2.7076923076922998E-2</v>
      </c>
      <c r="AN104" s="114">
        <f>(1-O104/E104)-(1-(AH104)/E104)</f>
        <v>1.728500818078238E-2</v>
      </c>
      <c r="AO104" s="115"/>
      <c r="AQ104" s="13">
        <v>150000</v>
      </c>
      <c r="AR104" s="12"/>
      <c r="AS104" s="12">
        <v>0</v>
      </c>
      <c r="AT104" s="12"/>
      <c r="AU104" s="11">
        <f>AI104-(AK104-AQ104-AR104-AS104-AT104)</f>
        <v>76356</v>
      </c>
      <c r="AV104" s="8">
        <f>AU104/AK104</f>
        <v>4.3017464788732397E-2</v>
      </c>
      <c r="AX104" s="10">
        <v>0</v>
      </c>
      <c r="AY104" s="10">
        <v>0</v>
      </c>
      <c r="AZ104" s="9">
        <f>AU104-AX104-AY104</f>
        <v>76356</v>
      </c>
      <c r="BA104" s="8">
        <f>AZ104/AK104</f>
        <v>4.3017464788732397E-2</v>
      </c>
      <c r="BC104" s="49"/>
      <c r="BD104" s="50"/>
      <c r="BF104" s="6"/>
    </row>
    <row r="105" spans="1:58" x14ac:dyDescent="0.3">
      <c r="D105" s="5">
        <v>1899000</v>
      </c>
      <c r="E105" s="4">
        <f>ROUNDDOWN(D105/(1-E103),-1)</f>
        <v>1899000</v>
      </c>
      <c r="F105" s="138">
        <f>E104-F104</f>
        <v>2124620</v>
      </c>
      <c r="G105" s="138"/>
      <c r="H105" s="157">
        <f>E104-F104-H104</f>
        <v>2094620</v>
      </c>
      <c r="I105" s="157"/>
      <c r="O105" s="4"/>
      <c r="P105" s="162">
        <f>SUM(P104:U104)</f>
        <v>81780</v>
      </c>
      <c r="Q105" s="163"/>
      <c r="R105" s="163"/>
      <c r="S105" s="163"/>
      <c r="T105" s="163"/>
      <c r="U105" s="164"/>
      <c r="V105" s="4"/>
      <c r="AB105" s="3">
        <f>F105*AB103</f>
        <v>0</v>
      </c>
      <c r="AC105" s="3"/>
      <c r="AD105" s="3"/>
      <c r="AK105" s="57"/>
    </row>
    <row r="106" spans="1:58" x14ac:dyDescent="0.3">
      <c r="D106" s="5"/>
      <c r="E106" s="4"/>
      <c r="F106" s="42"/>
      <c r="G106" s="42"/>
      <c r="I106" s="54"/>
      <c r="O106" s="4"/>
      <c r="P106" s="4"/>
      <c r="Q106" s="4"/>
      <c r="R106" s="4"/>
      <c r="S106" s="4"/>
      <c r="T106" s="4"/>
      <c r="U106" s="4"/>
      <c r="V106" s="4"/>
      <c r="AB106" s="3"/>
      <c r="AC106" s="3"/>
      <c r="AD106" s="3"/>
      <c r="AK106" s="57"/>
    </row>
    <row r="107" spans="1:58" x14ac:dyDescent="0.3">
      <c r="D107" s="5"/>
      <c r="E107" s="4"/>
      <c r="F107" s="42"/>
      <c r="G107" s="42"/>
      <c r="I107" s="54"/>
      <c r="O107" s="4"/>
      <c r="P107" s="4"/>
      <c r="Q107" s="4"/>
      <c r="R107" s="4"/>
      <c r="S107" s="4"/>
      <c r="T107" s="4"/>
      <c r="U107" s="4"/>
      <c r="V107" s="4"/>
      <c r="AB107" s="3"/>
      <c r="AC107" s="3"/>
      <c r="AD107" s="3"/>
      <c r="AK107" s="57"/>
    </row>
    <row r="108" spans="1:58" x14ac:dyDescent="0.3">
      <c r="D108" s="5"/>
      <c r="E108" s="4"/>
      <c r="F108" s="42"/>
      <c r="G108" s="42"/>
      <c r="I108" s="54"/>
      <c r="AB108" s="3"/>
      <c r="AC108" s="3"/>
      <c r="AD108" s="3"/>
    </row>
    <row r="109" spans="1:58" s="87" customFormat="1" ht="30" customHeight="1" x14ac:dyDescent="0.3">
      <c r="A109" s="84" t="s">
        <v>171</v>
      </c>
      <c r="B109" s="85"/>
      <c r="C109" s="85"/>
      <c r="D109" s="86"/>
      <c r="AL109" s="88"/>
      <c r="AM109" s="88"/>
      <c r="AN109" s="88"/>
      <c r="AO109" s="88"/>
    </row>
    <row r="110" spans="1:58" x14ac:dyDescent="0.3">
      <c r="A110" s="43"/>
      <c r="B110" s="43"/>
      <c r="C110" s="43"/>
      <c r="D110" s="5"/>
    </row>
    <row r="111" spans="1:58" ht="27" customHeight="1" x14ac:dyDescent="0.3">
      <c r="A111" s="153" t="s">
        <v>34</v>
      </c>
      <c r="B111" s="127" t="s">
        <v>130</v>
      </c>
      <c r="C111" s="128"/>
      <c r="D111" s="128"/>
      <c r="E111" s="128"/>
      <c r="F111" s="128"/>
      <c r="G111" s="128"/>
      <c r="H111" s="128"/>
      <c r="I111" s="128"/>
      <c r="J111" s="128"/>
      <c r="K111" s="128"/>
      <c r="L111" s="128"/>
      <c r="M111" s="156"/>
      <c r="N111" s="127" t="s">
        <v>141</v>
      </c>
      <c r="O111" s="156"/>
      <c r="P111" s="165" t="s">
        <v>167</v>
      </c>
      <c r="Q111" s="166"/>
      <c r="R111" s="166"/>
      <c r="S111" s="166"/>
      <c r="T111" s="166"/>
      <c r="U111" s="166"/>
      <c r="V111" s="167"/>
      <c r="X111" s="130" t="s">
        <v>33</v>
      </c>
      <c r="Y111" s="131"/>
      <c r="Z111" s="131"/>
      <c r="AA111" s="131"/>
      <c r="AB111" s="131"/>
      <c r="AC111" s="131"/>
      <c r="AD111" s="131"/>
      <c r="AE111" s="131"/>
      <c r="AF111" s="131"/>
      <c r="AG111" s="131"/>
      <c r="AH111" s="131"/>
      <c r="AI111" s="131"/>
      <c r="AJ111" s="131"/>
      <c r="AK111" s="131"/>
      <c r="AL111" s="132"/>
      <c r="AM111" s="37"/>
      <c r="AQ111" s="130" t="s">
        <v>32</v>
      </c>
      <c r="AR111" s="131"/>
      <c r="AS111" s="131"/>
      <c r="AT111" s="131"/>
      <c r="AU111" s="131"/>
      <c r="AV111" s="132"/>
      <c r="AX111" s="130" t="s">
        <v>31</v>
      </c>
      <c r="AY111" s="131"/>
      <c r="AZ111" s="131"/>
      <c r="BA111" s="132"/>
      <c r="BC111" s="47" t="s">
        <v>36</v>
      </c>
      <c r="BD111" s="48"/>
      <c r="BF111" s="36"/>
    </row>
    <row r="112" spans="1:58" ht="32.25" customHeight="1" x14ac:dyDescent="0.3">
      <c r="A112" s="153"/>
      <c r="B112" s="133" t="s">
        <v>30</v>
      </c>
      <c r="C112" s="133" t="s">
        <v>29</v>
      </c>
      <c r="D112" s="116" t="s">
        <v>27</v>
      </c>
      <c r="E112" s="34" t="s">
        <v>26</v>
      </c>
      <c r="F112" s="122" t="s">
        <v>63</v>
      </c>
      <c r="G112" s="123"/>
      <c r="H112" s="122" t="s">
        <v>50</v>
      </c>
      <c r="I112" s="123"/>
      <c r="J112" s="122" t="s">
        <v>146</v>
      </c>
      <c r="K112" s="123"/>
      <c r="L112" s="122" t="s">
        <v>25</v>
      </c>
      <c r="M112" s="123"/>
      <c r="N112" s="106" t="s">
        <v>23</v>
      </c>
      <c r="O112" s="151" t="s">
        <v>137</v>
      </c>
      <c r="P112" s="122" t="s">
        <v>136</v>
      </c>
      <c r="Q112" s="123"/>
      <c r="R112" s="122" t="s">
        <v>143</v>
      </c>
      <c r="S112" s="123"/>
      <c r="T112" s="122" t="s">
        <v>144</v>
      </c>
      <c r="U112" s="123"/>
      <c r="V112" s="159" t="s">
        <v>142</v>
      </c>
      <c r="W112" s="21"/>
      <c r="X112" s="34" t="s">
        <v>21</v>
      </c>
      <c r="Y112" s="34" t="s">
        <v>20</v>
      </c>
      <c r="Z112" s="34" t="s">
        <v>95</v>
      </c>
      <c r="AA112" s="34" t="s">
        <v>19</v>
      </c>
      <c r="AB112" s="34" t="s">
        <v>18</v>
      </c>
      <c r="AC112" s="34" t="s">
        <v>48</v>
      </c>
      <c r="AD112" s="34" t="s">
        <v>49</v>
      </c>
      <c r="AE112" s="34" t="s">
        <v>17</v>
      </c>
      <c r="AF112" s="106" t="s">
        <v>16</v>
      </c>
      <c r="AG112" s="106" t="s">
        <v>15</v>
      </c>
      <c r="AH112" s="106" t="s">
        <v>14</v>
      </c>
      <c r="AI112" s="106" t="s">
        <v>13</v>
      </c>
      <c r="AJ112" s="106" t="s">
        <v>12</v>
      </c>
      <c r="AK112" s="116" t="s">
        <v>11</v>
      </c>
      <c r="AL112" s="118" t="s">
        <v>10</v>
      </c>
      <c r="AM112" s="120" t="s">
        <v>9</v>
      </c>
      <c r="AN112" s="35">
        <f>(1-O114/E114)</f>
        <v>0.16985013223626211</v>
      </c>
      <c r="AO112" s="35">
        <f>1-(AH114+AQ114)/E114</f>
        <v>0.15493873692010884</v>
      </c>
      <c r="AQ112" s="106" t="s">
        <v>8</v>
      </c>
      <c r="AR112" s="106" t="s">
        <v>7</v>
      </c>
      <c r="AS112" s="106" t="s">
        <v>37</v>
      </c>
      <c r="AT112" s="106" t="s">
        <v>38</v>
      </c>
      <c r="AU112" s="106" t="s">
        <v>6</v>
      </c>
      <c r="AV112" s="106" t="s">
        <v>5</v>
      </c>
      <c r="AX112" s="106" t="s">
        <v>4</v>
      </c>
      <c r="AY112" s="106" t="s">
        <v>3</v>
      </c>
      <c r="AZ112" s="106" t="s">
        <v>2</v>
      </c>
      <c r="BA112" s="106" t="s">
        <v>1</v>
      </c>
      <c r="BC112" s="108"/>
      <c r="BD112" s="108"/>
      <c r="BF112" s="106"/>
    </row>
    <row r="113" spans="1:58" ht="27" customHeight="1" x14ac:dyDescent="0.3">
      <c r="A113" s="154" t="s">
        <v>157</v>
      </c>
      <c r="B113" s="134"/>
      <c r="C113" s="134"/>
      <c r="D113" s="117"/>
      <c r="E113" s="31">
        <v>0</v>
      </c>
      <c r="F113" s="33">
        <v>0.09</v>
      </c>
      <c r="G113" s="32">
        <v>1000000</v>
      </c>
      <c r="H113" s="31">
        <v>1</v>
      </c>
      <c r="I113" s="32">
        <v>100000</v>
      </c>
      <c r="J113" s="31">
        <v>1</v>
      </c>
      <c r="K113" s="32">
        <v>0</v>
      </c>
      <c r="L113" s="31">
        <v>7.0000000000000007E-2</v>
      </c>
      <c r="M113" s="32">
        <v>150000</v>
      </c>
      <c r="N113" s="107"/>
      <c r="O113" s="152"/>
      <c r="P113" s="31">
        <v>0.02</v>
      </c>
      <c r="Q113" s="32">
        <v>1000000</v>
      </c>
      <c r="R113" s="31">
        <v>0.05</v>
      </c>
      <c r="S113" s="32">
        <v>10000</v>
      </c>
      <c r="T113" s="31">
        <v>0.02</v>
      </c>
      <c r="U113" s="32">
        <v>60000</v>
      </c>
      <c r="V113" s="159"/>
      <c r="W113" s="21"/>
      <c r="X113" s="31">
        <f>IF(C114="노트북",7%,IF(C114="저장&amp;주변기기",9%,IF(C114="모니터",7%)))</f>
        <v>7.0000000000000007E-2</v>
      </c>
      <c r="Y113" s="31">
        <v>0</v>
      </c>
      <c r="Z113" s="31">
        <v>0.03</v>
      </c>
      <c r="AA113" s="31">
        <f>IF(F113=0%,20%,0%)</f>
        <v>0</v>
      </c>
      <c r="AB113" s="30">
        <v>0</v>
      </c>
      <c r="AC113" s="30">
        <v>1</v>
      </c>
      <c r="AD113" s="53">
        <v>1</v>
      </c>
      <c r="AE113" s="29">
        <v>0.5</v>
      </c>
      <c r="AF113" s="107"/>
      <c r="AG113" s="107"/>
      <c r="AH113" s="107"/>
      <c r="AI113" s="107"/>
      <c r="AJ113" s="107"/>
      <c r="AK113" s="117"/>
      <c r="AL113" s="119"/>
      <c r="AM113" s="121"/>
      <c r="AN113" s="55" t="s">
        <v>52</v>
      </c>
      <c r="AO113" s="56">
        <f>AN112-AO112</f>
        <v>1.4911395316153264E-2</v>
      </c>
      <c r="AQ113" s="107"/>
      <c r="AR113" s="107"/>
      <c r="AS113" s="107"/>
      <c r="AT113" s="107"/>
      <c r="AU113" s="107"/>
      <c r="AV113" s="107"/>
      <c r="AW113" s="39"/>
      <c r="AX113" s="107"/>
      <c r="AY113" s="117"/>
      <c r="AZ113" s="107"/>
      <c r="BA113" s="107"/>
      <c r="BC113" s="109"/>
      <c r="BD113" s="109"/>
      <c r="BF113" s="107"/>
    </row>
    <row r="114" spans="1:58" ht="27" customHeight="1" x14ac:dyDescent="0.3">
      <c r="A114" s="51">
        <v>4627000479</v>
      </c>
      <c r="B114" s="38" t="s">
        <v>35</v>
      </c>
      <c r="C114" s="27" t="s">
        <v>80</v>
      </c>
      <c r="D114" s="25">
        <v>3130760</v>
      </c>
      <c r="E114" s="24">
        <f>ROUNDDOWN(D114/(1-E113),-1)</f>
        <v>3130760</v>
      </c>
      <c r="F114" s="110">
        <f>ROUNDDOWN(IF(E114*F113&gt;G113,G113,E114*F113),-1)</f>
        <v>281760</v>
      </c>
      <c r="G114" s="111"/>
      <c r="H114" s="112">
        <f>ROUNDDOWN(IF(E114*H113&gt;I113,I113,E114*H113),-1)</f>
        <v>100000</v>
      </c>
      <c r="I114" s="113"/>
      <c r="J114" s="112">
        <f>ROUNDDOWN(IF(E114*J113&gt;K113,K113,E114*J113),-1)</f>
        <v>0</v>
      </c>
      <c r="K114" s="113"/>
      <c r="L114" s="110">
        <f>ROUNDDOWN(IF(N114*L113&gt;M113,M113,N114*L113),-1)</f>
        <v>150000</v>
      </c>
      <c r="M114" s="111"/>
      <c r="N114" s="23">
        <f>E114-F114-H114-J114</f>
        <v>2749000</v>
      </c>
      <c r="O114" s="22">
        <f>E114-F114-H114-J114-L114</f>
        <v>2599000</v>
      </c>
      <c r="P114" s="110">
        <f>ROUNDDOWN(IF(N114*P113&gt;Q113,Q113,N114*P113),-1)</f>
        <v>54980</v>
      </c>
      <c r="Q114" s="111"/>
      <c r="R114" s="110">
        <f>ROUNDDOWN(IF(N114*R113&gt;S113,S113,N114*R113),-1)</f>
        <v>10000</v>
      </c>
      <c r="S114" s="111"/>
      <c r="T114" s="110">
        <f>ROUNDDOWN(IF(N114*T113&gt;U113,U113,N114*T113),-1)</f>
        <v>54980</v>
      </c>
      <c r="U114" s="111"/>
      <c r="V114" s="158">
        <f>O114-P114-R114-T114</f>
        <v>2479040</v>
      </c>
      <c r="W114" s="21"/>
      <c r="X114" s="20">
        <f>E114*X113</f>
        <v>219153.2</v>
      </c>
      <c r="Y114" s="20">
        <f>E114*Y113</f>
        <v>0</v>
      </c>
      <c r="Z114" s="20">
        <f>(E114-H114)*Z113</f>
        <v>90922.8</v>
      </c>
      <c r="AA114" s="19">
        <f>(E114*E113)*AA113</f>
        <v>0</v>
      </c>
      <c r="AB114" s="19">
        <f>F114*AB113</f>
        <v>0</v>
      </c>
      <c r="AC114" s="19">
        <f>H114*AC113</f>
        <v>100000</v>
      </c>
      <c r="AD114" s="19">
        <f>J114*AD113</f>
        <v>0</v>
      </c>
      <c r="AE114" s="19">
        <f>L114*AE113</f>
        <v>75000</v>
      </c>
      <c r="AF114" s="19">
        <v>0</v>
      </c>
      <c r="AG114" s="16">
        <v>8000</v>
      </c>
      <c r="AH114" s="18">
        <f>E114-X114-Y114-Z114-AA114-AE114-AB114-AC114-AD114-AF114</f>
        <v>2645684</v>
      </c>
      <c r="AI114" s="18">
        <f>E114-X114-Y114-Z114-AA114-AB114-AC114-AD114-AE114-AF114-AG114</f>
        <v>2637684</v>
      </c>
      <c r="AJ114" s="17">
        <f>AI114-AK114</f>
        <v>758684</v>
      </c>
      <c r="AK114" s="16">
        <v>1879000</v>
      </c>
      <c r="AL114" s="15">
        <f>AJ114/AK114</f>
        <v>0.4037700904736562</v>
      </c>
      <c r="AM114" s="14">
        <f>1-O114/(AK114-AQ114-AR114-AS114)</f>
        <v>-0.38318254390633322</v>
      </c>
      <c r="AN114" s="114">
        <f>(1-O114/E114)-(1-(AH114)/E114)</f>
        <v>1.4911395316153264E-2</v>
      </c>
      <c r="AO114" s="115"/>
      <c r="AQ114" s="13">
        <v>0</v>
      </c>
      <c r="AR114" s="12">
        <f>AB114*AR113</f>
        <v>0</v>
      </c>
      <c r="AS114" s="12">
        <v>0</v>
      </c>
      <c r="AT114" s="12"/>
      <c r="AU114" s="11">
        <f>AI114-(AK114-AQ114-AR114-AS114-AT114)</f>
        <v>758684</v>
      </c>
      <c r="AV114" s="8">
        <f>AU114/AK114</f>
        <v>0.4037700904736562</v>
      </c>
      <c r="AX114" s="10">
        <v>0</v>
      </c>
      <c r="AY114" s="10">
        <v>0</v>
      </c>
      <c r="AZ114" s="9">
        <f>AU114-AX114-AY114</f>
        <v>758684</v>
      </c>
      <c r="BA114" s="8">
        <f>AZ114/AK114</f>
        <v>0.4037700904736562</v>
      </c>
      <c r="BC114" s="49"/>
      <c r="BD114" s="50"/>
      <c r="BF114" s="6"/>
    </row>
    <row r="115" spans="1:58" x14ac:dyDescent="0.3">
      <c r="D115" s="4">
        <v>2099000</v>
      </c>
      <c r="E115" s="4">
        <f>ROUNDDOWN(D115/(1-E113),-1)</f>
        <v>2099000</v>
      </c>
      <c r="F115" s="138">
        <f>E114-F114</f>
        <v>2849000</v>
      </c>
      <c r="G115" s="138"/>
      <c r="H115" s="157">
        <f>E114-F114-H114</f>
        <v>2749000</v>
      </c>
      <c r="I115" s="157"/>
      <c r="O115" s="4"/>
      <c r="P115" s="162">
        <f>SUM(P114:U114)</f>
        <v>119960</v>
      </c>
      <c r="Q115" s="163"/>
      <c r="R115" s="163"/>
      <c r="S115" s="163"/>
      <c r="T115" s="163"/>
      <c r="U115" s="164"/>
      <c r="V115" s="4"/>
      <c r="AB115" s="3">
        <f>F115*AB113</f>
        <v>0</v>
      </c>
      <c r="AC115" s="3"/>
      <c r="AD115" s="3"/>
    </row>
    <row r="116" spans="1:58" x14ac:dyDescent="0.3">
      <c r="D116" s="4"/>
      <c r="E116" s="4"/>
      <c r="F116" s="42"/>
      <c r="G116" s="42"/>
      <c r="H116" s="160"/>
      <c r="I116" s="160"/>
      <c r="O116" s="4"/>
      <c r="P116" s="155"/>
      <c r="Q116" s="155"/>
      <c r="R116" s="155"/>
      <c r="S116" s="155"/>
      <c r="T116" s="155"/>
      <c r="U116" s="155"/>
      <c r="V116" s="4"/>
      <c r="AB116" s="3"/>
      <c r="AC116" s="3"/>
      <c r="AD116" s="3"/>
    </row>
    <row r="117" spans="1:58" x14ac:dyDescent="0.3">
      <c r="A117" s="43"/>
      <c r="B117" s="43"/>
      <c r="C117" s="43"/>
      <c r="D117" s="5"/>
    </row>
    <row r="119" spans="1:58" s="59" customFormat="1" ht="30" customHeight="1" x14ac:dyDescent="0.3">
      <c r="A119" s="58" t="s">
        <v>172</v>
      </c>
      <c r="AL119" s="60"/>
      <c r="AM119" s="60"/>
      <c r="AN119" s="60"/>
      <c r="AO119" s="60"/>
    </row>
    <row r="121" spans="1:58" ht="27" customHeight="1" x14ac:dyDescent="0.3">
      <c r="A121" s="153" t="s">
        <v>34</v>
      </c>
      <c r="B121" s="127" t="s">
        <v>130</v>
      </c>
      <c r="C121" s="128"/>
      <c r="D121" s="128"/>
      <c r="E121" s="128"/>
      <c r="F121" s="128"/>
      <c r="G121" s="128"/>
      <c r="H121" s="128"/>
      <c r="I121" s="128"/>
      <c r="J121" s="128"/>
      <c r="K121" s="128"/>
      <c r="L121" s="128"/>
      <c r="M121" s="156"/>
      <c r="N121" s="127" t="s">
        <v>141</v>
      </c>
      <c r="O121" s="156"/>
      <c r="P121" s="165" t="s">
        <v>167</v>
      </c>
      <c r="Q121" s="166"/>
      <c r="R121" s="166"/>
      <c r="S121" s="166"/>
      <c r="T121" s="166"/>
      <c r="U121" s="166"/>
      <c r="V121" s="167"/>
      <c r="X121" s="130" t="s">
        <v>33</v>
      </c>
      <c r="Y121" s="131"/>
      <c r="Z121" s="131"/>
      <c r="AA121" s="131"/>
      <c r="AB121" s="131"/>
      <c r="AC121" s="131"/>
      <c r="AD121" s="131"/>
      <c r="AE121" s="131"/>
      <c r="AF121" s="131"/>
      <c r="AG121" s="131"/>
      <c r="AH121" s="131"/>
      <c r="AI121" s="131"/>
      <c r="AJ121" s="131"/>
      <c r="AK121" s="131"/>
      <c r="AL121" s="132"/>
      <c r="AM121" s="37"/>
      <c r="AQ121" s="130" t="s">
        <v>32</v>
      </c>
      <c r="AR121" s="131"/>
      <c r="AS121" s="131"/>
      <c r="AT121" s="131"/>
      <c r="AU121" s="131"/>
      <c r="AV121" s="132"/>
      <c r="AX121" s="130" t="s">
        <v>31</v>
      </c>
      <c r="AY121" s="131"/>
      <c r="AZ121" s="131"/>
      <c r="BA121" s="132"/>
      <c r="BC121" s="36" t="s">
        <v>36</v>
      </c>
      <c r="BD121" s="48"/>
      <c r="BE121" s="52"/>
      <c r="BF121" s="36"/>
    </row>
    <row r="122" spans="1:58" ht="32.25" customHeight="1" x14ac:dyDescent="0.3">
      <c r="A122" s="153"/>
      <c r="B122" s="133" t="s">
        <v>30</v>
      </c>
      <c r="C122" s="133" t="s">
        <v>29</v>
      </c>
      <c r="D122" s="116" t="s">
        <v>27</v>
      </c>
      <c r="E122" s="34" t="s">
        <v>26</v>
      </c>
      <c r="F122" s="122" t="s">
        <v>63</v>
      </c>
      <c r="G122" s="123"/>
      <c r="H122" s="122" t="s">
        <v>50</v>
      </c>
      <c r="I122" s="123"/>
      <c r="J122" s="122" t="s">
        <v>146</v>
      </c>
      <c r="K122" s="123"/>
      <c r="L122" s="122" t="s">
        <v>25</v>
      </c>
      <c r="M122" s="123"/>
      <c r="N122" s="106" t="s">
        <v>23</v>
      </c>
      <c r="O122" s="151" t="s">
        <v>137</v>
      </c>
      <c r="P122" s="122" t="s">
        <v>136</v>
      </c>
      <c r="Q122" s="123"/>
      <c r="R122" s="122" t="s">
        <v>143</v>
      </c>
      <c r="S122" s="123"/>
      <c r="T122" s="122" t="s">
        <v>144</v>
      </c>
      <c r="U122" s="123"/>
      <c r="V122" s="159" t="s">
        <v>142</v>
      </c>
      <c r="W122" s="21"/>
      <c r="X122" s="34" t="s">
        <v>21</v>
      </c>
      <c r="Y122" s="34" t="s">
        <v>20</v>
      </c>
      <c r="Z122" s="34" t="s">
        <v>95</v>
      </c>
      <c r="AA122" s="34" t="s">
        <v>19</v>
      </c>
      <c r="AB122" s="34" t="s">
        <v>18</v>
      </c>
      <c r="AC122" s="34" t="s">
        <v>48</v>
      </c>
      <c r="AD122" s="34" t="s">
        <v>49</v>
      </c>
      <c r="AE122" s="34" t="s">
        <v>17</v>
      </c>
      <c r="AF122" s="106" t="s">
        <v>16</v>
      </c>
      <c r="AG122" s="106" t="s">
        <v>15</v>
      </c>
      <c r="AH122" s="106" t="s">
        <v>14</v>
      </c>
      <c r="AI122" s="106" t="s">
        <v>13</v>
      </c>
      <c r="AJ122" s="106" t="s">
        <v>12</v>
      </c>
      <c r="AK122" s="116" t="s">
        <v>11</v>
      </c>
      <c r="AL122" s="118" t="s">
        <v>10</v>
      </c>
      <c r="AM122" s="120" t="s">
        <v>9</v>
      </c>
      <c r="AN122" s="35">
        <f>(1-O124/E124)</f>
        <v>0.29581604222752544</v>
      </c>
      <c r="AO122" s="35">
        <f>1-(AH124+AQ124)/E124</f>
        <v>0.19703382199075981</v>
      </c>
      <c r="AQ122" s="106" t="s">
        <v>8</v>
      </c>
      <c r="AR122" s="106" t="s">
        <v>7</v>
      </c>
      <c r="AS122" s="106" t="s">
        <v>37</v>
      </c>
      <c r="AT122" s="106" t="s">
        <v>38</v>
      </c>
      <c r="AU122" s="106" t="s">
        <v>6</v>
      </c>
      <c r="AV122" s="106" t="s">
        <v>5</v>
      </c>
      <c r="AX122" s="106" t="s">
        <v>4</v>
      </c>
      <c r="AY122" s="106" t="s">
        <v>3</v>
      </c>
      <c r="AZ122" s="106" t="s">
        <v>2</v>
      </c>
      <c r="BA122" s="106" t="s">
        <v>1</v>
      </c>
      <c r="BC122" s="106"/>
      <c r="BD122" s="108"/>
      <c r="BE122" s="52"/>
      <c r="BF122" s="106"/>
    </row>
    <row r="123" spans="1:58" ht="27" customHeight="1" x14ac:dyDescent="0.3">
      <c r="A123" s="154" t="s">
        <v>158</v>
      </c>
      <c r="B123" s="134"/>
      <c r="C123" s="134"/>
      <c r="D123" s="117"/>
      <c r="E123" s="31">
        <v>0</v>
      </c>
      <c r="F123" s="33">
        <v>0.09</v>
      </c>
      <c r="G123" s="32">
        <v>1000000</v>
      </c>
      <c r="H123" s="31">
        <v>1</v>
      </c>
      <c r="I123" s="32">
        <v>0</v>
      </c>
      <c r="J123" s="31">
        <v>1</v>
      </c>
      <c r="K123" s="32">
        <v>130000</v>
      </c>
      <c r="L123" s="31">
        <v>7.0000000000000007E-2</v>
      </c>
      <c r="M123" s="32">
        <v>70000</v>
      </c>
      <c r="N123" s="107"/>
      <c r="O123" s="152"/>
      <c r="P123" s="31">
        <v>0.02</v>
      </c>
      <c r="Q123" s="32">
        <v>1000000</v>
      </c>
      <c r="R123" s="31">
        <v>0.05</v>
      </c>
      <c r="S123" s="32">
        <v>10000</v>
      </c>
      <c r="T123" s="31">
        <v>0.02</v>
      </c>
      <c r="U123" s="32">
        <v>60000</v>
      </c>
      <c r="V123" s="159"/>
      <c r="W123" s="21"/>
      <c r="X123" s="31">
        <f>IF(C124="노트북",7%,IF(C124="저장&amp;주변기기",9%,IF(C124="모니터",7%)))</f>
        <v>7.0000000000000007E-2</v>
      </c>
      <c r="Y123" s="31">
        <v>0</v>
      </c>
      <c r="Z123" s="31">
        <v>0.03</v>
      </c>
      <c r="AA123" s="31">
        <f>IF(F123=0%,20%,0%)</f>
        <v>0</v>
      </c>
      <c r="AB123" s="30">
        <v>0</v>
      </c>
      <c r="AC123" s="30">
        <v>1</v>
      </c>
      <c r="AD123" s="53">
        <v>0.92307600000000001</v>
      </c>
      <c r="AE123" s="29">
        <v>0.5</v>
      </c>
      <c r="AF123" s="107"/>
      <c r="AG123" s="107"/>
      <c r="AH123" s="107"/>
      <c r="AI123" s="107"/>
      <c r="AJ123" s="107"/>
      <c r="AK123" s="117"/>
      <c r="AL123" s="119"/>
      <c r="AM123" s="121"/>
      <c r="AN123" s="55" t="s">
        <v>52</v>
      </c>
      <c r="AO123" s="56">
        <f>AN122-AO122</f>
        <v>9.8782220236765639E-2</v>
      </c>
      <c r="AQ123" s="107"/>
      <c r="AR123" s="107"/>
      <c r="AS123" s="107"/>
      <c r="AT123" s="107"/>
      <c r="AU123" s="107"/>
      <c r="AV123" s="107"/>
      <c r="AW123" s="39"/>
      <c r="AX123" s="107"/>
      <c r="AY123" s="107"/>
      <c r="AZ123" s="107"/>
      <c r="BA123" s="107"/>
      <c r="BC123" s="107"/>
      <c r="BD123" s="109"/>
      <c r="BE123" s="52"/>
      <c r="BF123" s="107"/>
    </row>
    <row r="124" spans="1:58" ht="27" customHeight="1" x14ac:dyDescent="0.3">
      <c r="A124" s="51">
        <v>4608884708</v>
      </c>
      <c r="B124" s="38" t="s">
        <v>35</v>
      </c>
      <c r="C124" s="27" t="s">
        <v>0</v>
      </c>
      <c r="D124" s="25">
        <v>850630</v>
      </c>
      <c r="E124" s="24">
        <f>ROUNDDOWN(D124/(1-E123),-1)</f>
        <v>850630</v>
      </c>
      <c r="F124" s="110">
        <f>ROUNDDOWN(IF(E124*F123&gt;G123,G123,E124*F123),-1)</f>
        <v>76550</v>
      </c>
      <c r="G124" s="111"/>
      <c r="H124" s="112">
        <f>ROUNDDOWN(IF(E124*H123&gt;I123,I123,E124*H123),-1)</f>
        <v>0</v>
      </c>
      <c r="I124" s="113"/>
      <c r="J124" s="112">
        <f>ROUNDDOWN(IF(E124*J123&gt;K123,K123,E124*J123),-1)</f>
        <v>130000</v>
      </c>
      <c r="K124" s="113"/>
      <c r="L124" s="110">
        <f>ROUNDDOWN(IF(N124*L123&gt;M123,M123,N124*L123),-1)</f>
        <v>45080</v>
      </c>
      <c r="M124" s="111"/>
      <c r="N124" s="23">
        <f>E124-F124-H124-J124</f>
        <v>644080</v>
      </c>
      <c r="O124" s="22">
        <f>E124-F124-H124-J124-L124</f>
        <v>599000</v>
      </c>
      <c r="P124" s="110">
        <f>ROUNDDOWN(IF(N124*P123&gt;Q123,Q123,N124*P123),-1)</f>
        <v>12880</v>
      </c>
      <c r="Q124" s="111"/>
      <c r="R124" s="110">
        <f>ROUNDDOWN(IF(N124*R123&gt;S123,S123,N124*R123),-1)</f>
        <v>10000</v>
      </c>
      <c r="S124" s="111"/>
      <c r="T124" s="110">
        <f>ROUNDDOWN(IF(N124*T123&gt;U123,U123,N124*T123),-1)</f>
        <v>12880</v>
      </c>
      <c r="U124" s="111"/>
      <c r="V124" s="158">
        <f>O124-P124-R124-T124</f>
        <v>563240</v>
      </c>
      <c r="W124" s="21"/>
      <c r="X124" s="20">
        <f>E124*X123</f>
        <v>59544.100000000006</v>
      </c>
      <c r="Y124" s="20">
        <f>E124*Y123</f>
        <v>0</v>
      </c>
      <c r="Z124" s="20">
        <f>(E124-H124)*Z123</f>
        <v>25518.899999999998</v>
      </c>
      <c r="AA124" s="19">
        <f>(E124*E123)*AA123</f>
        <v>0</v>
      </c>
      <c r="AB124" s="19">
        <f>F124*AB123</f>
        <v>0</v>
      </c>
      <c r="AC124" s="19">
        <f>H124*AC123</f>
        <v>0</v>
      </c>
      <c r="AD124" s="19">
        <f>J124*AD123</f>
        <v>119999.88</v>
      </c>
      <c r="AE124" s="19">
        <f>L124*AE123</f>
        <v>22540</v>
      </c>
      <c r="AF124" s="19">
        <v>0</v>
      </c>
      <c r="AG124" s="16">
        <v>6000</v>
      </c>
      <c r="AH124" s="18">
        <f>E124-X124-Y124-Z124-AA124-AE124-AB124-AC124-AD124-AF124</f>
        <v>623027.12</v>
      </c>
      <c r="AI124" s="18">
        <f>E124-X124-Y124-Z124-AA124-AB124-AC124-AD124-AE124-AF124-AG124</f>
        <v>617027.12</v>
      </c>
      <c r="AJ124" s="17">
        <f>AI124-AK124</f>
        <v>-29972.880000000005</v>
      </c>
      <c r="AK124" s="16">
        <v>647000</v>
      </c>
      <c r="AL124" s="15">
        <f>AJ124/AK124</f>
        <v>-4.6325935085007736E-2</v>
      </c>
      <c r="AM124" s="14">
        <f>1-O124/(AK124-AQ124-AR124-AS124)</f>
        <v>-2.0442930153321992E-2</v>
      </c>
      <c r="AN124" s="114">
        <f>(1-O124/E124)-(1-(AH124)/E124)</f>
        <v>2.8246264533345777E-2</v>
      </c>
      <c r="AO124" s="115"/>
      <c r="AQ124" s="13">
        <v>60000</v>
      </c>
      <c r="AR124" s="12">
        <v>0</v>
      </c>
      <c r="AS124" s="12"/>
      <c r="AT124" s="12"/>
      <c r="AU124" s="11">
        <f>AI124-(AK124-AQ124-AR124-AS124-AT124)</f>
        <v>30027.119999999995</v>
      </c>
      <c r="AV124" s="8">
        <f>AU124/AK124</f>
        <v>4.6409768160741875E-2</v>
      </c>
      <c r="AX124" s="10">
        <v>0</v>
      </c>
      <c r="AY124" s="10">
        <v>0</v>
      </c>
      <c r="AZ124" s="9">
        <f>AU124-AX124-AY124</f>
        <v>30027.119999999995</v>
      </c>
      <c r="BA124" s="8">
        <f>AZ124/AK124</f>
        <v>4.6409768160741875E-2</v>
      </c>
      <c r="BC124" s="7"/>
      <c r="BD124" s="50"/>
      <c r="BE124" s="52"/>
      <c r="BF124" s="7"/>
    </row>
    <row r="125" spans="1:58" ht="16.5" customHeight="1" x14ac:dyDescent="0.3">
      <c r="C125" s="57"/>
      <c r="D125" s="5">
        <v>699000</v>
      </c>
      <c r="E125" s="4">
        <f>ROUNDDOWN(D125/(1-E123),-1)</f>
        <v>699000</v>
      </c>
      <c r="F125" s="138">
        <f>E124-F124</f>
        <v>774080</v>
      </c>
      <c r="G125" s="138"/>
      <c r="H125" s="157">
        <f>E124-F124-H124</f>
        <v>774080</v>
      </c>
      <c r="I125" s="157"/>
      <c r="O125" s="4"/>
      <c r="P125" s="162">
        <f>SUM(P124:U124)</f>
        <v>35760</v>
      </c>
      <c r="Q125" s="163"/>
      <c r="R125" s="163"/>
      <c r="S125" s="163"/>
      <c r="T125" s="163"/>
      <c r="U125" s="164"/>
      <c r="V125" s="4"/>
      <c r="AB125" s="3">
        <f>F125*AB123</f>
        <v>0</v>
      </c>
      <c r="AC125" s="3"/>
      <c r="AD125" s="3"/>
      <c r="AK125" s="4"/>
    </row>
    <row r="126" spans="1:58" ht="16.5" customHeight="1" x14ac:dyDescent="0.3">
      <c r="C126" s="57"/>
      <c r="D126" s="5">
        <v>849000</v>
      </c>
      <c r="E126" s="4"/>
      <c r="F126" s="74"/>
      <c r="G126" s="74"/>
      <c r="I126" s="54"/>
      <c r="O126" s="4"/>
      <c r="P126" s="4"/>
      <c r="Q126" s="4"/>
      <c r="R126" s="4"/>
      <c r="S126" s="4"/>
      <c r="T126" s="4"/>
      <c r="U126" s="4"/>
      <c r="V126" s="4"/>
      <c r="AB126" s="3"/>
      <c r="AC126" s="3"/>
      <c r="AD126" s="3"/>
      <c r="AK126" s="4"/>
    </row>
    <row r="127" spans="1:58" ht="16.5" customHeight="1" x14ac:dyDescent="0.3">
      <c r="C127" s="57"/>
      <c r="D127" s="5"/>
      <c r="E127" s="4"/>
      <c r="F127" s="42"/>
      <c r="G127" s="42"/>
      <c r="I127" s="54"/>
      <c r="O127" s="4"/>
      <c r="P127" s="4"/>
      <c r="Q127" s="4"/>
      <c r="R127" s="4"/>
      <c r="S127" s="4"/>
      <c r="T127" s="4"/>
      <c r="U127" s="4"/>
      <c r="V127" s="4"/>
      <c r="AB127" s="3"/>
      <c r="AC127" s="3"/>
      <c r="AD127" s="3"/>
      <c r="AK127" s="4"/>
    </row>
    <row r="128" spans="1:58" x14ac:dyDescent="0.3">
      <c r="A128" s="43"/>
      <c r="B128" s="43"/>
      <c r="C128" s="43"/>
      <c r="D128" s="5"/>
    </row>
    <row r="129" spans="1:58" ht="27" customHeight="1" x14ac:dyDescent="0.3">
      <c r="A129" s="153" t="s">
        <v>34</v>
      </c>
      <c r="B129" s="127" t="s">
        <v>130</v>
      </c>
      <c r="C129" s="128"/>
      <c r="D129" s="128"/>
      <c r="E129" s="128"/>
      <c r="F129" s="128"/>
      <c r="G129" s="128"/>
      <c r="H129" s="128"/>
      <c r="I129" s="128"/>
      <c r="J129" s="128"/>
      <c r="K129" s="128"/>
      <c r="L129" s="128"/>
      <c r="M129" s="156"/>
      <c r="N129" s="127" t="s">
        <v>141</v>
      </c>
      <c r="O129" s="156"/>
      <c r="P129" s="165" t="s">
        <v>167</v>
      </c>
      <c r="Q129" s="166"/>
      <c r="R129" s="166"/>
      <c r="S129" s="166"/>
      <c r="T129" s="166"/>
      <c r="U129" s="166"/>
      <c r="V129" s="167"/>
      <c r="X129" s="130" t="s">
        <v>33</v>
      </c>
      <c r="Y129" s="131"/>
      <c r="Z129" s="131"/>
      <c r="AA129" s="131"/>
      <c r="AB129" s="131"/>
      <c r="AC129" s="131"/>
      <c r="AD129" s="131"/>
      <c r="AE129" s="131"/>
      <c r="AF129" s="131"/>
      <c r="AG129" s="131"/>
      <c r="AH129" s="131"/>
      <c r="AI129" s="131"/>
      <c r="AJ129" s="131"/>
      <c r="AK129" s="131"/>
      <c r="AL129" s="132"/>
      <c r="AM129" s="37"/>
      <c r="AQ129" s="130" t="s">
        <v>32</v>
      </c>
      <c r="AR129" s="131"/>
      <c r="AS129" s="131"/>
      <c r="AT129" s="131"/>
      <c r="AU129" s="131"/>
      <c r="AV129" s="132"/>
      <c r="AX129" s="130" t="s">
        <v>31</v>
      </c>
      <c r="AY129" s="131"/>
      <c r="AZ129" s="131"/>
      <c r="BA129" s="132"/>
      <c r="BC129" s="36" t="s">
        <v>36</v>
      </c>
      <c r="BD129" s="48"/>
      <c r="BE129" s="52"/>
      <c r="BF129" s="36"/>
    </row>
    <row r="130" spans="1:58" ht="32.25" customHeight="1" x14ac:dyDescent="0.3">
      <c r="A130" s="153"/>
      <c r="B130" s="133" t="s">
        <v>30</v>
      </c>
      <c r="C130" s="133" t="s">
        <v>29</v>
      </c>
      <c r="D130" s="116" t="s">
        <v>27</v>
      </c>
      <c r="E130" s="34" t="s">
        <v>26</v>
      </c>
      <c r="F130" s="122" t="s">
        <v>63</v>
      </c>
      <c r="G130" s="123"/>
      <c r="H130" s="122" t="s">
        <v>50</v>
      </c>
      <c r="I130" s="123"/>
      <c r="J130" s="122" t="s">
        <v>146</v>
      </c>
      <c r="K130" s="123"/>
      <c r="L130" s="122" t="s">
        <v>25</v>
      </c>
      <c r="M130" s="123"/>
      <c r="N130" s="106" t="s">
        <v>23</v>
      </c>
      <c r="O130" s="151" t="s">
        <v>137</v>
      </c>
      <c r="P130" s="122" t="s">
        <v>136</v>
      </c>
      <c r="Q130" s="123"/>
      <c r="R130" s="122" t="s">
        <v>143</v>
      </c>
      <c r="S130" s="123"/>
      <c r="T130" s="122" t="s">
        <v>144</v>
      </c>
      <c r="U130" s="123"/>
      <c r="V130" s="159" t="s">
        <v>142</v>
      </c>
      <c r="W130" s="21"/>
      <c r="X130" s="34" t="s">
        <v>21</v>
      </c>
      <c r="Y130" s="34" t="s">
        <v>20</v>
      </c>
      <c r="Z130" s="34" t="s">
        <v>95</v>
      </c>
      <c r="AA130" s="34" t="s">
        <v>19</v>
      </c>
      <c r="AB130" s="34" t="s">
        <v>18</v>
      </c>
      <c r="AC130" s="34" t="s">
        <v>48</v>
      </c>
      <c r="AD130" s="34" t="s">
        <v>49</v>
      </c>
      <c r="AE130" s="34" t="s">
        <v>17</v>
      </c>
      <c r="AF130" s="106" t="s">
        <v>16</v>
      </c>
      <c r="AG130" s="106" t="s">
        <v>15</v>
      </c>
      <c r="AH130" s="106" t="s">
        <v>14</v>
      </c>
      <c r="AI130" s="106" t="s">
        <v>13</v>
      </c>
      <c r="AJ130" s="106" t="s">
        <v>12</v>
      </c>
      <c r="AK130" s="116" t="s">
        <v>11</v>
      </c>
      <c r="AL130" s="118" t="s">
        <v>10</v>
      </c>
      <c r="AM130" s="120" t="s">
        <v>9</v>
      </c>
      <c r="AN130" s="35">
        <f>(1-O132/E132)</f>
        <v>0.29581604222752544</v>
      </c>
      <c r="AO130" s="35">
        <f>1-(AH132+AQ132)/E132</f>
        <v>0.19703382199075981</v>
      </c>
      <c r="AQ130" s="106" t="s">
        <v>8</v>
      </c>
      <c r="AR130" s="106" t="s">
        <v>7</v>
      </c>
      <c r="AS130" s="106" t="s">
        <v>37</v>
      </c>
      <c r="AT130" s="106" t="s">
        <v>38</v>
      </c>
      <c r="AU130" s="106" t="s">
        <v>6</v>
      </c>
      <c r="AV130" s="106" t="s">
        <v>5</v>
      </c>
      <c r="AX130" s="106" t="s">
        <v>4</v>
      </c>
      <c r="AY130" s="106" t="s">
        <v>3</v>
      </c>
      <c r="AZ130" s="106" t="s">
        <v>2</v>
      </c>
      <c r="BA130" s="106" t="s">
        <v>1</v>
      </c>
      <c r="BC130" s="106"/>
      <c r="BD130" s="108"/>
      <c r="BE130" s="52"/>
      <c r="BF130" s="106"/>
    </row>
    <row r="131" spans="1:58" ht="27" customHeight="1" x14ac:dyDescent="0.3">
      <c r="A131" s="154" t="s">
        <v>159</v>
      </c>
      <c r="B131" s="134"/>
      <c r="C131" s="134"/>
      <c r="D131" s="117"/>
      <c r="E131" s="31">
        <v>0</v>
      </c>
      <c r="F131" s="33">
        <v>0.09</v>
      </c>
      <c r="G131" s="32">
        <v>1000000</v>
      </c>
      <c r="H131" s="31">
        <v>0</v>
      </c>
      <c r="I131" s="32">
        <v>0</v>
      </c>
      <c r="J131" s="31">
        <v>1</v>
      </c>
      <c r="K131" s="32">
        <v>130000</v>
      </c>
      <c r="L131" s="31">
        <v>7.0000000000000007E-2</v>
      </c>
      <c r="M131" s="32">
        <v>70000</v>
      </c>
      <c r="N131" s="107"/>
      <c r="O131" s="152"/>
      <c r="P131" s="31">
        <v>0.02</v>
      </c>
      <c r="Q131" s="32">
        <v>1000000</v>
      </c>
      <c r="R131" s="31">
        <v>0.05</v>
      </c>
      <c r="S131" s="32">
        <v>10000</v>
      </c>
      <c r="T131" s="31">
        <v>0.02</v>
      </c>
      <c r="U131" s="32">
        <v>60000</v>
      </c>
      <c r="V131" s="159"/>
      <c r="W131" s="21"/>
      <c r="X131" s="31">
        <f>IF(C132="노트북",7%,IF(C132="저장&amp;주변기기",9%,IF(C132="모니터",7%)))</f>
        <v>7.0000000000000007E-2</v>
      </c>
      <c r="Y131" s="31">
        <v>0</v>
      </c>
      <c r="Z131" s="31">
        <v>0.03</v>
      </c>
      <c r="AA131" s="31">
        <f>IF(F131=0%,20%,0%)</f>
        <v>0</v>
      </c>
      <c r="AB131" s="30">
        <v>0</v>
      </c>
      <c r="AC131" s="30">
        <v>1</v>
      </c>
      <c r="AD131" s="53">
        <v>0.92307600000000001</v>
      </c>
      <c r="AE131" s="29">
        <v>0.5</v>
      </c>
      <c r="AF131" s="107"/>
      <c r="AG131" s="107"/>
      <c r="AH131" s="107"/>
      <c r="AI131" s="107"/>
      <c r="AJ131" s="107"/>
      <c r="AK131" s="117"/>
      <c r="AL131" s="119"/>
      <c r="AM131" s="121"/>
      <c r="AN131" s="55" t="s">
        <v>52</v>
      </c>
      <c r="AO131" s="56">
        <f>AN130-AO130</f>
        <v>9.8782220236765639E-2</v>
      </c>
      <c r="AQ131" s="107"/>
      <c r="AR131" s="107"/>
      <c r="AS131" s="107"/>
      <c r="AT131" s="107"/>
      <c r="AU131" s="107"/>
      <c r="AV131" s="107"/>
      <c r="AW131" s="39"/>
      <c r="AX131" s="107"/>
      <c r="AY131" s="107"/>
      <c r="AZ131" s="107"/>
      <c r="BA131" s="107"/>
      <c r="BC131" s="107"/>
      <c r="BD131" s="109"/>
      <c r="BE131" s="52"/>
      <c r="BF131" s="107"/>
    </row>
    <row r="132" spans="1:58" ht="27" customHeight="1" x14ac:dyDescent="0.3">
      <c r="A132" s="51">
        <v>4363376144</v>
      </c>
      <c r="B132" s="38" t="s">
        <v>35</v>
      </c>
      <c r="C132" s="27" t="s">
        <v>0</v>
      </c>
      <c r="D132" s="25">
        <v>850630</v>
      </c>
      <c r="E132" s="24">
        <f>ROUNDDOWN(D132/(1-E131),-1)</f>
        <v>850630</v>
      </c>
      <c r="F132" s="110">
        <f>ROUNDDOWN(IF(E132*F131&gt;G131,G131,E132*F131),-1)</f>
        <v>76550</v>
      </c>
      <c r="G132" s="111"/>
      <c r="H132" s="112">
        <f>ROUNDDOWN(IF(E132*H131&gt;I131,I131,E132*H131),-1)</f>
        <v>0</v>
      </c>
      <c r="I132" s="113"/>
      <c r="J132" s="112">
        <f>ROUNDDOWN(IF(E132*J131&gt;K131,K131,E132*J131),-1)</f>
        <v>130000</v>
      </c>
      <c r="K132" s="113"/>
      <c r="L132" s="110">
        <f>ROUNDDOWN(IF(N132*L131&gt;M131,M131,N132*L131),-1)</f>
        <v>45080</v>
      </c>
      <c r="M132" s="111"/>
      <c r="N132" s="23">
        <f>E132-F132-H132-J132</f>
        <v>644080</v>
      </c>
      <c r="O132" s="22">
        <f>E132-F132-H132-J132-L132</f>
        <v>599000</v>
      </c>
      <c r="P132" s="110">
        <f>ROUNDDOWN(IF(N132*P131&gt;Q131,Q131,N132*P131),-1)</f>
        <v>12880</v>
      </c>
      <c r="Q132" s="111"/>
      <c r="R132" s="110">
        <f>ROUNDDOWN(IF(N132*R131&gt;S131,S131,N132*R131),-1)</f>
        <v>10000</v>
      </c>
      <c r="S132" s="111"/>
      <c r="T132" s="110">
        <f>ROUNDDOWN(IF(N132*T131&gt;U131,U131,N132*T131),-1)</f>
        <v>12880</v>
      </c>
      <c r="U132" s="111"/>
      <c r="V132" s="158">
        <f>O132-P132-R132-T132</f>
        <v>563240</v>
      </c>
      <c r="W132" s="21"/>
      <c r="X132" s="20">
        <f>E132*X131</f>
        <v>59544.100000000006</v>
      </c>
      <c r="Y132" s="20">
        <f>E132*Y131</f>
        <v>0</v>
      </c>
      <c r="Z132" s="20">
        <f>(E132-H132)*Z131</f>
        <v>25518.899999999998</v>
      </c>
      <c r="AA132" s="19">
        <f>(E132*E131)*AA131</f>
        <v>0</v>
      </c>
      <c r="AB132" s="19">
        <f>F132*AB131</f>
        <v>0</v>
      </c>
      <c r="AC132" s="19">
        <f>H132*AC131</f>
        <v>0</v>
      </c>
      <c r="AD132" s="19">
        <f>J132*AD131</f>
        <v>119999.88</v>
      </c>
      <c r="AE132" s="19">
        <f>L132*AE131</f>
        <v>22540</v>
      </c>
      <c r="AF132" s="19">
        <v>0</v>
      </c>
      <c r="AG132" s="16">
        <v>6000</v>
      </c>
      <c r="AH132" s="18">
        <f>E132-X132-Y132-Z132-AA132-AE132-AB132-AC132-AD132-AF132</f>
        <v>623027.12</v>
      </c>
      <c r="AI132" s="18">
        <f>E132-X132-Y132-Z132-AA132-AB132-AC132-AD132-AE132-AF132-AG132</f>
        <v>617027.12</v>
      </c>
      <c r="AJ132" s="17">
        <f>AI132-AK132</f>
        <v>-29972.880000000005</v>
      </c>
      <c r="AK132" s="16">
        <v>647000</v>
      </c>
      <c r="AL132" s="15">
        <f>AJ132/AK132</f>
        <v>-4.6325935085007736E-2</v>
      </c>
      <c r="AM132" s="14">
        <f>1-O132/(AK132-AQ132-AR132-AS132)</f>
        <v>-2.0442930153321992E-2</v>
      </c>
      <c r="AN132" s="114">
        <f>(1-O132/E132)-(1-(AH132)/E132)</f>
        <v>2.8246264533345777E-2</v>
      </c>
      <c r="AO132" s="115"/>
      <c r="AQ132" s="13">
        <v>60000</v>
      </c>
      <c r="AR132" s="12">
        <v>0</v>
      </c>
      <c r="AS132" s="12"/>
      <c r="AT132" s="12"/>
      <c r="AU132" s="11">
        <f>AI132-(AK132-AQ132-AR132-AS132-AT132)</f>
        <v>30027.119999999995</v>
      </c>
      <c r="AV132" s="8">
        <f>AU132/AK132</f>
        <v>4.6409768160741875E-2</v>
      </c>
      <c r="AX132" s="10">
        <v>0</v>
      </c>
      <c r="AY132" s="10">
        <v>0</v>
      </c>
      <c r="AZ132" s="9">
        <f>AU132-AX132-AY132</f>
        <v>30027.119999999995</v>
      </c>
      <c r="BA132" s="8">
        <f>AZ132/AK132</f>
        <v>4.6409768160741875E-2</v>
      </c>
      <c r="BC132" s="7"/>
      <c r="BD132" s="50"/>
      <c r="BE132" s="52"/>
      <c r="BF132" s="7"/>
    </row>
    <row r="133" spans="1:58" ht="16.5" customHeight="1" x14ac:dyDescent="0.3">
      <c r="A133" s="21">
        <v>4583391989</v>
      </c>
      <c r="C133" s="57"/>
      <c r="D133" s="5">
        <v>679000</v>
      </c>
      <c r="E133" s="4">
        <f>ROUNDDOWN(D133/(1-E131),-1)</f>
        <v>679000</v>
      </c>
      <c r="F133" s="138">
        <f>E132-F132</f>
        <v>774080</v>
      </c>
      <c r="G133" s="138"/>
      <c r="H133" s="157">
        <f>E132-F132-H132</f>
        <v>774080</v>
      </c>
      <c r="I133" s="157"/>
      <c r="O133" s="4"/>
      <c r="P133" s="162">
        <f>SUM(P132:U132)</f>
        <v>35760</v>
      </c>
      <c r="Q133" s="163"/>
      <c r="R133" s="163"/>
      <c r="S133" s="163"/>
      <c r="T133" s="163"/>
      <c r="U133" s="164"/>
      <c r="V133" s="4"/>
      <c r="AB133" s="3">
        <f>F133*AB131</f>
        <v>0</v>
      </c>
      <c r="AC133" s="3"/>
      <c r="AD133" s="3"/>
      <c r="AK133" s="4">
        <v>625000</v>
      </c>
    </row>
    <row r="134" spans="1:58" ht="16.5" customHeight="1" x14ac:dyDescent="0.3">
      <c r="C134" s="57"/>
      <c r="D134" s="5"/>
      <c r="E134" s="4"/>
      <c r="F134" s="74"/>
      <c r="G134" s="74"/>
      <c r="I134" s="54"/>
      <c r="O134" s="4"/>
      <c r="P134" s="4"/>
      <c r="Q134" s="4"/>
      <c r="R134" s="4"/>
      <c r="S134" s="4"/>
      <c r="T134" s="4"/>
      <c r="U134" s="4"/>
      <c r="V134" s="4"/>
      <c r="AB134" s="3"/>
      <c r="AC134" s="3"/>
      <c r="AD134" s="3"/>
      <c r="AK134" s="4"/>
    </row>
    <row r="135" spans="1:58" ht="16.5" customHeight="1" x14ac:dyDescent="0.3">
      <c r="C135" s="57"/>
      <c r="D135" s="5"/>
      <c r="E135" s="4"/>
      <c r="F135" s="74"/>
      <c r="G135" s="74"/>
      <c r="I135" s="54"/>
      <c r="O135" s="4"/>
      <c r="P135" s="4"/>
      <c r="Q135" s="4"/>
      <c r="R135" s="4"/>
      <c r="S135" s="4"/>
      <c r="T135" s="4"/>
      <c r="U135" s="4"/>
      <c r="V135" s="4"/>
      <c r="AB135" s="3"/>
      <c r="AC135" s="3"/>
      <c r="AD135" s="3"/>
      <c r="AK135" s="4"/>
    </row>
    <row r="136" spans="1:58" ht="27" customHeight="1" x14ac:dyDescent="0.3">
      <c r="A136" s="153" t="s">
        <v>34</v>
      </c>
      <c r="B136" s="127" t="s">
        <v>130</v>
      </c>
      <c r="C136" s="128"/>
      <c r="D136" s="128"/>
      <c r="E136" s="128"/>
      <c r="F136" s="128"/>
      <c r="G136" s="128"/>
      <c r="H136" s="128"/>
      <c r="I136" s="128"/>
      <c r="J136" s="128"/>
      <c r="K136" s="128"/>
      <c r="L136" s="128"/>
      <c r="M136" s="156"/>
      <c r="N136" s="127" t="s">
        <v>141</v>
      </c>
      <c r="O136" s="156"/>
      <c r="P136" s="165" t="s">
        <v>167</v>
      </c>
      <c r="Q136" s="166"/>
      <c r="R136" s="166"/>
      <c r="S136" s="166"/>
      <c r="T136" s="166"/>
      <c r="U136" s="166"/>
      <c r="V136" s="167"/>
      <c r="X136" s="130" t="s">
        <v>33</v>
      </c>
      <c r="Y136" s="131"/>
      <c r="Z136" s="131"/>
      <c r="AA136" s="131"/>
      <c r="AB136" s="131"/>
      <c r="AC136" s="131"/>
      <c r="AD136" s="131"/>
      <c r="AE136" s="131"/>
      <c r="AF136" s="131"/>
      <c r="AG136" s="131"/>
      <c r="AH136" s="131"/>
      <c r="AI136" s="131"/>
      <c r="AJ136" s="131"/>
      <c r="AK136" s="131"/>
      <c r="AL136" s="132"/>
      <c r="AM136" s="37"/>
      <c r="AQ136" s="130" t="s">
        <v>32</v>
      </c>
      <c r="AR136" s="131"/>
      <c r="AS136" s="131"/>
      <c r="AT136" s="131"/>
      <c r="AU136" s="131"/>
      <c r="AV136" s="132"/>
      <c r="AX136" s="130" t="s">
        <v>31</v>
      </c>
      <c r="AY136" s="131"/>
      <c r="AZ136" s="131"/>
      <c r="BA136" s="132"/>
      <c r="BC136" s="36" t="s">
        <v>36</v>
      </c>
      <c r="BD136" s="48"/>
      <c r="BE136" s="52"/>
      <c r="BF136" s="36"/>
    </row>
    <row r="137" spans="1:58" ht="32.25" customHeight="1" x14ac:dyDescent="0.3">
      <c r="A137" s="153"/>
      <c r="B137" s="133" t="s">
        <v>30</v>
      </c>
      <c r="C137" s="133" t="s">
        <v>29</v>
      </c>
      <c r="D137" s="116" t="s">
        <v>27</v>
      </c>
      <c r="E137" s="34" t="s">
        <v>26</v>
      </c>
      <c r="F137" s="122" t="s">
        <v>63</v>
      </c>
      <c r="G137" s="123"/>
      <c r="H137" s="122" t="s">
        <v>50</v>
      </c>
      <c r="I137" s="123"/>
      <c r="J137" s="122" t="s">
        <v>146</v>
      </c>
      <c r="K137" s="123"/>
      <c r="L137" s="122" t="s">
        <v>25</v>
      </c>
      <c r="M137" s="123"/>
      <c r="N137" s="106" t="s">
        <v>23</v>
      </c>
      <c r="O137" s="151" t="s">
        <v>137</v>
      </c>
      <c r="P137" s="122" t="s">
        <v>136</v>
      </c>
      <c r="Q137" s="123"/>
      <c r="R137" s="122" t="s">
        <v>143</v>
      </c>
      <c r="S137" s="123"/>
      <c r="T137" s="122" t="s">
        <v>144</v>
      </c>
      <c r="U137" s="123"/>
      <c r="V137" s="159" t="s">
        <v>142</v>
      </c>
      <c r="W137" s="21"/>
      <c r="X137" s="34" t="s">
        <v>21</v>
      </c>
      <c r="Y137" s="34" t="s">
        <v>20</v>
      </c>
      <c r="Z137" s="34" t="s">
        <v>95</v>
      </c>
      <c r="AA137" s="34" t="s">
        <v>19</v>
      </c>
      <c r="AB137" s="34" t="s">
        <v>18</v>
      </c>
      <c r="AC137" s="34" t="s">
        <v>48</v>
      </c>
      <c r="AD137" s="34" t="s">
        <v>49</v>
      </c>
      <c r="AE137" s="34" t="s">
        <v>17</v>
      </c>
      <c r="AF137" s="106" t="s">
        <v>16</v>
      </c>
      <c r="AG137" s="106" t="s">
        <v>15</v>
      </c>
      <c r="AH137" s="106" t="s">
        <v>14</v>
      </c>
      <c r="AI137" s="106" t="s">
        <v>13</v>
      </c>
      <c r="AJ137" s="106" t="s">
        <v>12</v>
      </c>
      <c r="AK137" s="116" t="s">
        <v>11</v>
      </c>
      <c r="AL137" s="118" t="s">
        <v>10</v>
      </c>
      <c r="AM137" s="120" t="s">
        <v>9</v>
      </c>
      <c r="AN137" s="35">
        <f>(1-O139/E139)</f>
        <v>0.25394693200663354</v>
      </c>
      <c r="AO137" s="35">
        <f>1-(AH139+AQ139)/E139</f>
        <v>0.1861193034825871</v>
      </c>
      <c r="AQ137" s="106" t="s">
        <v>8</v>
      </c>
      <c r="AR137" s="106" t="s">
        <v>7</v>
      </c>
      <c r="AS137" s="106" t="s">
        <v>37</v>
      </c>
      <c r="AT137" s="106" t="s">
        <v>38</v>
      </c>
      <c r="AU137" s="106" t="s">
        <v>6</v>
      </c>
      <c r="AV137" s="106" t="s">
        <v>5</v>
      </c>
      <c r="AX137" s="106" t="s">
        <v>4</v>
      </c>
      <c r="AY137" s="106" t="s">
        <v>3</v>
      </c>
      <c r="AZ137" s="106" t="s">
        <v>2</v>
      </c>
      <c r="BA137" s="106" t="s">
        <v>1</v>
      </c>
      <c r="BC137" s="106"/>
      <c r="BD137" s="108"/>
      <c r="BE137" s="52"/>
      <c r="BF137" s="106"/>
    </row>
    <row r="138" spans="1:58" ht="27" customHeight="1" x14ac:dyDescent="0.3">
      <c r="A138" s="154" t="s">
        <v>160</v>
      </c>
      <c r="B138" s="134"/>
      <c r="C138" s="134"/>
      <c r="D138" s="117"/>
      <c r="E138" s="31">
        <v>0</v>
      </c>
      <c r="F138" s="33">
        <v>0.09</v>
      </c>
      <c r="G138" s="32">
        <v>1000000</v>
      </c>
      <c r="H138" s="31">
        <v>0</v>
      </c>
      <c r="I138" s="32">
        <v>0</v>
      </c>
      <c r="J138" s="31">
        <v>1</v>
      </c>
      <c r="K138" s="32">
        <v>130000</v>
      </c>
      <c r="L138" s="31">
        <v>7.0000000000000007E-2</v>
      </c>
      <c r="M138" s="32">
        <v>70000</v>
      </c>
      <c r="N138" s="107"/>
      <c r="O138" s="152"/>
      <c r="P138" s="31">
        <v>0.02</v>
      </c>
      <c r="Q138" s="32">
        <v>1000000</v>
      </c>
      <c r="R138" s="31">
        <v>0.05</v>
      </c>
      <c r="S138" s="32">
        <v>10000</v>
      </c>
      <c r="T138" s="31">
        <v>0.02</v>
      </c>
      <c r="U138" s="32">
        <v>60000</v>
      </c>
      <c r="V138" s="159"/>
      <c r="W138" s="21"/>
      <c r="X138" s="31">
        <f>IF(C139="노트북",7%,IF(C139="저장&amp;주변기기",9%,IF(C139="모니터",7%)))</f>
        <v>7.0000000000000007E-2</v>
      </c>
      <c r="Y138" s="31">
        <v>0</v>
      </c>
      <c r="Z138" s="31">
        <v>0.03</v>
      </c>
      <c r="AA138" s="31">
        <f>IF(F138=0%,20%,0%)</f>
        <v>0</v>
      </c>
      <c r="AB138" s="30">
        <v>0</v>
      </c>
      <c r="AC138" s="30">
        <v>1</v>
      </c>
      <c r="AD138" s="53">
        <v>0.92307600000000001</v>
      </c>
      <c r="AE138" s="29">
        <v>0.5</v>
      </c>
      <c r="AF138" s="107"/>
      <c r="AG138" s="107"/>
      <c r="AH138" s="107"/>
      <c r="AI138" s="107"/>
      <c r="AJ138" s="107"/>
      <c r="AK138" s="117"/>
      <c r="AL138" s="119"/>
      <c r="AM138" s="121"/>
      <c r="AN138" s="55" t="s">
        <v>52</v>
      </c>
      <c r="AO138" s="56">
        <f>AN137-AO137</f>
        <v>6.7827628524046446E-2</v>
      </c>
      <c r="AQ138" s="107"/>
      <c r="AR138" s="107"/>
      <c r="AS138" s="107"/>
      <c r="AT138" s="107"/>
      <c r="AU138" s="107"/>
      <c r="AV138" s="107"/>
      <c r="AW138" s="39"/>
      <c r="AX138" s="107"/>
      <c r="AY138" s="107"/>
      <c r="AZ138" s="107"/>
      <c r="BA138" s="107"/>
      <c r="BC138" s="107"/>
      <c r="BD138" s="109"/>
      <c r="BE138" s="52"/>
      <c r="BF138" s="107"/>
    </row>
    <row r="139" spans="1:58" ht="27" customHeight="1" x14ac:dyDescent="0.3">
      <c r="A139" s="51">
        <v>4602770526</v>
      </c>
      <c r="B139" s="38" t="s">
        <v>35</v>
      </c>
      <c r="C139" s="27" t="s">
        <v>0</v>
      </c>
      <c r="D139" s="25">
        <v>1206000</v>
      </c>
      <c r="E139" s="24">
        <f>ROUNDDOWN(D139/(1-E138),-1)</f>
        <v>1206000</v>
      </c>
      <c r="F139" s="110">
        <f>ROUNDDOWN(IF(E139*F138&gt;G138,G138,E139*F138),-1)</f>
        <v>108540</v>
      </c>
      <c r="G139" s="111"/>
      <c r="H139" s="112">
        <f>ROUNDDOWN(IF(E139*H138&gt;I138,I138,E139*H138),-1)</f>
        <v>0</v>
      </c>
      <c r="I139" s="113"/>
      <c r="J139" s="112">
        <f>ROUNDDOWN(IF(E139*J138&gt;K138,K138,E139*J138),-1)</f>
        <v>130000</v>
      </c>
      <c r="K139" s="113"/>
      <c r="L139" s="110">
        <f>ROUNDDOWN(IF(N139*L138&gt;M138,M138,N139*L138),-1)</f>
        <v>67720</v>
      </c>
      <c r="M139" s="111"/>
      <c r="N139" s="23">
        <f>E139-F139-H139-J139</f>
        <v>967460</v>
      </c>
      <c r="O139" s="22">
        <f>E139-F139-H139-J139-L139</f>
        <v>899740</v>
      </c>
      <c r="P139" s="110">
        <f>ROUNDDOWN(IF(N139*P138&gt;Q138,Q138,N139*P138),-1)</f>
        <v>19340</v>
      </c>
      <c r="Q139" s="111"/>
      <c r="R139" s="110">
        <f>ROUNDDOWN(IF(N139*R138&gt;S138,S138,N139*R138),-1)</f>
        <v>10000</v>
      </c>
      <c r="S139" s="111"/>
      <c r="T139" s="110">
        <f>ROUNDDOWN(IF(N139*T138&gt;U138,U138,N139*T138),-1)</f>
        <v>19340</v>
      </c>
      <c r="U139" s="111"/>
      <c r="V139" s="158">
        <f>O139-P139-R139-T139</f>
        <v>851060</v>
      </c>
      <c r="W139" s="21"/>
      <c r="X139" s="20">
        <f>E139*X138</f>
        <v>84420.000000000015</v>
      </c>
      <c r="Y139" s="20">
        <f>E139*Y138</f>
        <v>0</v>
      </c>
      <c r="Z139" s="20">
        <f>(E139-H139)*Z138</f>
        <v>36180</v>
      </c>
      <c r="AA139" s="19">
        <f>(E139*E138)*AA138</f>
        <v>0</v>
      </c>
      <c r="AB139" s="19">
        <f>F139*AB138</f>
        <v>0</v>
      </c>
      <c r="AC139" s="19">
        <f>H139*AC138</f>
        <v>0</v>
      </c>
      <c r="AD139" s="19">
        <f>J139*AD138</f>
        <v>119999.88</v>
      </c>
      <c r="AE139" s="19">
        <f>L139*AE138</f>
        <v>33860</v>
      </c>
      <c r="AF139" s="19">
        <v>0</v>
      </c>
      <c r="AG139" s="16">
        <v>6000</v>
      </c>
      <c r="AH139" s="18">
        <f>E139-X139-Y139-Z139-AA139-AE139-AB139-AC139-AD139-AF139</f>
        <v>931540.12</v>
      </c>
      <c r="AI139" s="18">
        <f>E139-X139-Y139-Z139-AA139-AB139-AC139-AD139-AE139-AF139-AG139</f>
        <v>925540.12</v>
      </c>
      <c r="AJ139" s="17">
        <f>AI139-AK139</f>
        <v>1540.1199999999953</v>
      </c>
      <c r="AK139" s="16">
        <v>924000</v>
      </c>
      <c r="AL139" s="15">
        <f>AJ139/AK139</f>
        <v>1.6667965367965318E-3</v>
      </c>
      <c r="AM139" s="14">
        <f>1-O139/(AK139-AQ139-AR139-AS139)</f>
        <v>-2.945080091533181E-2</v>
      </c>
      <c r="AN139" s="114">
        <f>(1-O139/E139)-(1-(AH139)/E139)</f>
        <v>2.6368258706467751E-2</v>
      </c>
      <c r="AO139" s="115"/>
      <c r="AQ139" s="13">
        <v>50000</v>
      </c>
      <c r="AR139" s="12">
        <v>0</v>
      </c>
      <c r="AS139" s="12"/>
      <c r="AT139" s="12"/>
      <c r="AU139" s="11">
        <f>AI139-(AK139-AQ139-AR139-AS139-AT139)</f>
        <v>51540.119999999995</v>
      </c>
      <c r="AV139" s="8">
        <f>AU139/AK139</f>
        <v>5.5779350649350641E-2</v>
      </c>
      <c r="AX139" s="10">
        <v>0</v>
      </c>
      <c r="AY139" s="10">
        <v>0</v>
      </c>
      <c r="AZ139" s="9">
        <f>AU139-AX139-AY139</f>
        <v>51540.119999999995</v>
      </c>
      <c r="BA139" s="8">
        <f>AZ139/AK139</f>
        <v>5.5779350649350641E-2</v>
      </c>
      <c r="BC139" s="7"/>
      <c r="BD139" s="50"/>
      <c r="BE139" s="52"/>
      <c r="BF139" s="7"/>
    </row>
    <row r="140" spans="1:58" ht="16.5" customHeight="1" x14ac:dyDescent="0.3">
      <c r="A140" s="21">
        <v>4583391989</v>
      </c>
      <c r="C140" s="57"/>
      <c r="D140" s="5">
        <v>999000</v>
      </c>
      <c r="E140" s="4">
        <f>ROUNDDOWN(D140/(1-E138),-1)</f>
        <v>999000</v>
      </c>
      <c r="F140" s="138">
        <f>E139-F139</f>
        <v>1097460</v>
      </c>
      <c r="G140" s="138"/>
      <c r="H140" s="157">
        <f>E139-F139-H139</f>
        <v>1097460</v>
      </c>
      <c r="I140" s="157"/>
      <c r="O140" s="4"/>
      <c r="P140" s="162">
        <f>SUM(P139:U139)</f>
        <v>48680</v>
      </c>
      <c r="Q140" s="163"/>
      <c r="R140" s="163"/>
      <c r="S140" s="163"/>
      <c r="T140" s="163"/>
      <c r="U140" s="164"/>
      <c r="V140" s="4"/>
      <c r="AB140" s="3">
        <f>F140*AB138</f>
        <v>0</v>
      </c>
      <c r="AC140" s="3"/>
      <c r="AD140" s="3"/>
      <c r="AK140" s="4">
        <v>625000</v>
      </c>
    </row>
    <row r="141" spans="1:58" ht="16.5" customHeight="1" x14ac:dyDescent="0.3">
      <c r="A141" s="21"/>
      <c r="C141" s="57"/>
      <c r="D141" s="5"/>
      <c r="E141" s="4"/>
      <c r="F141" s="42"/>
      <c r="G141" s="42"/>
      <c r="H141" s="160"/>
      <c r="I141" s="160"/>
      <c r="O141" s="4"/>
      <c r="P141" s="4"/>
      <c r="Q141" s="4"/>
      <c r="R141" s="4"/>
      <c r="S141" s="4"/>
      <c r="T141" s="4"/>
      <c r="U141" s="4"/>
      <c r="V141" s="4"/>
      <c r="AB141" s="3"/>
      <c r="AC141" s="3"/>
      <c r="AD141" s="3"/>
      <c r="AK141" s="4"/>
    </row>
    <row r="142" spans="1:58" ht="16.5" customHeight="1" x14ac:dyDescent="0.3">
      <c r="C142" s="57"/>
      <c r="D142" s="5"/>
      <c r="E142" s="4"/>
      <c r="F142" s="42"/>
      <c r="G142" s="42"/>
      <c r="I142" s="54"/>
      <c r="O142" s="4"/>
      <c r="P142" s="4"/>
      <c r="Q142" s="4"/>
      <c r="R142" s="4"/>
      <c r="S142" s="4"/>
      <c r="T142" s="4"/>
      <c r="U142" s="4"/>
      <c r="V142" s="4"/>
      <c r="AB142" s="3"/>
      <c r="AC142" s="3"/>
      <c r="AD142" s="3"/>
      <c r="AK142" s="4"/>
    </row>
    <row r="143" spans="1:58" ht="27" customHeight="1" x14ac:dyDescent="0.3">
      <c r="A143" s="153" t="s">
        <v>34</v>
      </c>
      <c r="B143" s="127" t="s">
        <v>130</v>
      </c>
      <c r="C143" s="128"/>
      <c r="D143" s="128"/>
      <c r="E143" s="128"/>
      <c r="F143" s="128"/>
      <c r="G143" s="128"/>
      <c r="H143" s="128"/>
      <c r="I143" s="128"/>
      <c r="J143" s="128"/>
      <c r="K143" s="128"/>
      <c r="L143" s="128"/>
      <c r="M143" s="156"/>
      <c r="N143" s="127" t="s">
        <v>141</v>
      </c>
      <c r="O143" s="156"/>
      <c r="P143" s="165" t="s">
        <v>167</v>
      </c>
      <c r="Q143" s="166"/>
      <c r="R143" s="166"/>
      <c r="S143" s="166"/>
      <c r="T143" s="166"/>
      <c r="U143" s="166"/>
      <c r="V143" s="167"/>
      <c r="X143" s="130" t="s">
        <v>33</v>
      </c>
      <c r="Y143" s="131"/>
      <c r="Z143" s="131"/>
      <c r="AA143" s="131"/>
      <c r="AB143" s="131"/>
      <c r="AC143" s="131"/>
      <c r="AD143" s="131"/>
      <c r="AE143" s="131"/>
      <c r="AF143" s="131"/>
      <c r="AG143" s="131"/>
      <c r="AH143" s="131"/>
      <c r="AI143" s="131"/>
      <c r="AJ143" s="131"/>
      <c r="AK143" s="131"/>
      <c r="AL143" s="132"/>
      <c r="AM143" s="37"/>
      <c r="AQ143" s="130" t="s">
        <v>32</v>
      </c>
      <c r="AR143" s="131"/>
      <c r="AS143" s="131"/>
      <c r="AT143" s="131"/>
      <c r="AU143" s="131"/>
      <c r="AV143" s="132"/>
      <c r="AX143" s="130" t="s">
        <v>31</v>
      </c>
      <c r="AY143" s="131"/>
      <c r="AZ143" s="131"/>
      <c r="BA143" s="132"/>
      <c r="BC143" s="36" t="s">
        <v>36</v>
      </c>
      <c r="BD143" s="48"/>
      <c r="BE143" s="52"/>
      <c r="BF143" s="36"/>
    </row>
    <row r="144" spans="1:58" ht="32.25" customHeight="1" x14ac:dyDescent="0.3">
      <c r="A144" s="153"/>
      <c r="B144" s="133" t="s">
        <v>30</v>
      </c>
      <c r="C144" s="133" t="s">
        <v>29</v>
      </c>
      <c r="D144" s="116" t="s">
        <v>27</v>
      </c>
      <c r="E144" s="34" t="s">
        <v>26</v>
      </c>
      <c r="F144" s="122" t="s">
        <v>63</v>
      </c>
      <c r="G144" s="123"/>
      <c r="H144" s="122" t="s">
        <v>50</v>
      </c>
      <c r="I144" s="123"/>
      <c r="J144" s="122" t="s">
        <v>146</v>
      </c>
      <c r="K144" s="123"/>
      <c r="L144" s="122" t="s">
        <v>25</v>
      </c>
      <c r="M144" s="123"/>
      <c r="N144" s="106" t="s">
        <v>23</v>
      </c>
      <c r="O144" s="151" t="s">
        <v>137</v>
      </c>
      <c r="P144" s="122" t="s">
        <v>136</v>
      </c>
      <c r="Q144" s="123"/>
      <c r="R144" s="122" t="s">
        <v>143</v>
      </c>
      <c r="S144" s="123"/>
      <c r="T144" s="122" t="s">
        <v>144</v>
      </c>
      <c r="U144" s="123"/>
      <c r="V144" s="159" t="s">
        <v>142</v>
      </c>
      <c r="W144" s="21"/>
      <c r="X144" s="34" t="s">
        <v>21</v>
      </c>
      <c r="Y144" s="34" t="s">
        <v>20</v>
      </c>
      <c r="Z144" s="34" t="s">
        <v>95</v>
      </c>
      <c r="AA144" s="34" t="s">
        <v>19</v>
      </c>
      <c r="AB144" s="34" t="s">
        <v>18</v>
      </c>
      <c r="AC144" s="34" t="s">
        <v>48</v>
      </c>
      <c r="AD144" s="34" t="s">
        <v>49</v>
      </c>
      <c r="AE144" s="34" t="s">
        <v>17</v>
      </c>
      <c r="AF144" s="106" t="s">
        <v>16</v>
      </c>
      <c r="AG144" s="106" t="s">
        <v>15</v>
      </c>
      <c r="AH144" s="106" t="s">
        <v>14</v>
      </c>
      <c r="AI144" s="106" t="s">
        <v>13</v>
      </c>
      <c r="AJ144" s="106" t="s">
        <v>12</v>
      </c>
      <c r="AK144" s="116" t="s">
        <v>11</v>
      </c>
      <c r="AL144" s="118" t="s">
        <v>10</v>
      </c>
      <c r="AM144" s="120" t="s">
        <v>9</v>
      </c>
      <c r="AN144" s="35">
        <f>(1-O146/E146)</f>
        <v>0.25394693200663354</v>
      </c>
      <c r="AO144" s="35">
        <f>1-(AH146+AQ146)/E146</f>
        <v>0.1861193034825871</v>
      </c>
      <c r="AQ144" s="106" t="s">
        <v>8</v>
      </c>
      <c r="AR144" s="106" t="s">
        <v>7</v>
      </c>
      <c r="AS144" s="106" t="s">
        <v>37</v>
      </c>
      <c r="AT144" s="106" t="s">
        <v>38</v>
      </c>
      <c r="AU144" s="106" t="s">
        <v>6</v>
      </c>
      <c r="AV144" s="106" t="s">
        <v>5</v>
      </c>
      <c r="AX144" s="106" t="s">
        <v>4</v>
      </c>
      <c r="AY144" s="106" t="s">
        <v>3</v>
      </c>
      <c r="AZ144" s="106" t="s">
        <v>2</v>
      </c>
      <c r="BA144" s="106" t="s">
        <v>1</v>
      </c>
      <c r="BC144" s="106"/>
      <c r="BD144" s="108"/>
      <c r="BE144" s="52"/>
      <c r="BF144" s="106"/>
    </row>
    <row r="145" spans="1:58" ht="27" customHeight="1" x14ac:dyDescent="0.3">
      <c r="A145" s="154" t="s">
        <v>161</v>
      </c>
      <c r="B145" s="134"/>
      <c r="C145" s="134"/>
      <c r="D145" s="117"/>
      <c r="E145" s="31">
        <v>0</v>
      </c>
      <c r="F145" s="33">
        <v>0.09</v>
      </c>
      <c r="G145" s="32">
        <v>1000000</v>
      </c>
      <c r="H145" s="31">
        <v>0</v>
      </c>
      <c r="I145" s="32">
        <v>0</v>
      </c>
      <c r="J145" s="31">
        <v>1</v>
      </c>
      <c r="K145" s="32">
        <v>130000</v>
      </c>
      <c r="L145" s="31">
        <v>7.0000000000000007E-2</v>
      </c>
      <c r="M145" s="32">
        <v>70000</v>
      </c>
      <c r="N145" s="107"/>
      <c r="O145" s="152"/>
      <c r="P145" s="31">
        <v>0.02</v>
      </c>
      <c r="Q145" s="32">
        <v>1000000</v>
      </c>
      <c r="R145" s="31">
        <v>0.05</v>
      </c>
      <c r="S145" s="32">
        <v>10000</v>
      </c>
      <c r="T145" s="31">
        <v>0.02</v>
      </c>
      <c r="U145" s="32">
        <v>60000</v>
      </c>
      <c r="V145" s="159"/>
      <c r="W145" s="21"/>
      <c r="X145" s="31">
        <f>IF(C146="노트북",7%,IF(C146="저장&amp;주변기기",9%,IF(C146="모니터",7%)))</f>
        <v>7.0000000000000007E-2</v>
      </c>
      <c r="Y145" s="31">
        <v>0</v>
      </c>
      <c r="Z145" s="31">
        <v>0.03</v>
      </c>
      <c r="AA145" s="31">
        <f>IF(F145=0%,20%,0%)</f>
        <v>0</v>
      </c>
      <c r="AB145" s="30">
        <v>0</v>
      </c>
      <c r="AC145" s="30">
        <v>1</v>
      </c>
      <c r="AD145" s="53">
        <v>0.92307600000000001</v>
      </c>
      <c r="AE145" s="29">
        <v>0.5</v>
      </c>
      <c r="AF145" s="107"/>
      <c r="AG145" s="107"/>
      <c r="AH145" s="107"/>
      <c r="AI145" s="107"/>
      <c r="AJ145" s="107"/>
      <c r="AK145" s="117"/>
      <c r="AL145" s="119"/>
      <c r="AM145" s="121"/>
      <c r="AN145" s="55" t="s">
        <v>52</v>
      </c>
      <c r="AO145" s="56">
        <f>AN144-AO144</f>
        <v>6.7827628524046446E-2</v>
      </c>
      <c r="AQ145" s="107"/>
      <c r="AR145" s="107"/>
      <c r="AS145" s="107"/>
      <c r="AT145" s="107"/>
      <c r="AU145" s="107"/>
      <c r="AV145" s="107"/>
      <c r="AW145" s="39"/>
      <c r="AX145" s="107"/>
      <c r="AY145" s="107"/>
      <c r="AZ145" s="107"/>
      <c r="BA145" s="107"/>
      <c r="BC145" s="107"/>
      <c r="BD145" s="109"/>
      <c r="BE145" s="52"/>
      <c r="BF145" s="107"/>
    </row>
    <row r="146" spans="1:58" ht="27" customHeight="1" x14ac:dyDescent="0.3">
      <c r="A146" s="51">
        <v>4622604857</v>
      </c>
      <c r="B146" s="38" t="s">
        <v>35</v>
      </c>
      <c r="C146" s="27" t="s">
        <v>0</v>
      </c>
      <c r="D146" s="25">
        <v>1206000</v>
      </c>
      <c r="E146" s="24">
        <f>ROUNDDOWN(D146/(1-E145),-1)</f>
        <v>1206000</v>
      </c>
      <c r="F146" s="110">
        <f>ROUNDDOWN(IF(E146*F145&gt;G145,G145,E146*F145),-1)</f>
        <v>108540</v>
      </c>
      <c r="G146" s="111"/>
      <c r="H146" s="112">
        <f>ROUNDDOWN(IF(E146*H145&gt;I145,I145,E146*H145),-1)</f>
        <v>0</v>
      </c>
      <c r="I146" s="113"/>
      <c r="J146" s="112">
        <f>ROUNDDOWN(IF(E146*J145&gt;K145,K145,E146*J145),-1)</f>
        <v>130000</v>
      </c>
      <c r="K146" s="113"/>
      <c r="L146" s="110">
        <f>ROUNDDOWN(IF(N146*L145&gt;M145,M145,N146*L145),-1)</f>
        <v>67720</v>
      </c>
      <c r="M146" s="111"/>
      <c r="N146" s="23">
        <f>E146-F146-H146-J146</f>
        <v>967460</v>
      </c>
      <c r="O146" s="22">
        <f>E146-F146-H146-J146-L146</f>
        <v>899740</v>
      </c>
      <c r="P146" s="110">
        <f>ROUNDDOWN(IF(N146*P145&gt;Q145,Q145,N146*P145),-1)</f>
        <v>19340</v>
      </c>
      <c r="Q146" s="111"/>
      <c r="R146" s="110">
        <f>ROUNDDOWN(IF(N146*R145&gt;S145,S145,N146*R145),-1)</f>
        <v>10000</v>
      </c>
      <c r="S146" s="111"/>
      <c r="T146" s="110">
        <f>ROUNDDOWN(IF(N146*T145&gt;U145,U145,N146*T145),-1)</f>
        <v>19340</v>
      </c>
      <c r="U146" s="111"/>
      <c r="V146" s="158">
        <f>O146-P146-R146-T146</f>
        <v>851060</v>
      </c>
      <c r="W146" s="21"/>
      <c r="X146" s="20">
        <f>E146*X145</f>
        <v>84420.000000000015</v>
      </c>
      <c r="Y146" s="20">
        <f>E146*Y145</f>
        <v>0</v>
      </c>
      <c r="Z146" s="20">
        <f>(E146-H146)*Z145</f>
        <v>36180</v>
      </c>
      <c r="AA146" s="19">
        <f>(E146*E145)*AA145</f>
        <v>0</v>
      </c>
      <c r="AB146" s="19">
        <f>F146*AB145</f>
        <v>0</v>
      </c>
      <c r="AC146" s="19">
        <f>H146*AC145</f>
        <v>0</v>
      </c>
      <c r="AD146" s="19">
        <f>J146*AD145</f>
        <v>119999.88</v>
      </c>
      <c r="AE146" s="19">
        <f>L146*AE145</f>
        <v>33860</v>
      </c>
      <c r="AF146" s="19">
        <v>0</v>
      </c>
      <c r="AG146" s="16">
        <v>6000</v>
      </c>
      <c r="AH146" s="18">
        <f>E146-X146-Y146-Z146-AA146-AE146-AB146-AC146-AD146-AF146</f>
        <v>931540.12</v>
      </c>
      <c r="AI146" s="18">
        <f>E146-X146-Y146-Z146-AA146-AB146-AC146-AD146-AE146-AF146-AG146</f>
        <v>925540.12</v>
      </c>
      <c r="AJ146" s="17">
        <f>AI146-AK146</f>
        <v>1540.1199999999953</v>
      </c>
      <c r="AK146" s="16">
        <v>924000</v>
      </c>
      <c r="AL146" s="15">
        <f>AJ146/AK146</f>
        <v>1.6667965367965318E-3</v>
      </c>
      <c r="AM146" s="14">
        <f>1-O146/(AK146-AQ146-AR146-AS146)</f>
        <v>-2.945080091533181E-2</v>
      </c>
      <c r="AN146" s="114">
        <f>(1-O146/E146)-(1-(AH146)/E146)</f>
        <v>2.6368258706467751E-2</v>
      </c>
      <c r="AO146" s="115"/>
      <c r="AQ146" s="13">
        <v>50000</v>
      </c>
      <c r="AR146" s="12">
        <v>0</v>
      </c>
      <c r="AS146" s="12"/>
      <c r="AT146" s="12"/>
      <c r="AU146" s="11">
        <f>AI146-(AK146-AQ146-AR146-AS146-AT146)</f>
        <v>51540.119999999995</v>
      </c>
      <c r="AV146" s="8">
        <f>AU146/AK146</f>
        <v>5.5779350649350641E-2</v>
      </c>
      <c r="AX146" s="10">
        <v>0</v>
      </c>
      <c r="AY146" s="10">
        <v>0</v>
      </c>
      <c r="AZ146" s="9">
        <f>AU146-AX146-AY146</f>
        <v>51540.119999999995</v>
      </c>
      <c r="BA146" s="8">
        <f>AZ146/AK146</f>
        <v>5.5779350649350641E-2</v>
      </c>
      <c r="BC146" s="7"/>
      <c r="BD146" s="50"/>
      <c r="BE146" s="52"/>
      <c r="BF146" s="7"/>
    </row>
    <row r="147" spans="1:58" ht="16.5" customHeight="1" x14ac:dyDescent="0.3">
      <c r="A147" s="21"/>
      <c r="C147" s="57"/>
      <c r="D147" s="5">
        <v>999000</v>
      </c>
      <c r="E147" s="4">
        <f>ROUNDDOWN(D147/(1-E145),-1)</f>
        <v>999000</v>
      </c>
      <c r="F147" s="138">
        <f>E146-F146</f>
        <v>1097460</v>
      </c>
      <c r="G147" s="138"/>
      <c r="H147" s="157">
        <f>E146-F146-H146</f>
        <v>1097460</v>
      </c>
      <c r="I147" s="157"/>
      <c r="O147" s="4"/>
      <c r="P147" s="162">
        <f>SUM(P146:U146)</f>
        <v>48680</v>
      </c>
      <c r="Q147" s="163"/>
      <c r="R147" s="163"/>
      <c r="S147" s="163"/>
      <c r="T147" s="163"/>
      <c r="U147" s="164"/>
      <c r="V147" s="4"/>
      <c r="AB147" s="3">
        <f>F147*AB145</f>
        <v>0</v>
      </c>
      <c r="AC147" s="3"/>
      <c r="AD147" s="3"/>
      <c r="AK147" s="4">
        <v>625000</v>
      </c>
    </row>
    <row r="148" spans="1:58" ht="16.5" customHeight="1" x14ac:dyDescent="0.3">
      <c r="A148" s="21"/>
      <c r="C148" s="57"/>
      <c r="D148" s="5"/>
      <c r="E148" s="4"/>
      <c r="F148" s="42"/>
      <c r="G148" s="42"/>
      <c r="H148" s="160"/>
      <c r="I148" s="160"/>
      <c r="O148" s="4"/>
      <c r="P148" s="155"/>
      <c r="Q148" s="155"/>
      <c r="R148" s="155"/>
      <c r="S148" s="155"/>
      <c r="T148" s="155"/>
      <c r="U148" s="155"/>
      <c r="V148" s="4"/>
      <c r="AB148" s="3"/>
      <c r="AC148" s="3"/>
      <c r="AD148" s="3"/>
      <c r="AK148" s="4"/>
    </row>
    <row r="149" spans="1:58" ht="16.5" customHeight="1" x14ac:dyDescent="0.3">
      <c r="A149" s="21"/>
      <c r="C149" s="57"/>
      <c r="D149" s="5"/>
      <c r="E149" s="4"/>
      <c r="F149" s="42"/>
      <c r="G149" s="42"/>
      <c r="H149" s="160"/>
      <c r="I149" s="160"/>
      <c r="O149" s="4"/>
      <c r="P149" s="4"/>
      <c r="Q149" s="4"/>
      <c r="R149" s="4"/>
      <c r="S149" s="4"/>
      <c r="T149" s="4"/>
      <c r="U149" s="4"/>
      <c r="V149" s="4"/>
      <c r="AB149" s="3"/>
      <c r="AC149" s="3"/>
      <c r="AD149" s="3"/>
      <c r="AK149" s="4"/>
    </row>
    <row r="150" spans="1:58" ht="27" customHeight="1" x14ac:dyDescent="0.3">
      <c r="A150" s="153" t="s">
        <v>34</v>
      </c>
      <c r="B150" s="127" t="s">
        <v>130</v>
      </c>
      <c r="C150" s="128"/>
      <c r="D150" s="128"/>
      <c r="E150" s="128"/>
      <c r="F150" s="128"/>
      <c r="G150" s="128"/>
      <c r="H150" s="128"/>
      <c r="I150" s="128"/>
      <c r="J150" s="128"/>
      <c r="K150" s="128"/>
      <c r="L150" s="128"/>
      <c r="M150" s="156"/>
      <c r="N150" s="127" t="s">
        <v>141</v>
      </c>
      <c r="O150" s="156"/>
      <c r="P150" s="165" t="s">
        <v>167</v>
      </c>
      <c r="Q150" s="166"/>
      <c r="R150" s="166"/>
      <c r="S150" s="166"/>
      <c r="T150" s="166"/>
      <c r="U150" s="166"/>
      <c r="V150" s="167"/>
      <c r="X150" s="130" t="s">
        <v>33</v>
      </c>
      <c r="Y150" s="131"/>
      <c r="Z150" s="131"/>
      <c r="AA150" s="131"/>
      <c r="AB150" s="131"/>
      <c r="AC150" s="131"/>
      <c r="AD150" s="131"/>
      <c r="AE150" s="131"/>
      <c r="AF150" s="131"/>
      <c r="AG150" s="131"/>
      <c r="AH150" s="131"/>
      <c r="AI150" s="131"/>
      <c r="AJ150" s="131"/>
      <c r="AK150" s="131"/>
      <c r="AL150" s="132"/>
      <c r="AM150" s="37"/>
      <c r="AQ150" s="130" t="s">
        <v>32</v>
      </c>
      <c r="AR150" s="131"/>
      <c r="AS150" s="131"/>
      <c r="AT150" s="131"/>
      <c r="AU150" s="131"/>
      <c r="AV150" s="132"/>
      <c r="AX150" s="130" t="s">
        <v>31</v>
      </c>
      <c r="AY150" s="131"/>
      <c r="AZ150" s="131"/>
      <c r="BA150" s="132"/>
      <c r="BC150" s="36" t="s">
        <v>36</v>
      </c>
      <c r="BD150" s="48"/>
      <c r="BE150" s="52"/>
      <c r="BF150" s="36"/>
    </row>
    <row r="151" spans="1:58" ht="32.25" customHeight="1" x14ac:dyDescent="0.3">
      <c r="A151" s="153"/>
      <c r="B151" s="133" t="s">
        <v>30</v>
      </c>
      <c r="C151" s="133" t="s">
        <v>29</v>
      </c>
      <c r="D151" s="116" t="s">
        <v>27</v>
      </c>
      <c r="E151" s="34" t="s">
        <v>26</v>
      </c>
      <c r="F151" s="122" t="s">
        <v>63</v>
      </c>
      <c r="G151" s="123"/>
      <c r="H151" s="122" t="s">
        <v>50</v>
      </c>
      <c r="I151" s="123"/>
      <c r="J151" s="122" t="s">
        <v>146</v>
      </c>
      <c r="K151" s="123"/>
      <c r="L151" s="122" t="s">
        <v>25</v>
      </c>
      <c r="M151" s="123"/>
      <c r="N151" s="106" t="s">
        <v>23</v>
      </c>
      <c r="O151" s="151" t="s">
        <v>137</v>
      </c>
      <c r="P151" s="122" t="s">
        <v>136</v>
      </c>
      <c r="Q151" s="123"/>
      <c r="R151" s="122" t="s">
        <v>143</v>
      </c>
      <c r="S151" s="123"/>
      <c r="T151" s="122" t="s">
        <v>144</v>
      </c>
      <c r="U151" s="123"/>
      <c r="V151" s="159" t="s">
        <v>142</v>
      </c>
      <c r="W151" s="21"/>
      <c r="X151" s="34" t="s">
        <v>21</v>
      </c>
      <c r="Y151" s="34" t="s">
        <v>20</v>
      </c>
      <c r="Z151" s="34" t="s">
        <v>95</v>
      </c>
      <c r="AA151" s="34" t="s">
        <v>19</v>
      </c>
      <c r="AB151" s="34" t="s">
        <v>18</v>
      </c>
      <c r="AC151" s="34" t="s">
        <v>48</v>
      </c>
      <c r="AD151" s="34" t="s">
        <v>49</v>
      </c>
      <c r="AE151" s="34" t="s">
        <v>17</v>
      </c>
      <c r="AF151" s="106" t="s">
        <v>16</v>
      </c>
      <c r="AG151" s="106" t="s">
        <v>15</v>
      </c>
      <c r="AH151" s="106" t="s">
        <v>14</v>
      </c>
      <c r="AI151" s="106" t="s">
        <v>13</v>
      </c>
      <c r="AJ151" s="106" t="s">
        <v>12</v>
      </c>
      <c r="AK151" s="116" t="s">
        <v>11</v>
      </c>
      <c r="AL151" s="118" t="s">
        <v>10</v>
      </c>
      <c r="AM151" s="120" t="s">
        <v>9</v>
      </c>
      <c r="AN151" s="35">
        <f>(1-O153/E153)</f>
        <v>0.27846233230134154</v>
      </c>
      <c r="AO151" s="35">
        <f>1-(AH153+AQ153)/E153</f>
        <v>0.25099058823529408</v>
      </c>
      <c r="AQ151" s="106" t="s">
        <v>8</v>
      </c>
      <c r="AR151" s="106" t="s">
        <v>7</v>
      </c>
      <c r="AS151" s="106" t="s">
        <v>37</v>
      </c>
      <c r="AT151" s="106" t="s">
        <v>38</v>
      </c>
      <c r="AU151" s="106" t="s">
        <v>6</v>
      </c>
      <c r="AV151" s="106" t="s">
        <v>5</v>
      </c>
      <c r="AX151" s="106" t="s">
        <v>4</v>
      </c>
      <c r="AY151" s="106" t="s">
        <v>3</v>
      </c>
      <c r="AZ151" s="106" t="s">
        <v>2</v>
      </c>
      <c r="BA151" s="106" t="s">
        <v>1</v>
      </c>
      <c r="BC151" s="106"/>
      <c r="BD151" s="108"/>
      <c r="BE151" s="52"/>
      <c r="BF151" s="106"/>
    </row>
    <row r="152" spans="1:58" ht="27" customHeight="1" x14ac:dyDescent="0.3">
      <c r="A152" s="154" t="s">
        <v>138</v>
      </c>
      <c r="B152" s="134"/>
      <c r="C152" s="134"/>
      <c r="D152" s="117"/>
      <c r="E152" s="31">
        <v>0</v>
      </c>
      <c r="F152" s="33">
        <v>0.09</v>
      </c>
      <c r="G152" s="32">
        <v>1000000</v>
      </c>
      <c r="H152" s="31">
        <v>0</v>
      </c>
      <c r="I152" s="32">
        <v>0</v>
      </c>
      <c r="J152" s="31">
        <v>1</v>
      </c>
      <c r="K152" s="32">
        <v>130000</v>
      </c>
      <c r="L152" s="31">
        <v>7.0000000000000007E-2</v>
      </c>
      <c r="M152" s="32">
        <v>70000</v>
      </c>
      <c r="N152" s="107"/>
      <c r="O152" s="152"/>
      <c r="P152" s="31">
        <v>0.02</v>
      </c>
      <c r="Q152" s="32">
        <v>1000000</v>
      </c>
      <c r="R152" s="31">
        <v>0.05</v>
      </c>
      <c r="S152" s="32">
        <v>10000</v>
      </c>
      <c r="T152" s="31">
        <v>0.02</v>
      </c>
      <c r="U152" s="32">
        <v>60000</v>
      </c>
      <c r="V152" s="159"/>
      <c r="W152" s="21"/>
      <c r="X152" s="31">
        <f>IF(C153="노트북",7%,IF(C153="저장&amp;주변기기",9%,IF(C153="모니터",7%)))</f>
        <v>7.0000000000000007E-2</v>
      </c>
      <c r="Y152" s="31">
        <v>0</v>
      </c>
      <c r="Z152" s="31">
        <v>0.03</v>
      </c>
      <c r="AA152" s="31">
        <f>IF(F152=0%,20%,0%)</f>
        <v>0</v>
      </c>
      <c r="AB152" s="30">
        <v>0</v>
      </c>
      <c r="AC152" s="30">
        <v>1</v>
      </c>
      <c r="AD152" s="53">
        <v>0.92307600000000001</v>
      </c>
      <c r="AE152" s="29">
        <v>0.5</v>
      </c>
      <c r="AF152" s="107"/>
      <c r="AG152" s="107"/>
      <c r="AH152" s="107"/>
      <c r="AI152" s="107"/>
      <c r="AJ152" s="107"/>
      <c r="AK152" s="117"/>
      <c r="AL152" s="119"/>
      <c r="AM152" s="121"/>
      <c r="AN152" s="55" t="s">
        <v>52</v>
      </c>
      <c r="AO152" s="56">
        <f>AN151-AO151</f>
        <v>2.7471744066047465E-2</v>
      </c>
      <c r="AQ152" s="107"/>
      <c r="AR152" s="107"/>
      <c r="AS152" s="107"/>
      <c r="AT152" s="107"/>
      <c r="AU152" s="107"/>
      <c r="AV152" s="107"/>
      <c r="AW152" s="39"/>
      <c r="AX152" s="107"/>
      <c r="AY152" s="107"/>
      <c r="AZ152" s="107"/>
      <c r="BA152" s="107"/>
      <c r="BC152" s="107"/>
      <c r="BD152" s="109"/>
      <c r="BE152" s="52"/>
      <c r="BF152" s="107"/>
    </row>
    <row r="153" spans="1:58" ht="27" customHeight="1" x14ac:dyDescent="0.3">
      <c r="A153" s="51">
        <v>4538541227</v>
      </c>
      <c r="B153" s="38" t="s">
        <v>35</v>
      </c>
      <c r="C153" s="27" t="s">
        <v>0</v>
      </c>
      <c r="D153" s="25">
        <v>969000</v>
      </c>
      <c r="E153" s="24">
        <f>ROUNDDOWN(D153/(1-E152),-1)</f>
        <v>969000</v>
      </c>
      <c r="F153" s="110">
        <f>ROUNDDOWN(IF(E153*F152&gt;G152,G152,E153*F152),-1)</f>
        <v>87210</v>
      </c>
      <c r="G153" s="111"/>
      <c r="H153" s="112">
        <f>ROUNDDOWN(IF(E153*H152&gt;I152,I152,E153*H152),-1)</f>
        <v>0</v>
      </c>
      <c r="I153" s="113"/>
      <c r="J153" s="112">
        <f>ROUNDDOWN(IF(E153*J152&gt;K152,K152,E153*J152),-1)</f>
        <v>130000</v>
      </c>
      <c r="K153" s="113"/>
      <c r="L153" s="110">
        <f>ROUNDDOWN(IF(N153*L152&gt;M152,M152,N153*L152),-1)</f>
        <v>52620</v>
      </c>
      <c r="M153" s="111"/>
      <c r="N153" s="23">
        <f>E153-F153-H153-J153</f>
        <v>751790</v>
      </c>
      <c r="O153" s="22">
        <f>E153-F153-H153-J153-L153</f>
        <v>699170</v>
      </c>
      <c r="P153" s="110">
        <f>ROUNDDOWN(IF(N153*P152&gt;Q152,Q152,N153*P152),-1)</f>
        <v>15030</v>
      </c>
      <c r="Q153" s="111"/>
      <c r="R153" s="110">
        <f>ROUNDDOWN(IF(N153*R152&gt;S152,S152,N153*R152),-1)</f>
        <v>10000</v>
      </c>
      <c r="S153" s="111"/>
      <c r="T153" s="110">
        <f>ROUNDDOWN(IF(N153*T152&gt;U152,U152,N153*T152),-1)</f>
        <v>15030</v>
      </c>
      <c r="U153" s="111"/>
      <c r="V153" s="158">
        <f>O153-P153-R153-T153</f>
        <v>659110</v>
      </c>
      <c r="W153" s="21"/>
      <c r="X153" s="20">
        <f>E153*X152</f>
        <v>67830</v>
      </c>
      <c r="Y153" s="20">
        <f>E153*Y152</f>
        <v>0</v>
      </c>
      <c r="Z153" s="20">
        <f>(E153-H153)*Z152</f>
        <v>29070</v>
      </c>
      <c r="AA153" s="19">
        <f>(E153*E152)*AA152</f>
        <v>0</v>
      </c>
      <c r="AB153" s="19">
        <f>F153*AB152</f>
        <v>0</v>
      </c>
      <c r="AC153" s="19">
        <f>H153*AC152</f>
        <v>0</v>
      </c>
      <c r="AD153" s="19">
        <f>J153*AD152</f>
        <v>119999.88</v>
      </c>
      <c r="AE153" s="19">
        <f>L153*AE152</f>
        <v>26310</v>
      </c>
      <c r="AF153" s="19">
        <v>0</v>
      </c>
      <c r="AG153" s="16">
        <v>6000</v>
      </c>
      <c r="AH153" s="18">
        <f>E153-X153-Y153-Z153-AA153-AE153-AB153-AC153-AD153-AF153</f>
        <v>725790.12</v>
      </c>
      <c r="AI153" s="18">
        <f>E153-X153-Y153-Z153-AA153-AB153-AC153-AD153-AE153-AF153-AG153</f>
        <v>719790.12</v>
      </c>
      <c r="AJ153" s="17">
        <f>AI153-AK153</f>
        <v>38790.119999999995</v>
      </c>
      <c r="AK153" s="16">
        <v>681000</v>
      </c>
      <c r="AL153" s="15">
        <f>AJ153/AK153</f>
        <v>5.6960528634361227E-2</v>
      </c>
      <c r="AM153" s="14">
        <f>1-O153/(AK153-AQ153-AR153-AS153)</f>
        <v>-2.6681350954478766E-2</v>
      </c>
      <c r="AN153" s="114">
        <f>(1-O153/E153)-(1-(AH153)/E153)</f>
        <v>2.7471744066047465E-2</v>
      </c>
      <c r="AO153" s="115"/>
      <c r="AQ153" s="13">
        <v>0</v>
      </c>
      <c r="AR153" s="12">
        <v>0</v>
      </c>
      <c r="AS153" s="12"/>
      <c r="AT153" s="12"/>
      <c r="AU153" s="11">
        <f>AI153-(AK153-AQ153-AR153-AS153-AT153)</f>
        <v>38790.119999999995</v>
      </c>
      <c r="AV153" s="8">
        <f>AU153/AK153</f>
        <v>5.6960528634361227E-2</v>
      </c>
      <c r="AX153" s="10">
        <v>0</v>
      </c>
      <c r="AY153" s="10">
        <v>0</v>
      </c>
      <c r="AZ153" s="9">
        <f>AU153-AX153-AY153</f>
        <v>38790.119999999995</v>
      </c>
      <c r="BA153" s="8">
        <f>AZ153/AK153</f>
        <v>5.6960528634361227E-2</v>
      </c>
      <c r="BC153" s="7"/>
      <c r="BD153" s="50"/>
      <c r="BE153" s="52"/>
      <c r="BF153" s="7"/>
    </row>
    <row r="154" spans="1:58" ht="16.5" customHeight="1" x14ac:dyDescent="0.3">
      <c r="A154" s="21">
        <v>4583400092</v>
      </c>
      <c r="C154" s="57"/>
      <c r="D154" s="5">
        <v>799000</v>
      </c>
      <c r="E154" s="4">
        <f>ROUNDDOWN(D154/(1-E152),-1)</f>
        <v>799000</v>
      </c>
      <c r="F154" s="138">
        <f>E153-F153</f>
        <v>881790</v>
      </c>
      <c r="G154" s="138"/>
      <c r="H154" s="157">
        <f>E153-F153-H153</f>
        <v>881790</v>
      </c>
      <c r="I154" s="157"/>
      <c r="O154" s="4"/>
      <c r="P154" s="162">
        <f>SUM(P153:U153)</f>
        <v>40060</v>
      </c>
      <c r="Q154" s="163"/>
      <c r="R154" s="163"/>
      <c r="S154" s="163"/>
      <c r="T154" s="163"/>
      <c r="U154" s="164"/>
      <c r="V154" s="4"/>
      <c r="AB154" s="3">
        <f>F154*AB152</f>
        <v>0</v>
      </c>
      <c r="AC154" s="3"/>
      <c r="AD154" s="3"/>
      <c r="AK154" s="161" t="s">
        <v>140</v>
      </c>
    </row>
    <row r="155" spans="1:58" x14ac:dyDescent="0.3">
      <c r="A155" s="21" t="s">
        <v>139</v>
      </c>
    </row>
    <row r="156" spans="1:58" x14ac:dyDescent="0.3">
      <c r="A156" s="21"/>
    </row>
    <row r="157" spans="1:58" ht="16.5" customHeight="1" x14ac:dyDescent="0.3">
      <c r="D157" s="5"/>
      <c r="E157" s="4"/>
      <c r="F157" s="42"/>
      <c r="G157" s="42"/>
      <c r="I157" s="54"/>
      <c r="AB157" s="3"/>
      <c r="AC157" s="3"/>
      <c r="AD157" s="3"/>
      <c r="AK157" s="5"/>
    </row>
    <row r="158" spans="1:58" ht="27" customHeight="1" x14ac:dyDescent="0.3">
      <c r="A158" s="153" t="s">
        <v>34</v>
      </c>
      <c r="B158" s="127" t="s">
        <v>130</v>
      </c>
      <c r="C158" s="128"/>
      <c r="D158" s="128"/>
      <c r="E158" s="128"/>
      <c r="F158" s="128"/>
      <c r="G158" s="128"/>
      <c r="H158" s="128"/>
      <c r="I158" s="128"/>
      <c r="J158" s="128"/>
      <c r="K158" s="128"/>
      <c r="L158" s="128"/>
      <c r="M158" s="156"/>
      <c r="N158" s="127" t="s">
        <v>141</v>
      </c>
      <c r="O158" s="156"/>
      <c r="P158" s="165" t="s">
        <v>167</v>
      </c>
      <c r="Q158" s="166"/>
      <c r="R158" s="166"/>
      <c r="S158" s="166"/>
      <c r="T158" s="166"/>
      <c r="U158" s="166"/>
      <c r="V158" s="167"/>
      <c r="X158" s="130" t="s">
        <v>33</v>
      </c>
      <c r="Y158" s="131"/>
      <c r="Z158" s="131"/>
      <c r="AA158" s="131"/>
      <c r="AB158" s="131"/>
      <c r="AC158" s="131"/>
      <c r="AD158" s="131"/>
      <c r="AE158" s="131"/>
      <c r="AF158" s="131"/>
      <c r="AG158" s="131"/>
      <c r="AH158" s="131"/>
      <c r="AI158" s="131"/>
      <c r="AJ158" s="131"/>
      <c r="AK158" s="131"/>
      <c r="AL158" s="132"/>
      <c r="AM158" s="37"/>
      <c r="AQ158" s="130" t="s">
        <v>32</v>
      </c>
      <c r="AR158" s="131"/>
      <c r="AS158" s="131"/>
      <c r="AT158" s="131"/>
      <c r="AU158" s="131"/>
      <c r="AV158" s="132"/>
      <c r="AX158" s="130" t="s">
        <v>31</v>
      </c>
      <c r="AY158" s="131"/>
      <c r="AZ158" s="131"/>
      <c r="BA158" s="132"/>
      <c r="BC158" s="36" t="s">
        <v>36</v>
      </c>
      <c r="BD158" s="48"/>
      <c r="BE158" s="52"/>
      <c r="BF158" s="36"/>
    </row>
    <row r="159" spans="1:58" ht="32.25" customHeight="1" x14ac:dyDescent="0.3">
      <c r="A159" s="153"/>
      <c r="B159" s="133" t="s">
        <v>30</v>
      </c>
      <c r="C159" s="133" t="s">
        <v>29</v>
      </c>
      <c r="D159" s="116" t="s">
        <v>27</v>
      </c>
      <c r="E159" s="34" t="s">
        <v>26</v>
      </c>
      <c r="F159" s="122" t="s">
        <v>63</v>
      </c>
      <c r="G159" s="123"/>
      <c r="H159" s="122" t="s">
        <v>50</v>
      </c>
      <c r="I159" s="123"/>
      <c r="J159" s="122" t="s">
        <v>146</v>
      </c>
      <c r="K159" s="123"/>
      <c r="L159" s="122" t="s">
        <v>25</v>
      </c>
      <c r="M159" s="123"/>
      <c r="N159" s="106" t="s">
        <v>23</v>
      </c>
      <c r="O159" s="151" t="s">
        <v>137</v>
      </c>
      <c r="P159" s="122" t="s">
        <v>136</v>
      </c>
      <c r="Q159" s="123"/>
      <c r="R159" s="122" t="s">
        <v>143</v>
      </c>
      <c r="S159" s="123"/>
      <c r="T159" s="122" t="s">
        <v>144</v>
      </c>
      <c r="U159" s="123"/>
      <c r="V159" s="159" t="s">
        <v>142</v>
      </c>
      <c r="W159" s="21"/>
      <c r="X159" s="34" t="s">
        <v>21</v>
      </c>
      <c r="Y159" s="34" t="s">
        <v>20</v>
      </c>
      <c r="Z159" s="34" t="s">
        <v>95</v>
      </c>
      <c r="AA159" s="34" t="s">
        <v>19</v>
      </c>
      <c r="AB159" s="34" t="s">
        <v>18</v>
      </c>
      <c r="AC159" s="34" t="s">
        <v>48</v>
      </c>
      <c r="AD159" s="34" t="s">
        <v>49</v>
      </c>
      <c r="AE159" s="34" t="s">
        <v>17</v>
      </c>
      <c r="AF159" s="106" t="s">
        <v>16</v>
      </c>
      <c r="AG159" s="106" t="s">
        <v>15</v>
      </c>
      <c r="AH159" s="106" t="s">
        <v>14</v>
      </c>
      <c r="AI159" s="106" t="s">
        <v>13</v>
      </c>
      <c r="AJ159" s="106" t="s">
        <v>12</v>
      </c>
      <c r="AK159" s="116" t="s">
        <v>11</v>
      </c>
      <c r="AL159" s="118" t="s">
        <v>10</v>
      </c>
      <c r="AM159" s="120" t="s">
        <v>9</v>
      </c>
      <c r="AN159" s="35">
        <f>(1-O161/E161)</f>
        <v>0.23426545464239068</v>
      </c>
      <c r="AO159" s="35">
        <f>1-(AH161+AQ161)/E161</f>
        <v>0.20878887319062722</v>
      </c>
      <c r="AQ159" s="106" t="s">
        <v>8</v>
      </c>
      <c r="AR159" s="106" t="s">
        <v>7</v>
      </c>
      <c r="AS159" s="106" t="s">
        <v>37</v>
      </c>
      <c r="AT159" s="106" t="s">
        <v>38</v>
      </c>
      <c r="AU159" s="106" t="s">
        <v>6</v>
      </c>
      <c r="AV159" s="106" t="s">
        <v>5</v>
      </c>
      <c r="AX159" s="106" t="s">
        <v>4</v>
      </c>
      <c r="AY159" s="106" t="s">
        <v>3</v>
      </c>
      <c r="AZ159" s="106" t="s">
        <v>2</v>
      </c>
      <c r="BA159" s="106" t="s">
        <v>1</v>
      </c>
      <c r="BC159" s="106"/>
      <c r="BD159" s="108"/>
      <c r="BE159" s="52"/>
      <c r="BF159" s="106"/>
    </row>
    <row r="160" spans="1:58" ht="27" customHeight="1" x14ac:dyDescent="0.3">
      <c r="A160" s="154" t="s">
        <v>162</v>
      </c>
      <c r="B160" s="134"/>
      <c r="C160" s="134"/>
      <c r="D160" s="117"/>
      <c r="E160" s="31">
        <v>0</v>
      </c>
      <c r="F160" s="33">
        <v>0.09</v>
      </c>
      <c r="G160" s="32">
        <v>1000000</v>
      </c>
      <c r="H160" s="31">
        <v>1</v>
      </c>
      <c r="I160" s="32">
        <v>0</v>
      </c>
      <c r="J160" s="31">
        <v>1</v>
      </c>
      <c r="K160" s="32">
        <v>130000</v>
      </c>
      <c r="L160" s="31">
        <v>7.0000000000000007E-2</v>
      </c>
      <c r="M160" s="32">
        <v>150000</v>
      </c>
      <c r="N160" s="107"/>
      <c r="O160" s="152"/>
      <c r="P160" s="31">
        <v>0.02</v>
      </c>
      <c r="Q160" s="32">
        <v>1000000</v>
      </c>
      <c r="R160" s="31">
        <v>0.05</v>
      </c>
      <c r="S160" s="32">
        <v>10000</v>
      </c>
      <c r="T160" s="31">
        <v>0.02</v>
      </c>
      <c r="U160" s="32">
        <v>60000</v>
      </c>
      <c r="V160" s="159"/>
      <c r="W160" s="21"/>
      <c r="X160" s="31">
        <f>IF(C161="노트북",7%,IF(C161="저장&amp;주변기기",9%,IF(C161="모니터",7%)))</f>
        <v>7.0000000000000007E-2</v>
      </c>
      <c r="Y160" s="31">
        <v>0</v>
      </c>
      <c r="Z160" s="31">
        <v>0.03</v>
      </c>
      <c r="AA160" s="31">
        <f>IF(F160=0%,20%,0%)</f>
        <v>0</v>
      </c>
      <c r="AB160" s="30">
        <v>0</v>
      </c>
      <c r="AC160" s="30">
        <v>1</v>
      </c>
      <c r="AD160" s="53">
        <v>0.92307600000000001</v>
      </c>
      <c r="AE160" s="29">
        <v>0.5</v>
      </c>
      <c r="AF160" s="107"/>
      <c r="AG160" s="107"/>
      <c r="AH160" s="107"/>
      <c r="AI160" s="107"/>
      <c r="AJ160" s="107"/>
      <c r="AK160" s="117"/>
      <c r="AL160" s="119"/>
      <c r="AM160" s="121"/>
      <c r="AN160" s="55" t="s">
        <v>52</v>
      </c>
      <c r="AO160" s="56">
        <f>AN159-AO159</f>
        <v>2.5476581451763458E-2</v>
      </c>
      <c r="AQ160" s="107"/>
      <c r="AR160" s="107"/>
      <c r="AS160" s="107"/>
      <c r="AT160" s="107"/>
      <c r="AU160" s="107"/>
      <c r="AV160" s="107"/>
      <c r="AW160" s="39"/>
      <c r="AX160" s="107"/>
      <c r="AY160" s="107"/>
      <c r="AZ160" s="107"/>
      <c r="BA160" s="107"/>
      <c r="BC160" s="107"/>
      <c r="BD160" s="109"/>
      <c r="BE160" s="52"/>
      <c r="BF160" s="107"/>
    </row>
    <row r="161" spans="1:58" ht="27" customHeight="1" x14ac:dyDescent="0.3">
      <c r="A161" s="51">
        <v>4668034795</v>
      </c>
      <c r="B161" s="38" t="s">
        <v>35</v>
      </c>
      <c r="C161" s="27" t="s">
        <v>0</v>
      </c>
      <c r="D161" s="25">
        <v>1500520</v>
      </c>
      <c r="E161" s="24">
        <f>ROUNDDOWN(D161/(1-E160),-1)</f>
        <v>1500520</v>
      </c>
      <c r="F161" s="110">
        <f>ROUNDDOWN(IF(E161*F160&gt;G160,G160,E161*F160),-1)</f>
        <v>135040</v>
      </c>
      <c r="G161" s="111"/>
      <c r="H161" s="112">
        <f>ROUNDDOWN(IF(E161*H160&gt;I160,I160,E161*H160),-1)</f>
        <v>0</v>
      </c>
      <c r="I161" s="113"/>
      <c r="J161" s="112">
        <f>ROUNDDOWN(IF(E161*J160&gt;K160,K160,E161*J160),-1)</f>
        <v>130000</v>
      </c>
      <c r="K161" s="113"/>
      <c r="L161" s="110">
        <f>ROUNDDOWN(IF(N161*L160&gt;M160,M160,N161*L160),-1)</f>
        <v>86480</v>
      </c>
      <c r="M161" s="111"/>
      <c r="N161" s="23">
        <f>E161-F161-H161-J161</f>
        <v>1235480</v>
      </c>
      <c r="O161" s="22">
        <f>E161-F161-H161-J161-L161</f>
        <v>1149000</v>
      </c>
      <c r="P161" s="110">
        <f>ROUNDDOWN(IF(N161*P160&gt;Q160,Q160,N161*P160),-1)</f>
        <v>24700</v>
      </c>
      <c r="Q161" s="111"/>
      <c r="R161" s="110">
        <f>ROUNDDOWN(IF(N161*R160&gt;S160,S160,N161*R160),-1)</f>
        <v>10000</v>
      </c>
      <c r="S161" s="111"/>
      <c r="T161" s="110">
        <f>ROUNDDOWN(IF(N161*T160&gt;U160,U160,N161*T160),-1)</f>
        <v>24700</v>
      </c>
      <c r="U161" s="111"/>
      <c r="V161" s="158">
        <f>O161-P161-R161-T161</f>
        <v>1089600</v>
      </c>
      <c r="W161" s="21"/>
      <c r="X161" s="20">
        <f>E161*X160</f>
        <v>105036.40000000001</v>
      </c>
      <c r="Y161" s="20">
        <f>E161*Y160</f>
        <v>0</v>
      </c>
      <c r="Z161" s="20">
        <f>(E161-H161)*Z160</f>
        <v>45015.6</v>
      </c>
      <c r="AA161" s="19">
        <f>(E161*E160)*AA160</f>
        <v>0</v>
      </c>
      <c r="AB161" s="19">
        <f>F161*AB160</f>
        <v>0</v>
      </c>
      <c r="AC161" s="19">
        <f>H161*AC160</f>
        <v>0</v>
      </c>
      <c r="AD161" s="19">
        <f>J161*AD160</f>
        <v>119999.88</v>
      </c>
      <c r="AE161" s="19">
        <f>L161*AE160</f>
        <v>43240</v>
      </c>
      <c r="AF161" s="19">
        <v>0</v>
      </c>
      <c r="AG161" s="16">
        <v>6000</v>
      </c>
      <c r="AH161" s="18">
        <f>E161-X161-Y161-Z161-AA161-AE161-AB161-AC161-AD161-AF161</f>
        <v>1187228.1200000001</v>
      </c>
      <c r="AI161" s="18">
        <f>E161-X161-Y161-Z161-AA161-AB161-AC161-AD161-AE161-AF161-AG161</f>
        <v>1181228.1200000001</v>
      </c>
      <c r="AJ161" s="17">
        <f>AI161-AK161</f>
        <v>113228.12000000011</v>
      </c>
      <c r="AK161" s="16">
        <v>1068000</v>
      </c>
      <c r="AL161" s="15">
        <f>AJ161/AK161</f>
        <v>0.10601883895131096</v>
      </c>
      <c r="AM161" s="14">
        <f>1-O161/(AK161-AQ161-AR161-AS161)</f>
        <v>-7.5842696629213391E-2</v>
      </c>
      <c r="AN161" s="114">
        <f>(1-O161/E161)-(1-(AH161)/E161)</f>
        <v>2.5476581451763458E-2</v>
      </c>
      <c r="AO161" s="115"/>
      <c r="AQ161" s="13"/>
      <c r="AR161" s="12"/>
      <c r="AS161" s="12"/>
      <c r="AT161" s="12"/>
      <c r="AU161" s="11">
        <f>AI161-(AK161-AQ161-AR161-AS161-AT161)</f>
        <v>113228.12000000011</v>
      </c>
      <c r="AV161" s="8">
        <f>AU161/AK161</f>
        <v>0.10601883895131096</v>
      </c>
      <c r="AX161" s="10">
        <v>0</v>
      </c>
      <c r="AY161" s="10">
        <v>0</v>
      </c>
      <c r="AZ161" s="9">
        <f>AU161-AX161-AY161</f>
        <v>113228.12000000011</v>
      </c>
      <c r="BA161" s="8">
        <f>AZ161/AK161</f>
        <v>0.10601883895131096</v>
      </c>
      <c r="BC161" s="7"/>
      <c r="BD161" s="50"/>
      <c r="BE161" s="52"/>
      <c r="BF161" s="7"/>
    </row>
    <row r="162" spans="1:58" ht="16.5" customHeight="1" x14ac:dyDescent="0.3">
      <c r="A162" s="21">
        <v>4578283620</v>
      </c>
      <c r="D162" s="5">
        <v>1149000</v>
      </c>
      <c r="E162" s="4">
        <f>ROUNDDOWN(D162/(1-E160),-1)</f>
        <v>1149000</v>
      </c>
      <c r="F162" s="138">
        <f>E161-F161</f>
        <v>1365480</v>
      </c>
      <c r="G162" s="138"/>
      <c r="H162" s="157">
        <f>E161-F161-H161</f>
        <v>1365480</v>
      </c>
      <c r="I162" s="157"/>
      <c r="K162" s="21"/>
      <c r="O162" s="4"/>
      <c r="P162" s="162">
        <f>SUM(P161:U161)</f>
        <v>59400</v>
      </c>
      <c r="Q162" s="163"/>
      <c r="R162" s="163"/>
      <c r="S162" s="163"/>
      <c r="T162" s="163"/>
      <c r="U162" s="164"/>
      <c r="V162" s="4"/>
      <c r="AB162" s="3">
        <f>F162*AB160</f>
        <v>0</v>
      </c>
      <c r="AC162" s="3"/>
      <c r="AD162" s="3"/>
      <c r="AK162" s="57"/>
    </row>
    <row r="163" spans="1:58" ht="16.5" customHeight="1" x14ac:dyDescent="0.3">
      <c r="D163" s="5"/>
      <c r="E163" s="4"/>
      <c r="F163" s="42"/>
      <c r="G163" s="42"/>
      <c r="I163" s="54"/>
      <c r="AB163" s="3"/>
      <c r="AC163" s="3"/>
      <c r="AD163" s="3"/>
      <c r="AK163" s="5"/>
    </row>
    <row r="164" spans="1:58" ht="16.5" customHeight="1" x14ac:dyDescent="0.3">
      <c r="D164" s="5"/>
      <c r="E164" s="4"/>
      <c r="F164" s="42"/>
      <c r="G164" s="42"/>
      <c r="I164" s="54"/>
      <c r="AB164" s="3"/>
      <c r="AC164" s="3"/>
      <c r="AD164" s="3"/>
      <c r="AK164" s="5"/>
    </row>
    <row r="165" spans="1:58" ht="27" customHeight="1" x14ac:dyDescent="0.3">
      <c r="A165" s="153" t="s">
        <v>34</v>
      </c>
      <c r="B165" s="127" t="s">
        <v>130</v>
      </c>
      <c r="C165" s="128"/>
      <c r="D165" s="128"/>
      <c r="E165" s="128"/>
      <c r="F165" s="128"/>
      <c r="G165" s="128"/>
      <c r="H165" s="128"/>
      <c r="I165" s="128"/>
      <c r="J165" s="128"/>
      <c r="K165" s="128"/>
      <c r="L165" s="128"/>
      <c r="M165" s="156"/>
      <c r="N165" s="127" t="s">
        <v>141</v>
      </c>
      <c r="O165" s="156"/>
      <c r="P165" s="165" t="s">
        <v>167</v>
      </c>
      <c r="Q165" s="166"/>
      <c r="R165" s="166"/>
      <c r="S165" s="166"/>
      <c r="T165" s="166"/>
      <c r="U165" s="166"/>
      <c r="V165" s="167"/>
      <c r="X165" s="130" t="s">
        <v>33</v>
      </c>
      <c r="Y165" s="131"/>
      <c r="Z165" s="131"/>
      <c r="AA165" s="131"/>
      <c r="AB165" s="131"/>
      <c r="AC165" s="131"/>
      <c r="AD165" s="131"/>
      <c r="AE165" s="131"/>
      <c r="AF165" s="131"/>
      <c r="AG165" s="131"/>
      <c r="AH165" s="131"/>
      <c r="AI165" s="131"/>
      <c r="AJ165" s="131"/>
      <c r="AK165" s="131"/>
      <c r="AL165" s="132"/>
      <c r="AM165" s="37"/>
      <c r="AQ165" s="130" t="s">
        <v>32</v>
      </c>
      <c r="AR165" s="131"/>
      <c r="AS165" s="131"/>
      <c r="AT165" s="131"/>
      <c r="AU165" s="131"/>
      <c r="AV165" s="132"/>
      <c r="AX165" s="130" t="s">
        <v>31</v>
      </c>
      <c r="AY165" s="131"/>
      <c r="AZ165" s="131"/>
      <c r="BA165" s="132"/>
      <c r="BC165" s="36" t="s">
        <v>36</v>
      </c>
      <c r="BD165" s="48"/>
      <c r="BE165" s="52"/>
      <c r="BF165" s="36"/>
    </row>
    <row r="166" spans="1:58" ht="32.25" customHeight="1" x14ac:dyDescent="0.3">
      <c r="A166" s="153"/>
      <c r="B166" s="133" t="s">
        <v>30</v>
      </c>
      <c r="C166" s="133" t="s">
        <v>29</v>
      </c>
      <c r="D166" s="116" t="s">
        <v>27</v>
      </c>
      <c r="E166" s="34" t="s">
        <v>26</v>
      </c>
      <c r="F166" s="122" t="s">
        <v>63</v>
      </c>
      <c r="G166" s="123"/>
      <c r="H166" s="122" t="s">
        <v>50</v>
      </c>
      <c r="I166" s="123"/>
      <c r="J166" s="122" t="s">
        <v>146</v>
      </c>
      <c r="K166" s="123"/>
      <c r="L166" s="122" t="s">
        <v>25</v>
      </c>
      <c r="M166" s="123"/>
      <c r="N166" s="106" t="s">
        <v>23</v>
      </c>
      <c r="O166" s="151" t="s">
        <v>137</v>
      </c>
      <c r="P166" s="122" t="s">
        <v>136</v>
      </c>
      <c r="Q166" s="123"/>
      <c r="R166" s="122" t="s">
        <v>143</v>
      </c>
      <c r="S166" s="123"/>
      <c r="T166" s="122" t="s">
        <v>144</v>
      </c>
      <c r="U166" s="123"/>
      <c r="V166" s="159" t="s">
        <v>142</v>
      </c>
      <c r="W166" s="21"/>
      <c r="X166" s="34" t="s">
        <v>21</v>
      </c>
      <c r="Y166" s="34" t="s">
        <v>20</v>
      </c>
      <c r="Z166" s="34" t="s">
        <v>95</v>
      </c>
      <c r="AA166" s="34" t="s">
        <v>19</v>
      </c>
      <c r="AB166" s="34" t="s">
        <v>18</v>
      </c>
      <c r="AC166" s="34" t="s">
        <v>48</v>
      </c>
      <c r="AD166" s="34" t="s">
        <v>49</v>
      </c>
      <c r="AE166" s="34" t="s">
        <v>17</v>
      </c>
      <c r="AF166" s="106" t="s">
        <v>16</v>
      </c>
      <c r="AG166" s="106" t="s">
        <v>15</v>
      </c>
      <c r="AH166" s="106" t="s">
        <v>14</v>
      </c>
      <c r="AI166" s="106" t="s">
        <v>13</v>
      </c>
      <c r="AJ166" s="106" t="s">
        <v>12</v>
      </c>
      <c r="AK166" s="116" t="s">
        <v>11</v>
      </c>
      <c r="AL166" s="118" t="s">
        <v>10</v>
      </c>
      <c r="AM166" s="120" t="s">
        <v>9</v>
      </c>
      <c r="AN166" s="35">
        <f>(1-O168/E168)</f>
        <v>0.22893095851536538</v>
      </c>
      <c r="AO166" s="35">
        <f>1-(AH168+AQ168)/E168</f>
        <v>0.20369595359894443</v>
      </c>
      <c r="AQ166" s="106" t="s">
        <v>8</v>
      </c>
      <c r="AR166" s="106" t="s">
        <v>7</v>
      </c>
      <c r="AS166" s="106" t="s">
        <v>37</v>
      </c>
      <c r="AT166" s="106" t="s">
        <v>38</v>
      </c>
      <c r="AU166" s="106" t="s">
        <v>6</v>
      </c>
      <c r="AV166" s="106" t="s">
        <v>5</v>
      </c>
      <c r="AX166" s="106" t="s">
        <v>4</v>
      </c>
      <c r="AY166" s="106" t="s">
        <v>3</v>
      </c>
      <c r="AZ166" s="106" t="s">
        <v>2</v>
      </c>
      <c r="BA166" s="106" t="s">
        <v>1</v>
      </c>
      <c r="BC166" s="106"/>
      <c r="BD166" s="108"/>
      <c r="BE166" s="52"/>
      <c r="BF166" s="106"/>
    </row>
    <row r="167" spans="1:58" ht="27" customHeight="1" x14ac:dyDescent="0.3">
      <c r="A167" s="154" t="s">
        <v>163</v>
      </c>
      <c r="B167" s="134"/>
      <c r="C167" s="134"/>
      <c r="D167" s="117"/>
      <c r="E167" s="31">
        <v>0</v>
      </c>
      <c r="F167" s="33">
        <v>0.09</v>
      </c>
      <c r="G167" s="32">
        <v>1000000</v>
      </c>
      <c r="H167" s="31">
        <v>1</v>
      </c>
      <c r="I167" s="32">
        <v>0</v>
      </c>
      <c r="J167" s="31">
        <v>1</v>
      </c>
      <c r="K167" s="32">
        <v>130000</v>
      </c>
      <c r="L167" s="31">
        <v>7.0000000000000007E-2</v>
      </c>
      <c r="M167" s="32">
        <v>150000</v>
      </c>
      <c r="N167" s="107"/>
      <c r="O167" s="152"/>
      <c r="P167" s="31">
        <v>0.02</v>
      </c>
      <c r="Q167" s="32">
        <v>1000000</v>
      </c>
      <c r="R167" s="31">
        <v>0.05</v>
      </c>
      <c r="S167" s="32">
        <v>10000</v>
      </c>
      <c r="T167" s="31">
        <v>0.02</v>
      </c>
      <c r="U167" s="32">
        <v>60000</v>
      </c>
      <c r="V167" s="159"/>
      <c r="W167" s="21"/>
      <c r="X167" s="31">
        <f>IF(C168="노트북",7%,IF(C168="저장&amp;주변기기",9%,IF(C168="모니터",7%)))</f>
        <v>7.0000000000000007E-2</v>
      </c>
      <c r="Y167" s="31">
        <v>0</v>
      </c>
      <c r="Z167" s="31">
        <v>0.03</v>
      </c>
      <c r="AA167" s="31">
        <f>IF(F167=0%,20%,0%)</f>
        <v>0</v>
      </c>
      <c r="AB167" s="30">
        <v>0</v>
      </c>
      <c r="AC167" s="30">
        <v>1</v>
      </c>
      <c r="AD167" s="53">
        <v>0.92307600000000001</v>
      </c>
      <c r="AE167" s="29">
        <v>0.5</v>
      </c>
      <c r="AF167" s="107"/>
      <c r="AG167" s="107"/>
      <c r="AH167" s="107"/>
      <c r="AI167" s="107"/>
      <c r="AJ167" s="107"/>
      <c r="AK167" s="117"/>
      <c r="AL167" s="119"/>
      <c r="AM167" s="121"/>
      <c r="AN167" s="55" t="s">
        <v>52</v>
      </c>
      <c r="AO167" s="56">
        <f>AN166-AO166</f>
        <v>2.5235004916420944E-2</v>
      </c>
      <c r="AQ167" s="107"/>
      <c r="AR167" s="107"/>
      <c r="AS167" s="107"/>
      <c r="AT167" s="107"/>
      <c r="AU167" s="107"/>
      <c r="AV167" s="107"/>
      <c r="AW167" s="39"/>
      <c r="AX167" s="107"/>
      <c r="AY167" s="107"/>
      <c r="AZ167" s="107"/>
      <c r="BA167" s="107"/>
      <c r="BC167" s="107"/>
      <c r="BD167" s="109"/>
      <c r="BE167" s="52"/>
      <c r="BF167" s="107"/>
    </row>
    <row r="168" spans="1:58" ht="27" customHeight="1" x14ac:dyDescent="0.3">
      <c r="A168" s="51">
        <v>4668027223</v>
      </c>
      <c r="B168" s="38" t="s">
        <v>35</v>
      </c>
      <c r="C168" s="27" t="s">
        <v>0</v>
      </c>
      <c r="D168" s="25">
        <v>1606860</v>
      </c>
      <c r="E168" s="24">
        <f>ROUNDDOWN(D168/(1-E167),-1)</f>
        <v>1606860</v>
      </c>
      <c r="F168" s="110">
        <f>ROUNDDOWN(IF(E168*F167&gt;G167,G167,E168*F167),-1)</f>
        <v>144610</v>
      </c>
      <c r="G168" s="111"/>
      <c r="H168" s="112">
        <f>ROUNDDOWN(IF(E168*H167&gt;I167,I167,E168*H167),-1)</f>
        <v>0</v>
      </c>
      <c r="I168" s="113"/>
      <c r="J168" s="112">
        <f>ROUNDDOWN(IF(E168*J167&gt;K167,K167,E168*J167),-1)</f>
        <v>130000</v>
      </c>
      <c r="K168" s="113"/>
      <c r="L168" s="110">
        <f>ROUNDDOWN(IF(N168*L167&gt;M167,M167,N168*L167),-1)</f>
        <v>93250</v>
      </c>
      <c r="M168" s="111"/>
      <c r="N168" s="23">
        <f>E168-F168-H168-J168</f>
        <v>1332250</v>
      </c>
      <c r="O168" s="22">
        <f>E168-F168-H168-J168-L168</f>
        <v>1239000</v>
      </c>
      <c r="P168" s="110">
        <f>ROUNDDOWN(IF(N168*P167&gt;Q167,Q167,N168*P167),-1)</f>
        <v>26640</v>
      </c>
      <c r="Q168" s="111"/>
      <c r="R168" s="110">
        <f>ROUNDDOWN(IF(N168*R167&gt;S167,S167,N168*R167),-1)</f>
        <v>10000</v>
      </c>
      <c r="S168" s="111"/>
      <c r="T168" s="110">
        <f>ROUNDDOWN(IF(N168*T167&gt;U167,U167,N168*T167),-1)</f>
        <v>26640</v>
      </c>
      <c r="U168" s="111"/>
      <c r="V168" s="158">
        <f>O168-P168-R168-T168</f>
        <v>1175720</v>
      </c>
      <c r="W168" s="21"/>
      <c r="X168" s="20">
        <f>E168*X167</f>
        <v>112480.20000000001</v>
      </c>
      <c r="Y168" s="20">
        <f>E168*Y167</f>
        <v>0</v>
      </c>
      <c r="Z168" s="20">
        <f>(E168-H168)*Z167</f>
        <v>48205.799999999996</v>
      </c>
      <c r="AA168" s="19">
        <f>(E168*E167)*AA167</f>
        <v>0</v>
      </c>
      <c r="AB168" s="19">
        <f>F168*AB167</f>
        <v>0</v>
      </c>
      <c r="AC168" s="19">
        <f>H168*AC167</f>
        <v>0</v>
      </c>
      <c r="AD168" s="19">
        <f>J168*AD167</f>
        <v>119999.88</v>
      </c>
      <c r="AE168" s="19">
        <f>L168*AE167</f>
        <v>46625</v>
      </c>
      <c r="AF168" s="19">
        <v>0</v>
      </c>
      <c r="AG168" s="16">
        <v>6000</v>
      </c>
      <c r="AH168" s="18">
        <f>E168-X168-Y168-Z168-AA168-AE168-AB168-AC168-AD168-AF168</f>
        <v>1279549.1200000001</v>
      </c>
      <c r="AI168" s="18">
        <f>E168-X168-Y168-Z168-AA168-AB168-AC168-AD168-AE168-AF168-AG168</f>
        <v>1273549.1200000001</v>
      </c>
      <c r="AJ168" s="17">
        <f>AI168-AK168</f>
        <v>65549.120000000112</v>
      </c>
      <c r="AK168" s="16">
        <v>1208000</v>
      </c>
      <c r="AL168" s="15">
        <f>AJ168/AK168</f>
        <v>5.4262516556291482E-2</v>
      </c>
      <c r="AM168" s="14">
        <f>1-O168/(AK168-AQ168-AR168-AS168)</f>
        <v>-2.5662251655629076E-2</v>
      </c>
      <c r="AN168" s="114">
        <f>(1-O168/E168)-(1-(AH168)/E168)</f>
        <v>2.5235004916420944E-2</v>
      </c>
      <c r="AO168" s="115"/>
      <c r="AQ168" s="13"/>
      <c r="AR168" s="12"/>
      <c r="AS168" s="12"/>
      <c r="AT168" s="12"/>
      <c r="AU168" s="11">
        <f>AI168-(AK168-AQ168-AR168-AS168-AT168)</f>
        <v>65549.120000000112</v>
      </c>
      <c r="AV168" s="8">
        <f>AU168/AK168</f>
        <v>5.4262516556291482E-2</v>
      </c>
      <c r="AX168" s="10">
        <v>0</v>
      </c>
      <c r="AY168" s="10">
        <v>0</v>
      </c>
      <c r="AZ168" s="9">
        <f>AU168-AX168-AY168</f>
        <v>65549.120000000112</v>
      </c>
      <c r="BA168" s="8">
        <f>AZ168/AK168</f>
        <v>5.4262516556291482E-2</v>
      </c>
      <c r="BC168" s="7"/>
      <c r="BD168" s="50"/>
      <c r="BE168" s="52"/>
      <c r="BF168" s="7"/>
    </row>
    <row r="169" spans="1:58" ht="16.5" customHeight="1" x14ac:dyDescent="0.3">
      <c r="A169" s="21">
        <v>4578292820</v>
      </c>
      <c r="D169" s="5">
        <v>1299000</v>
      </c>
      <c r="E169" s="4">
        <f>ROUNDDOWN(D169/(1-E167),-1)</f>
        <v>1299000</v>
      </c>
      <c r="F169" s="138">
        <f>E168-F168</f>
        <v>1462250</v>
      </c>
      <c r="G169" s="138"/>
      <c r="H169" s="157">
        <f>E168-F168-H168</f>
        <v>1462250</v>
      </c>
      <c r="I169" s="157"/>
      <c r="K169" s="21" t="s">
        <v>89</v>
      </c>
      <c r="O169" s="4"/>
      <c r="P169" s="162">
        <f>SUM(P168:U168)</f>
        <v>63280</v>
      </c>
      <c r="Q169" s="163"/>
      <c r="R169" s="163"/>
      <c r="S169" s="163"/>
      <c r="T169" s="163"/>
      <c r="U169" s="164"/>
      <c r="V169" s="4"/>
      <c r="AB169" s="3">
        <f>F169*AB167</f>
        <v>0</v>
      </c>
      <c r="AC169" s="3"/>
      <c r="AD169" s="3"/>
      <c r="AK169" s="57"/>
    </row>
    <row r="170" spans="1:58" ht="16.5" customHeight="1" x14ac:dyDescent="0.3">
      <c r="D170" s="5"/>
      <c r="E170" s="4"/>
      <c r="F170" s="42"/>
      <c r="G170" s="42"/>
      <c r="I170" s="54"/>
      <c r="AB170" s="3"/>
      <c r="AC170" s="3"/>
      <c r="AD170" s="3"/>
      <c r="AK170" s="5"/>
    </row>
    <row r="171" spans="1:58" ht="16.5" customHeight="1" x14ac:dyDescent="0.3">
      <c r="D171" s="5"/>
      <c r="E171" s="4"/>
      <c r="F171" s="74"/>
      <c r="G171" s="74"/>
      <c r="I171" s="54"/>
      <c r="K171" s="21"/>
      <c r="O171" s="4"/>
      <c r="P171" s="4"/>
      <c r="Q171" s="4"/>
      <c r="R171" s="4"/>
      <c r="S171" s="4"/>
      <c r="T171" s="4"/>
      <c r="U171" s="4"/>
      <c r="V171" s="4"/>
      <c r="AB171" s="3"/>
      <c r="AC171" s="3"/>
      <c r="AD171" s="3"/>
      <c r="AK171" s="57"/>
    </row>
    <row r="172" spans="1:58" ht="27" customHeight="1" x14ac:dyDescent="0.3">
      <c r="A172" s="153" t="s">
        <v>34</v>
      </c>
      <c r="B172" s="127" t="s">
        <v>145</v>
      </c>
      <c r="C172" s="128"/>
      <c r="D172" s="128"/>
      <c r="E172" s="128"/>
      <c r="F172" s="128"/>
      <c r="G172" s="128"/>
      <c r="H172" s="128"/>
      <c r="I172" s="128"/>
      <c r="J172" s="128"/>
      <c r="K172" s="128"/>
      <c r="L172" s="128"/>
      <c r="M172" s="156"/>
      <c r="N172" s="127" t="s">
        <v>141</v>
      </c>
      <c r="O172" s="156"/>
      <c r="P172" s="165" t="s">
        <v>167</v>
      </c>
      <c r="Q172" s="166"/>
      <c r="R172" s="166"/>
      <c r="S172" s="166"/>
      <c r="T172" s="166"/>
      <c r="U172" s="166"/>
      <c r="V172" s="167"/>
      <c r="X172" s="130" t="s">
        <v>33</v>
      </c>
      <c r="Y172" s="131"/>
      <c r="Z172" s="131"/>
      <c r="AA172" s="131"/>
      <c r="AB172" s="131"/>
      <c r="AC172" s="131"/>
      <c r="AD172" s="131"/>
      <c r="AE172" s="131"/>
      <c r="AF172" s="131"/>
      <c r="AG172" s="131"/>
      <c r="AH172" s="131"/>
      <c r="AI172" s="131"/>
      <c r="AJ172" s="131"/>
      <c r="AK172" s="131"/>
      <c r="AL172" s="132"/>
      <c r="AM172" s="37"/>
      <c r="AQ172" s="130" t="s">
        <v>32</v>
      </c>
      <c r="AR172" s="131"/>
      <c r="AS172" s="131"/>
      <c r="AT172" s="131"/>
      <c r="AU172" s="131"/>
      <c r="AV172" s="132"/>
      <c r="AX172" s="130" t="s">
        <v>31</v>
      </c>
      <c r="AY172" s="131"/>
      <c r="AZ172" s="131"/>
      <c r="BA172" s="132"/>
      <c r="BC172" s="36" t="s">
        <v>36</v>
      </c>
      <c r="BD172" s="48"/>
      <c r="BE172" s="52"/>
      <c r="BF172" s="36"/>
    </row>
    <row r="173" spans="1:58" ht="32.25" customHeight="1" x14ac:dyDescent="0.3">
      <c r="A173" s="153"/>
      <c r="B173" s="133" t="s">
        <v>30</v>
      </c>
      <c r="C173" s="133" t="s">
        <v>29</v>
      </c>
      <c r="D173" s="116" t="s">
        <v>27</v>
      </c>
      <c r="E173" s="34" t="s">
        <v>26</v>
      </c>
      <c r="F173" s="122" t="s">
        <v>63</v>
      </c>
      <c r="G173" s="123"/>
      <c r="H173" s="122" t="s">
        <v>50</v>
      </c>
      <c r="I173" s="123"/>
      <c r="J173" s="122" t="s">
        <v>146</v>
      </c>
      <c r="K173" s="123"/>
      <c r="L173" s="122" t="s">
        <v>25</v>
      </c>
      <c r="M173" s="123"/>
      <c r="N173" s="106" t="s">
        <v>23</v>
      </c>
      <c r="O173" s="151" t="s">
        <v>137</v>
      </c>
      <c r="P173" s="122" t="s">
        <v>136</v>
      </c>
      <c r="Q173" s="123"/>
      <c r="R173" s="122" t="s">
        <v>143</v>
      </c>
      <c r="S173" s="123"/>
      <c r="T173" s="122" t="s">
        <v>144</v>
      </c>
      <c r="U173" s="123"/>
      <c r="V173" s="159" t="s">
        <v>142</v>
      </c>
      <c r="W173" s="21"/>
      <c r="X173" s="34" t="s">
        <v>21</v>
      </c>
      <c r="Y173" s="34" t="s">
        <v>20</v>
      </c>
      <c r="Z173" s="34" t="s">
        <v>95</v>
      </c>
      <c r="AA173" s="34" t="s">
        <v>19</v>
      </c>
      <c r="AB173" s="34" t="s">
        <v>18</v>
      </c>
      <c r="AC173" s="34" t="s">
        <v>48</v>
      </c>
      <c r="AD173" s="34" t="s">
        <v>49</v>
      </c>
      <c r="AE173" s="34" t="s">
        <v>17</v>
      </c>
      <c r="AF173" s="106" t="s">
        <v>16</v>
      </c>
      <c r="AG173" s="106" t="s">
        <v>15</v>
      </c>
      <c r="AH173" s="106" t="s">
        <v>14</v>
      </c>
      <c r="AI173" s="106" t="s">
        <v>13</v>
      </c>
      <c r="AJ173" s="106" t="s">
        <v>12</v>
      </c>
      <c r="AK173" s="116" t="s">
        <v>11</v>
      </c>
      <c r="AL173" s="118" t="s">
        <v>10</v>
      </c>
      <c r="AM173" s="120" t="s">
        <v>9</v>
      </c>
      <c r="AN173" s="35">
        <f>(1-O175/E175)</f>
        <v>0.21150278293135438</v>
      </c>
      <c r="AO173" s="35">
        <f>1-(AH175+AQ175)/E175</f>
        <v>0.18705261748560709</v>
      </c>
      <c r="AQ173" s="106" t="s">
        <v>8</v>
      </c>
      <c r="AR173" s="106" t="s">
        <v>7</v>
      </c>
      <c r="AS173" s="106" t="s">
        <v>37</v>
      </c>
      <c r="AT173" s="106" t="s">
        <v>38</v>
      </c>
      <c r="AU173" s="106" t="s">
        <v>6</v>
      </c>
      <c r="AV173" s="106" t="s">
        <v>5</v>
      </c>
      <c r="AX173" s="106" t="s">
        <v>4</v>
      </c>
      <c r="AY173" s="106" t="s">
        <v>3</v>
      </c>
      <c r="AZ173" s="106" t="s">
        <v>2</v>
      </c>
      <c r="BA173" s="106" t="s">
        <v>1</v>
      </c>
      <c r="BC173" s="106"/>
      <c r="BD173" s="108"/>
      <c r="BE173" s="52"/>
      <c r="BF173" s="106"/>
    </row>
    <row r="174" spans="1:58" ht="27" customHeight="1" x14ac:dyDescent="0.3">
      <c r="A174" s="154" t="s">
        <v>164</v>
      </c>
      <c r="B174" s="134"/>
      <c r="C174" s="134"/>
      <c r="D174" s="117"/>
      <c r="E174" s="31">
        <v>0</v>
      </c>
      <c r="F174" s="33">
        <v>0.09</v>
      </c>
      <c r="G174" s="32">
        <v>1000000</v>
      </c>
      <c r="H174" s="31">
        <v>1</v>
      </c>
      <c r="I174" s="32">
        <v>0</v>
      </c>
      <c r="J174" s="31">
        <v>1</v>
      </c>
      <c r="K174" s="32">
        <v>130000</v>
      </c>
      <c r="L174" s="31">
        <v>7.0000000000000007E-2</v>
      </c>
      <c r="M174" s="32">
        <v>150000</v>
      </c>
      <c r="N174" s="107"/>
      <c r="O174" s="152"/>
      <c r="P174" s="31">
        <v>0.02</v>
      </c>
      <c r="Q174" s="32">
        <v>1000000</v>
      </c>
      <c r="R174" s="31">
        <v>0.05</v>
      </c>
      <c r="S174" s="32">
        <v>10000</v>
      </c>
      <c r="T174" s="31">
        <v>0.02</v>
      </c>
      <c r="U174" s="32">
        <v>60000</v>
      </c>
      <c r="V174" s="159"/>
      <c r="W174" s="21"/>
      <c r="X174" s="31">
        <f>IF(C175="노트북",7%,IF(C175="저장&amp;주변기기",9%,IF(C175="모니터",7%)))</f>
        <v>7.0000000000000007E-2</v>
      </c>
      <c r="Y174" s="31">
        <v>0</v>
      </c>
      <c r="Z174" s="31">
        <v>0.03</v>
      </c>
      <c r="AA174" s="31">
        <f>IF(F174=0%,20%,0%)</f>
        <v>0</v>
      </c>
      <c r="AB174" s="30">
        <v>0</v>
      </c>
      <c r="AC174" s="30">
        <v>1</v>
      </c>
      <c r="AD174" s="53">
        <v>0.92307600000000001</v>
      </c>
      <c r="AE174" s="29">
        <v>0.5</v>
      </c>
      <c r="AF174" s="107"/>
      <c r="AG174" s="107"/>
      <c r="AH174" s="107"/>
      <c r="AI174" s="107"/>
      <c r="AJ174" s="107"/>
      <c r="AK174" s="117"/>
      <c r="AL174" s="119"/>
      <c r="AM174" s="121"/>
      <c r="AN174" s="55" t="s">
        <v>52</v>
      </c>
      <c r="AO174" s="56">
        <f>AN173-AO173</f>
        <v>2.4450165445747296E-2</v>
      </c>
      <c r="AQ174" s="107"/>
      <c r="AR174" s="107"/>
      <c r="AS174" s="107"/>
      <c r="AT174" s="107"/>
      <c r="AU174" s="107"/>
      <c r="AV174" s="107"/>
      <c r="AW174" s="39"/>
      <c r="AX174" s="107"/>
      <c r="AY174" s="107"/>
      <c r="AZ174" s="107"/>
      <c r="BA174" s="107"/>
      <c r="BC174" s="107"/>
      <c r="BD174" s="109"/>
      <c r="BE174" s="52"/>
      <c r="BF174" s="107"/>
    </row>
    <row r="175" spans="1:58" ht="27" customHeight="1" x14ac:dyDescent="0.3">
      <c r="A175" s="51">
        <v>4692284484</v>
      </c>
      <c r="B175" s="38" t="s">
        <v>35</v>
      </c>
      <c r="C175" s="27" t="s">
        <v>0</v>
      </c>
      <c r="D175" s="25">
        <v>2091320</v>
      </c>
      <c r="E175" s="24">
        <f>ROUNDDOWN(D175/(1-E174),-1)</f>
        <v>2091320</v>
      </c>
      <c r="F175" s="110">
        <f>ROUNDDOWN(IF(E175*F174&gt;G174,G174,E175*F174),-1)</f>
        <v>188210</v>
      </c>
      <c r="G175" s="111"/>
      <c r="H175" s="112">
        <f>ROUNDDOWN(IF(E175*H174&gt;I174,I174,E175*H174),-1)</f>
        <v>0</v>
      </c>
      <c r="I175" s="113"/>
      <c r="J175" s="112">
        <f>ROUNDDOWN(IF(E175*J174&gt;K174,K174,E175*J174),-1)</f>
        <v>130000</v>
      </c>
      <c r="K175" s="113"/>
      <c r="L175" s="110">
        <f>ROUNDDOWN(IF(N175*L174&gt;M174,M174,N175*L174),-1)</f>
        <v>124110</v>
      </c>
      <c r="M175" s="111"/>
      <c r="N175" s="23">
        <f>E175-F175-H175-J175</f>
        <v>1773110</v>
      </c>
      <c r="O175" s="22">
        <f>E175-F175-H175-J175-L175</f>
        <v>1649000</v>
      </c>
      <c r="P175" s="110">
        <f>ROUNDDOWN(IF(N175*P174&gt;Q174,Q174,N175*P174),-1)</f>
        <v>35460</v>
      </c>
      <c r="Q175" s="111"/>
      <c r="R175" s="110">
        <f>ROUNDDOWN(IF(N175*R174&gt;S174,S174,N175*R174),-1)</f>
        <v>10000</v>
      </c>
      <c r="S175" s="111"/>
      <c r="T175" s="110">
        <f>ROUNDDOWN(IF(N175*T174&gt;U174,U174,N175*T174),-1)</f>
        <v>35460</v>
      </c>
      <c r="U175" s="111"/>
      <c r="V175" s="158">
        <f>O175-P175-R175-T175</f>
        <v>1568080</v>
      </c>
      <c r="W175" s="21"/>
      <c r="X175" s="20">
        <f>E175*X174</f>
        <v>146392.40000000002</v>
      </c>
      <c r="Y175" s="20">
        <f>E175*Y174</f>
        <v>0</v>
      </c>
      <c r="Z175" s="20">
        <f>(E175-H175)*Z174</f>
        <v>62739.6</v>
      </c>
      <c r="AA175" s="19">
        <f>(E175*E174)*AA174</f>
        <v>0</v>
      </c>
      <c r="AB175" s="19">
        <f>F175*AB174</f>
        <v>0</v>
      </c>
      <c r="AC175" s="19">
        <f>H175*AC174</f>
        <v>0</v>
      </c>
      <c r="AD175" s="19">
        <f>J175*AD174</f>
        <v>119999.88</v>
      </c>
      <c r="AE175" s="19">
        <f>L175*AE174</f>
        <v>62055</v>
      </c>
      <c r="AF175" s="19">
        <v>0</v>
      </c>
      <c r="AG175" s="16">
        <v>6000</v>
      </c>
      <c r="AH175" s="18">
        <f>E175-X175-Y175-Z175-AA175-AE175-AB175-AC175-AD175-AF175</f>
        <v>1700133.12</v>
      </c>
      <c r="AI175" s="18">
        <f>E175-X175-Y175-Z175-AA175-AB175-AC175-AD175-AE175-AF175-AG175</f>
        <v>1694133.12</v>
      </c>
      <c r="AJ175" s="17">
        <f>AI175-AK175</f>
        <v>68133.120000000112</v>
      </c>
      <c r="AK175" s="16">
        <v>1626000</v>
      </c>
      <c r="AL175" s="15">
        <f>AJ175/AK175</f>
        <v>4.1902287822878297E-2</v>
      </c>
      <c r="AM175" s="14">
        <f>1-O175/(AK175-AQ175-AR175-AS175)</f>
        <v>-1.4145141451414434E-2</v>
      </c>
      <c r="AN175" s="114">
        <f>(1-O175/E175)-(1-(AH175)/E175)</f>
        <v>2.4450165445747296E-2</v>
      </c>
      <c r="AO175" s="115"/>
      <c r="AQ175" s="13"/>
      <c r="AR175" s="12"/>
      <c r="AS175" s="12"/>
      <c r="AT175" s="12"/>
      <c r="AU175" s="11">
        <f>AI175-(AK175-AQ175-AR175-AS175-AT175)</f>
        <v>68133.120000000112</v>
      </c>
      <c r="AV175" s="8">
        <f>AU175/AK175</f>
        <v>4.1902287822878297E-2</v>
      </c>
      <c r="AX175" s="10">
        <v>0</v>
      </c>
      <c r="AY175" s="10">
        <v>0</v>
      </c>
      <c r="AZ175" s="9">
        <f>AU175-AX175-AY175</f>
        <v>68133.120000000112</v>
      </c>
      <c r="BA175" s="8">
        <f>AZ175/AK175</f>
        <v>4.1902287822878297E-2</v>
      </c>
      <c r="BC175" s="7"/>
      <c r="BD175" s="50"/>
      <c r="BE175" s="52"/>
      <c r="BF175" s="7"/>
    </row>
    <row r="176" spans="1:58" ht="16.5" customHeight="1" x14ac:dyDescent="0.3">
      <c r="D176" s="5">
        <v>1749000</v>
      </c>
      <c r="E176" s="4">
        <f>ROUNDDOWN(D176/(1-E174),-1)</f>
        <v>1749000</v>
      </c>
      <c r="F176" s="138">
        <f>E175-F175</f>
        <v>1903110</v>
      </c>
      <c r="G176" s="138"/>
      <c r="H176" s="157">
        <f>E175-F175-H175</f>
        <v>1903110</v>
      </c>
      <c r="I176" s="157"/>
      <c r="K176" s="21"/>
      <c r="O176" s="4"/>
      <c r="P176" s="162">
        <f>SUM(P175:U175)</f>
        <v>80920</v>
      </c>
      <c r="Q176" s="163"/>
      <c r="R176" s="163"/>
      <c r="S176" s="163"/>
      <c r="T176" s="163"/>
      <c r="U176" s="164"/>
      <c r="V176" s="4"/>
      <c r="AB176" s="3">
        <f>F176*AB174</f>
        <v>0</v>
      </c>
      <c r="AC176" s="3"/>
      <c r="AD176" s="3"/>
      <c r="AK176" s="57"/>
    </row>
    <row r="177" spans="1:58" ht="27" customHeight="1" x14ac:dyDescent="0.3">
      <c r="A177" s="153" t="s">
        <v>34</v>
      </c>
      <c r="B177" s="127" t="s">
        <v>145</v>
      </c>
      <c r="C177" s="128"/>
      <c r="D177" s="128"/>
      <c r="E177" s="128"/>
      <c r="F177" s="128"/>
      <c r="G177" s="128"/>
      <c r="H177" s="128"/>
      <c r="I177" s="128"/>
      <c r="J177" s="128"/>
      <c r="K177" s="128"/>
      <c r="L177" s="128"/>
      <c r="M177" s="156"/>
      <c r="N177" s="127" t="s">
        <v>141</v>
      </c>
      <c r="O177" s="156"/>
      <c r="P177" s="165" t="s">
        <v>167</v>
      </c>
      <c r="Q177" s="166"/>
      <c r="R177" s="166"/>
      <c r="S177" s="166"/>
      <c r="T177" s="166"/>
      <c r="U177" s="166"/>
      <c r="V177" s="167"/>
      <c r="X177" s="130" t="s">
        <v>33</v>
      </c>
      <c r="Y177" s="131"/>
      <c r="Z177" s="131"/>
      <c r="AA177" s="131"/>
      <c r="AB177" s="131"/>
      <c r="AC177" s="131"/>
      <c r="AD177" s="131"/>
      <c r="AE177" s="131"/>
      <c r="AF177" s="131"/>
      <c r="AG177" s="131"/>
      <c r="AH177" s="131"/>
      <c r="AI177" s="131"/>
      <c r="AJ177" s="131"/>
      <c r="AK177" s="131"/>
      <c r="AL177" s="132"/>
      <c r="AM177" s="37"/>
      <c r="AQ177" s="130" t="s">
        <v>32</v>
      </c>
      <c r="AR177" s="131"/>
      <c r="AS177" s="131"/>
      <c r="AT177" s="131"/>
      <c r="AU177" s="131"/>
      <c r="AV177" s="132"/>
      <c r="AX177" s="130" t="s">
        <v>31</v>
      </c>
      <c r="AY177" s="131"/>
      <c r="AZ177" s="131"/>
      <c r="BA177" s="132"/>
      <c r="BC177" s="36" t="s">
        <v>36</v>
      </c>
      <c r="BD177" s="48"/>
      <c r="BE177" s="52"/>
      <c r="BF177" s="36"/>
    </row>
    <row r="178" spans="1:58" ht="32.25" customHeight="1" x14ac:dyDescent="0.3">
      <c r="A178" s="153"/>
      <c r="B178" s="133" t="s">
        <v>30</v>
      </c>
      <c r="C178" s="133" t="s">
        <v>29</v>
      </c>
      <c r="D178" s="116" t="s">
        <v>27</v>
      </c>
      <c r="E178" s="34" t="s">
        <v>26</v>
      </c>
      <c r="F178" s="122" t="s">
        <v>63</v>
      </c>
      <c r="G178" s="123"/>
      <c r="H178" s="122" t="s">
        <v>50</v>
      </c>
      <c r="I178" s="123"/>
      <c r="J178" s="122" t="s">
        <v>146</v>
      </c>
      <c r="K178" s="123"/>
      <c r="L178" s="122" t="s">
        <v>25</v>
      </c>
      <c r="M178" s="123"/>
      <c r="N178" s="106" t="s">
        <v>23</v>
      </c>
      <c r="O178" s="151" t="s">
        <v>137</v>
      </c>
      <c r="P178" s="122" t="s">
        <v>136</v>
      </c>
      <c r="Q178" s="123"/>
      <c r="R178" s="122" t="s">
        <v>143</v>
      </c>
      <c r="S178" s="123"/>
      <c r="T178" s="122" t="s">
        <v>144</v>
      </c>
      <c r="U178" s="123"/>
      <c r="V178" s="159" t="s">
        <v>142</v>
      </c>
      <c r="W178" s="21"/>
      <c r="X178" s="34" t="s">
        <v>21</v>
      </c>
      <c r="Y178" s="34" t="s">
        <v>20</v>
      </c>
      <c r="Z178" s="34" t="s">
        <v>95</v>
      </c>
      <c r="AA178" s="34" t="s">
        <v>19</v>
      </c>
      <c r="AB178" s="34" t="s">
        <v>18</v>
      </c>
      <c r="AC178" s="34" t="s">
        <v>48</v>
      </c>
      <c r="AD178" s="34" t="s">
        <v>49</v>
      </c>
      <c r="AE178" s="34" t="s">
        <v>17</v>
      </c>
      <c r="AF178" s="106" t="s">
        <v>16</v>
      </c>
      <c r="AG178" s="106" t="s">
        <v>15</v>
      </c>
      <c r="AH178" s="106" t="s">
        <v>14</v>
      </c>
      <c r="AI178" s="106" t="s">
        <v>13</v>
      </c>
      <c r="AJ178" s="106" t="s">
        <v>12</v>
      </c>
      <c r="AK178" s="116" t="s">
        <v>11</v>
      </c>
      <c r="AL178" s="118" t="s">
        <v>10</v>
      </c>
      <c r="AM178" s="120" t="s">
        <v>9</v>
      </c>
      <c r="AN178" s="35">
        <f>(1-O180/E180)</f>
        <v>0.21318735391807109</v>
      </c>
      <c r="AO178" s="35">
        <f>1-(AH180+AQ180)/E180</f>
        <v>0.18865783245171608</v>
      </c>
      <c r="AQ178" s="106" t="s">
        <v>8</v>
      </c>
      <c r="AR178" s="106" t="s">
        <v>7</v>
      </c>
      <c r="AS178" s="106" t="s">
        <v>37</v>
      </c>
      <c r="AT178" s="106" t="s">
        <v>38</v>
      </c>
      <c r="AU178" s="106" t="s">
        <v>6</v>
      </c>
      <c r="AV178" s="106" t="s">
        <v>5</v>
      </c>
      <c r="AX178" s="106" t="s">
        <v>4</v>
      </c>
      <c r="AY178" s="106" t="s">
        <v>3</v>
      </c>
      <c r="AZ178" s="106" t="s">
        <v>2</v>
      </c>
      <c r="BA178" s="106" t="s">
        <v>1</v>
      </c>
      <c r="BC178" s="106"/>
      <c r="BD178" s="108"/>
      <c r="BE178" s="52"/>
      <c r="BF178" s="106"/>
    </row>
    <row r="179" spans="1:58" ht="27" customHeight="1" x14ac:dyDescent="0.3">
      <c r="A179" s="154" t="s">
        <v>164</v>
      </c>
      <c r="B179" s="134"/>
      <c r="C179" s="134"/>
      <c r="D179" s="117"/>
      <c r="E179" s="31">
        <v>0</v>
      </c>
      <c r="F179" s="33">
        <v>0.09</v>
      </c>
      <c r="G179" s="32">
        <v>1000000</v>
      </c>
      <c r="H179" s="31">
        <v>1</v>
      </c>
      <c r="I179" s="32">
        <v>0</v>
      </c>
      <c r="J179" s="31">
        <v>1</v>
      </c>
      <c r="K179" s="32">
        <v>130000</v>
      </c>
      <c r="L179" s="31">
        <v>7.0000000000000007E-2</v>
      </c>
      <c r="M179" s="32">
        <v>150000</v>
      </c>
      <c r="N179" s="107"/>
      <c r="O179" s="152"/>
      <c r="P179" s="31">
        <v>0.02</v>
      </c>
      <c r="Q179" s="32">
        <v>1000000</v>
      </c>
      <c r="R179" s="31">
        <v>0.05</v>
      </c>
      <c r="S179" s="32">
        <v>10000</v>
      </c>
      <c r="T179" s="31">
        <v>0.02</v>
      </c>
      <c r="U179" s="32">
        <v>60000</v>
      </c>
      <c r="V179" s="159"/>
      <c r="W179" s="21"/>
      <c r="X179" s="31">
        <f>IF(C180="노트북",7%,IF(C180="저장&amp;주변기기",9%,IF(C180="모니터",7%)))</f>
        <v>7.0000000000000007E-2</v>
      </c>
      <c r="Y179" s="31">
        <v>0</v>
      </c>
      <c r="Z179" s="31">
        <v>0.03</v>
      </c>
      <c r="AA179" s="31">
        <f>IF(F179=0%,20%,0%)</f>
        <v>0</v>
      </c>
      <c r="AB179" s="30">
        <v>0</v>
      </c>
      <c r="AC179" s="30">
        <v>1</v>
      </c>
      <c r="AD179" s="53">
        <v>0.92307600000000001</v>
      </c>
      <c r="AE179" s="29">
        <v>0.5</v>
      </c>
      <c r="AF179" s="107"/>
      <c r="AG179" s="107"/>
      <c r="AH179" s="107"/>
      <c r="AI179" s="107"/>
      <c r="AJ179" s="107"/>
      <c r="AK179" s="117"/>
      <c r="AL179" s="119"/>
      <c r="AM179" s="121"/>
      <c r="AN179" s="55" t="s">
        <v>52</v>
      </c>
      <c r="AO179" s="56">
        <f>AN178-AO178</f>
        <v>2.4529521466355009E-2</v>
      </c>
      <c r="AQ179" s="107"/>
      <c r="AR179" s="107"/>
      <c r="AS179" s="107"/>
      <c r="AT179" s="107"/>
      <c r="AU179" s="107"/>
      <c r="AV179" s="107"/>
      <c r="AW179" s="39"/>
      <c r="AX179" s="107"/>
      <c r="AY179" s="107"/>
      <c r="AZ179" s="107"/>
      <c r="BA179" s="107"/>
      <c r="BC179" s="107"/>
      <c r="BD179" s="109"/>
      <c r="BE179" s="52"/>
      <c r="BF179" s="107"/>
    </row>
    <row r="180" spans="1:58" ht="27" customHeight="1" x14ac:dyDescent="0.3">
      <c r="A180" s="51">
        <v>4692284484</v>
      </c>
      <c r="B180" s="38" t="s">
        <v>35</v>
      </c>
      <c r="C180" s="27" t="s">
        <v>0</v>
      </c>
      <c r="D180" s="25">
        <v>2032250</v>
      </c>
      <c r="E180" s="24">
        <f>ROUNDDOWN(D180/(1-E179),-1)</f>
        <v>2032250</v>
      </c>
      <c r="F180" s="110">
        <f>ROUNDDOWN(IF(E180*F179&gt;G179,G179,E180*F179),-1)</f>
        <v>182900</v>
      </c>
      <c r="G180" s="111"/>
      <c r="H180" s="112">
        <f>ROUNDDOWN(IF(E180*H179&gt;I179,I179,E180*H179),-1)</f>
        <v>0</v>
      </c>
      <c r="I180" s="113"/>
      <c r="J180" s="112">
        <f>ROUNDDOWN(IF(E180*J179&gt;K179,K179,E180*J179),-1)</f>
        <v>130000</v>
      </c>
      <c r="K180" s="113"/>
      <c r="L180" s="110">
        <f>ROUNDDOWN(IF(N180*L179&gt;M179,M179,N180*L179),-1)</f>
        <v>120350</v>
      </c>
      <c r="M180" s="111"/>
      <c r="N180" s="23">
        <f>E180-F180-H180-J180</f>
        <v>1719350</v>
      </c>
      <c r="O180" s="22">
        <f>E180-F180-H180-J180-L180</f>
        <v>1599000</v>
      </c>
      <c r="P180" s="110">
        <f>ROUNDDOWN(IF(N180*P179&gt;Q179,Q179,N180*P179),-1)</f>
        <v>34380</v>
      </c>
      <c r="Q180" s="111"/>
      <c r="R180" s="110">
        <f>ROUNDDOWN(IF(N180*R179&gt;S179,S179,N180*R179),-1)</f>
        <v>10000</v>
      </c>
      <c r="S180" s="111"/>
      <c r="T180" s="110">
        <f>ROUNDDOWN(IF(N180*T179&gt;U179,U179,N180*T179),-1)</f>
        <v>34380</v>
      </c>
      <c r="U180" s="111"/>
      <c r="V180" s="158">
        <f>O180-P180-R180-T180</f>
        <v>1520240</v>
      </c>
      <c r="W180" s="21"/>
      <c r="X180" s="20">
        <f>E180*X179</f>
        <v>142257.5</v>
      </c>
      <c r="Y180" s="20">
        <f>E180*Y179</f>
        <v>0</v>
      </c>
      <c r="Z180" s="20">
        <f>(E180-H180)*Z179</f>
        <v>60967.5</v>
      </c>
      <c r="AA180" s="19">
        <f>(E180*E179)*AA179</f>
        <v>0</v>
      </c>
      <c r="AB180" s="19">
        <f>F180*AB179</f>
        <v>0</v>
      </c>
      <c r="AC180" s="19">
        <f>H180*AC179</f>
        <v>0</v>
      </c>
      <c r="AD180" s="19">
        <f>J180*AD179</f>
        <v>119999.88</v>
      </c>
      <c r="AE180" s="19">
        <f>L180*AE179</f>
        <v>60175</v>
      </c>
      <c r="AF180" s="19">
        <v>0</v>
      </c>
      <c r="AG180" s="16">
        <v>6000</v>
      </c>
      <c r="AH180" s="18">
        <f>E180-X180-Y180-Z180-AA180-AE180-AB180-AC180-AD180-AF180</f>
        <v>1648850.12</v>
      </c>
      <c r="AI180" s="18">
        <f>E180-X180-Y180-Z180-AA180-AB180-AC180-AD180-AE180-AF180-AG180</f>
        <v>1642850.12</v>
      </c>
      <c r="AJ180" s="17">
        <f>AI180-AK180</f>
        <v>16850.120000000112</v>
      </c>
      <c r="AK180" s="16">
        <v>1626000</v>
      </c>
      <c r="AL180" s="15">
        <f>AJ180/AK180</f>
        <v>1.0362927429274362E-2</v>
      </c>
      <c r="AM180" s="14">
        <f>1-O180/(AK180-AQ180-AR180-AS180)</f>
        <v>1.6605166051660514E-2</v>
      </c>
      <c r="AN180" s="114">
        <f>(1-O180/E180)-(1-(AH180)/E180)</f>
        <v>2.4529521466355009E-2</v>
      </c>
      <c r="AO180" s="115"/>
      <c r="AQ180" s="13"/>
      <c r="AR180" s="12"/>
      <c r="AS180" s="12"/>
      <c r="AT180" s="12"/>
      <c r="AU180" s="11">
        <f>AI180-(AK180-AQ180-AR180-AS180-AT180)</f>
        <v>16850.120000000112</v>
      </c>
      <c r="AV180" s="8">
        <f>AU180/AK180</f>
        <v>1.0362927429274362E-2</v>
      </c>
      <c r="AX180" s="10">
        <v>0</v>
      </c>
      <c r="AY180" s="10">
        <v>0</v>
      </c>
      <c r="AZ180" s="9">
        <f>AU180-AX180-AY180</f>
        <v>16850.120000000112</v>
      </c>
      <c r="BA180" s="8">
        <f>AZ180/AK180</f>
        <v>1.0362927429274362E-2</v>
      </c>
      <c r="BC180" s="7"/>
      <c r="BD180" s="50"/>
      <c r="BE180" s="52"/>
      <c r="BF180" s="7"/>
    </row>
    <row r="181" spans="1:58" ht="16.5" customHeight="1" x14ac:dyDescent="0.3">
      <c r="D181" s="5">
        <v>1749000</v>
      </c>
      <c r="E181" s="4">
        <f>ROUNDDOWN(D181/(1-E179),-1)</f>
        <v>1749000</v>
      </c>
      <c r="F181" s="138">
        <f>E180-F180</f>
        <v>1849350</v>
      </c>
      <c r="G181" s="138"/>
      <c r="H181" s="157">
        <f>E180-F180-H180</f>
        <v>1849350</v>
      </c>
      <c r="I181" s="157"/>
      <c r="K181" s="21"/>
      <c r="O181" s="4"/>
      <c r="P181" s="162">
        <f>SUM(P180:U180)</f>
        <v>78760</v>
      </c>
      <c r="Q181" s="163"/>
      <c r="R181" s="163"/>
      <c r="S181" s="163"/>
      <c r="T181" s="163"/>
      <c r="U181" s="164"/>
      <c r="V181" s="4"/>
      <c r="AB181" s="3">
        <f>F181*AB179</f>
        <v>0</v>
      </c>
      <c r="AC181" s="3"/>
      <c r="AD181" s="3"/>
      <c r="AK181" s="57"/>
    </row>
    <row r="182" spans="1:58" ht="16.5" customHeight="1" x14ac:dyDescent="0.3">
      <c r="D182" s="5"/>
      <c r="E182" s="4"/>
      <c r="F182" s="42"/>
      <c r="G182" s="42"/>
      <c r="I182" s="54"/>
      <c r="K182" s="21"/>
      <c r="O182" s="4"/>
      <c r="P182" s="4"/>
      <c r="Q182" s="4"/>
      <c r="R182" s="4"/>
      <c r="S182" s="4"/>
      <c r="T182" s="4"/>
      <c r="U182" s="4"/>
      <c r="V182" s="4"/>
      <c r="AB182" s="3"/>
      <c r="AC182" s="3"/>
      <c r="AD182" s="3"/>
      <c r="AK182" s="57"/>
    </row>
    <row r="184" spans="1:58" ht="27" customHeight="1" x14ac:dyDescent="0.3">
      <c r="A184" s="153" t="s">
        <v>34</v>
      </c>
      <c r="B184" s="127" t="s">
        <v>130</v>
      </c>
      <c r="C184" s="128"/>
      <c r="D184" s="128"/>
      <c r="E184" s="128"/>
      <c r="F184" s="128"/>
      <c r="G184" s="128"/>
      <c r="H184" s="128"/>
      <c r="I184" s="128"/>
      <c r="J184" s="128"/>
      <c r="K184" s="128"/>
      <c r="L184" s="128"/>
      <c r="M184" s="156"/>
      <c r="N184" s="127" t="s">
        <v>141</v>
      </c>
      <c r="O184" s="156"/>
      <c r="P184" s="165" t="s">
        <v>167</v>
      </c>
      <c r="Q184" s="166"/>
      <c r="R184" s="166"/>
      <c r="S184" s="166"/>
      <c r="T184" s="166"/>
      <c r="U184" s="166"/>
      <c r="V184" s="167"/>
      <c r="X184" s="130" t="s">
        <v>33</v>
      </c>
      <c r="Y184" s="131"/>
      <c r="Z184" s="131"/>
      <c r="AA184" s="131"/>
      <c r="AB184" s="131"/>
      <c r="AC184" s="131"/>
      <c r="AD184" s="131"/>
      <c r="AE184" s="131"/>
      <c r="AF184" s="131"/>
      <c r="AG184" s="131"/>
      <c r="AH184" s="131"/>
      <c r="AI184" s="131"/>
      <c r="AJ184" s="131"/>
      <c r="AK184" s="131"/>
      <c r="AL184" s="132"/>
      <c r="AM184" s="37"/>
      <c r="AQ184" s="130" t="s">
        <v>32</v>
      </c>
      <c r="AR184" s="131"/>
      <c r="AS184" s="131"/>
      <c r="AT184" s="131"/>
      <c r="AU184" s="131"/>
      <c r="AV184" s="132"/>
      <c r="AX184" s="130" t="s">
        <v>31</v>
      </c>
      <c r="AY184" s="131"/>
      <c r="AZ184" s="131"/>
      <c r="BA184" s="132"/>
      <c r="BC184" s="36" t="s">
        <v>36</v>
      </c>
      <c r="BD184" s="48"/>
      <c r="BE184" s="52"/>
      <c r="BF184" s="36"/>
    </row>
    <row r="185" spans="1:58" ht="32.25" customHeight="1" x14ac:dyDescent="0.3">
      <c r="A185" s="153"/>
      <c r="B185" s="133" t="s">
        <v>30</v>
      </c>
      <c r="C185" s="133" t="s">
        <v>29</v>
      </c>
      <c r="D185" s="116" t="s">
        <v>27</v>
      </c>
      <c r="E185" s="34" t="s">
        <v>26</v>
      </c>
      <c r="F185" s="122" t="s">
        <v>63</v>
      </c>
      <c r="G185" s="123"/>
      <c r="H185" s="122" t="s">
        <v>50</v>
      </c>
      <c r="I185" s="123"/>
      <c r="J185" s="122" t="s">
        <v>146</v>
      </c>
      <c r="K185" s="123"/>
      <c r="L185" s="122" t="s">
        <v>25</v>
      </c>
      <c r="M185" s="123"/>
      <c r="N185" s="106" t="s">
        <v>23</v>
      </c>
      <c r="O185" s="151" t="s">
        <v>137</v>
      </c>
      <c r="P185" s="122" t="s">
        <v>136</v>
      </c>
      <c r="Q185" s="123"/>
      <c r="R185" s="122" t="s">
        <v>143</v>
      </c>
      <c r="S185" s="123"/>
      <c r="T185" s="122" t="s">
        <v>144</v>
      </c>
      <c r="U185" s="123"/>
      <c r="V185" s="159" t="s">
        <v>142</v>
      </c>
      <c r="W185" s="21"/>
      <c r="X185" s="34" t="s">
        <v>21</v>
      </c>
      <c r="Y185" s="34" t="s">
        <v>20</v>
      </c>
      <c r="Z185" s="34" t="s">
        <v>95</v>
      </c>
      <c r="AA185" s="34" t="s">
        <v>19</v>
      </c>
      <c r="AB185" s="34" t="s">
        <v>18</v>
      </c>
      <c r="AC185" s="34" t="s">
        <v>48</v>
      </c>
      <c r="AD185" s="34" t="s">
        <v>49</v>
      </c>
      <c r="AE185" s="34" t="s">
        <v>17</v>
      </c>
      <c r="AF185" s="106" t="s">
        <v>16</v>
      </c>
      <c r="AG185" s="106" t="s">
        <v>15</v>
      </c>
      <c r="AH185" s="106" t="s">
        <v>14</v>
      </c>
      <c r="AI185" s="106" t="s">
        <v>13</v>
      </c>
      <c r="AJ185" s="106" t="s">
        <v>12</v>
      </c>
      <c r="AK185" s="116" t="s">
        <v>11</v>
      </c>
      <c r="AL185" s="118" t="s">
        <v>10</v>
      </c>
      <c r="AM185" s="120" t="s">
        <v>9</v>
      </c>
      <c r="AN185" s="35">
        <f>(1-O187/E187)</f>
        <v>0.23119281599457808</v>
      </c>
      <c r="AO185" s="35">
        <f>1-(AH187+AQ187)/E187</f>
        <v>0.20942609849768434</v>
      </c>
      <c r="AQ185" s="106" t="s">
        <v>8</v>
      </c>
      <c r="AR185" s="106" t="s">
        <v>7</v>
      </c>
      <c r="AS185" s="106" t="s">
        <v>37</v>
      </c>
      <c r="AT185" s="106" t="s">
        <v>38</v>
      </c>
      <c r="AU185" s="106" t="s">
        <v>6</v>
      </c>
      <c r="AV185" s="106" t="s">
        <v>5</v>
      </c>
      <c r="AX185" s="106" t="s">
        <v>4</v>
      </c>
      <c r="AY185" s="106" t="s">
        <v>3</v>
      </c>
      <c r="AZ185" s="106" t="s">
        <v>2</v>
      </c>
      <c r="BA185" s="106" t="s">
        <v>1</v>
      </c>
      <c r="BC185" s="106"/>
      <c r="BD185" s="108"/>
      <c r="BE185" s="52"/>
      <c r="BF185" s="106"/>
    </row>
    <row r="186" spans="1:58" ht="27" customHeight="1" x14ac:dyDescent="0.3">
      <c r="A186" s="154" t="s">
        <v>165</v>
      </c>
      <c r="B186" s="134"/>
      <c r="C186" s="134"/>
      <c r="D186" s="117"/>
      <c r="E186" s="31">
        <v>0</v>
      </c>
      <c r="F186" s="33">
        <v>0.09</v>
      </c>
      <c r="G186" s="32">
        <v>1000000</v>
      </c>
      <c r="H186" s="31">
        <v>1</v>
      </c>
      <c r="I186" s="32">
        <v>0</v>
      </c>
      <c r="J186" s="31">
        <v>1</v>
      </c>
      <c r="K186" s="32">
        <v>130000</v>
      </c>
      <c r="L186" s="31">
        <v>7.0000000000000007E-2</v>
      </c>
      <c r="M186" s="32">
        <v>70000</v>
      </c>
      <c r="N186" s="107"/>
      <c r="O186" s="152"/>
      <c r="P186" s="31">
        <v>0.02</v>
      </c>
      <c r="Q186" s="32">
        <v>1000000</v>
      </c>
      <c r="R186" s="31">
        <v>0.05</v>
      </c>
      <c r="S186" s="32">
        <v>10000</v>
      </c>
      <c r="T186" s="31">
        <v>0.02</v>
      </c>
      <c r="U186" s="32">
        <v>60000</v>
      </c>
      <c r="V186" s="159"/>
      <c r="W186" s="21"/>
      <c r="X186" s="31">
        <f>IF(C187="노트북",7%,IF(C187="저장&amp;주변기기",9%,IF(C187="모니터",7%)))</f>
        <v>7.0000000000000007E-2</v>
      </c>
      <c r="Y186" s="31">
        <v>0</v>
      </c>
      <c r="Z186" s="31">
        <v>0.03</v>
      </c>
      <c r="AA186" s="31">
        <f>IF(F186=0%,20%,0%)</f>
        <v>0</v>
      </c>
      <c r="AB186" s="30">
        <v>0</v>
      </c>
      <c r="AC186" s="30">
        <v>1</v>
      </c>
      <c r="AD186" s="53">
        <v>0.92307600000000001</v>
      </c>
      <c r="AE186" s="29">
        <v>0.5</v>
      </c>
      <c r="AF186" s="107"/>
      <c r="AG186" s="107"/>
      <c r="AH186" s="107"/>
      <c r="AI186" s="107"/>
      <c r="AJ186" s="107"/>
      <c r="AK186" s="117"/>
      <c r="AL186" s="119"/>
      <c r="AM186" s="121"/>
      <c r="AN186" s="55" t="s">
        <v>52</v>
      </c>
      <c r="AO186" s="56">
        <f>AN185-AO185</f>
        <v>2.1766717496893739E-2</v>
      </c>
      <c r="AQ186" s="107"/>
      <c r="AR186" s="107"/>
      <c r="AS186" s="107"/>
      <c r="AT186" s="107"/>
      <c r="AU186" s="107"/>
      <c r="AV186" s="107"/>
      <c r="AW186" s="39"/>
      <c r="AX186" s="107"/>
      <c r="AY186" s="107"/>
      <c r="AZ186" s="107"/>
      <c r="BA186" s="107"/>
      <c r="BC186" s="107"/>
      <c r="BD186" s="109"/>
      <c r="BE186" s="52"/>
      <c r="BF186" s="107"/>
    </row>
    <row r="187" spans="1:58" ht="27" customHeight="1" x14ac:dyDescent="0.3">
      <c r="A187" s="51">
        <v>4503257150</v>
      </c>
      <c r="B187" s="38" t="s">
        <v>35</v>
      </c>
      <c r="C187" s="27" t="s">
        <v>0</v>
      </c>
      <c r="D187" s="25">
        <v>1416480</v>
      </c>
      <c r="E187" s="24">
        <f>ROUNDDOWN(D187/(1-E186),-1)</f>
        <v>1416480</v>
      </c>
      <c r="F187" s="110">
        <f>ROUNDDOWN(IF(E187*F186&gt;G186,G186,E187*F186),-1)</f>
        <v>127480</v>
      </c>
      <c r="G187" s="111"/>
      <c r="H187" s="112">
        <f>ROUNDDOWN(IF(E187*H186&gt;I186,I186,E187*H186),-1)</f>
        <v>0</v>
      </c>
      <c r="I187" s="113"/>
      <c r="J187" s="112">
        <f>ROUNDDOWN(IF(E187*J186&gt;K186,K186,E187*J186),-1)</f>
        <v>130000</v>
      </c>
      <c r="K187" s="113"/>
      <c r="L187" s="110">
        <f>ROUNDDOWN(IF(N187*L186&gt;M186,M186,N187*L186),-1)</f>
        <v>70000</v>
      </c>
      <c r="M187" s="111"/>
      <c r="N187" s="23">
        <f>E187-F187-H187-J187</f>
        <v>1159000</v>
      </c>
      <c r="O187" s="22">
        <f>E187-F187-H187-J187-L187</f>
        <v>1089000</v>
      </c>
      <c r="P187" s="110">
        <f>ROUNDDOWN(IF(N187*P186&gt;Q186,Q186,N187*P186),-1)</f>
        <v>23180</v>
      </c>
      <c r="Q187" s="111"/>
      <c r="R187" s="110">
        <f>ROUNDDOWN(IF(N187*R186&gt;S186,S186,N187*R186),-1)</f>
        <v>10000</v>
      </c>
      <c r="S187" s="111"/>
      <c r="T187" s="110">
        <f>ROUNDDOWN(IF(N187*T186&gt;U186,U186,N187*T186),-1)</f>
        <v>23180</v>
      </c>
      <c r="U187" s="111"/>
      <c r="V187" s="158">
        <f>O187-P187-R187-T187</f>
        <v>1032640</v>
      </c>
      <c r="W187" s="21"/>
      <c r="X187" s="20">
        <f>E187*X186</f>
        <v>99153.600000000006</v>
      </c>
      <c r="Y187" s="20">
        <f>E187*Y186</f>
        <v>0</v>
      </c>
      <c r="Z187" s="20">
        <f>(E187-H187)*Z186</f>
        <v>42494.400000000001</v>
      </c>
      <c r="AA187" s="19">
        <f>(E187*E186)*AA186</f>
        <v>0</v>
      </c>
      <c r="AB187" s="19">
        <f>F187*AB186</f>
        <v>0</v>
      </c>
      <c r="AC187" s="19">
        <f>H187*AC186</f>
        <v>0</v>
      </c>
      <c r="AD187" s="19">
        <f>J187*AD186</f>
        <v>119999.88</v>
      </c>
      <c r="AE187" s="19">
        <f>L187*AE186</f>
        <v>35000</v>
      </c>
      <c r="AF187" s="19">
        <v>0</v>
      </c>
      <c r="AG187" s="16">
        <v>6000</v>
      </c>
      <c r="AH187" s="18">
        <f>E187-X187-Y187-Z187-AA187-AE187-AB187-AC187-AD187-AF187</f>
        <v>1119832.1200000001</v>
      </c>
      <c r="AI187" s="18">
        <f>E187-X187-Y187-Z187-AA187-AB187-AC187-AD187-AE187-AF187-AG187</f>
        <v>1113832.1200000001</v>
      </c>
      <c r="AJ187" s="17">
        <f>AI187-AK187</f>
        <v>170832.12000000011</v>
      </c>
      <c r="AK187" s="16">
        <v>943000</v>
      </c>
      <c r="AL187" s="15">
        <f>AJ187/AK187</f>
        <v>0.18115813361611888</v>
      </c>
      <c r="AM187" s="14">
        <f>1-O187/(AK187-AQ187-AR187-AS187)</f>
        <v>-0.15482502651113461</v>
      </c>
      <c r="AN187" s="114">
        <f>(1-O187/E187)-(1-(AH187)/E187)</f>
        <v>2.1766717496893739E-2</v>
      </c>
      <c r="AO187" s="115"/>
      <c r="AQ187" s="13"/>
      <c r="AR187" s="12"/>
      <c r="AS187" s="12"/>
      <c r="AT187" s="12"/>
      <c r="AU187" s="11">
        <f>AI187-(AK187-AQ187-AR187-AS187-AT187)</f>
        <v>170832.12000000011</v>
      </c>
      <c r="AV187" s="8">
        <f>AU187/AK187</f>
        <v>0.18115813361611888</v>
      </c>
      <c r="AX187" s="10">
        <v>0</v>
      </c>
      <c r="AY187" s="10">
        <v>0</v>
      </c>
      <c r="AZ187" s="9">
        <f>AU187-AX187-AY187</f>
        <v>170832.12000000011</v>
      </c>
      <c r="BA187" s="8">
        <f>AZ187/AK187</f>
        <v>0.18115813361611888</v>
      </c>
      <c r="BC187" s="7"/>
      <c r="BD187" s="50"/>
      <c r="BE187" s="52"/>
      <c r="BF187" s="7"/>
    </row>
    <row r="188" spans="1:58" ht="16.5" customHeight="1" x14ac:dyDescent="0.3">
      <c r="D188" s="5">
        <v>1149000</v>
      </c>
      <c r="E188" s="4">
        <f>ROUNDDOWN(D188/(1-E186),-1)</f>
        <v>1149000</v>
      </c>
      <c r="F188" s="138">
        <f>E187-F187</f>
        <v>1289000</v>
      </c>
      <c r="G188" s="138"/>
      <c r="H188" s="157">
        <f>E187-F187-H187</f>
        <v>1289000</v>
      </c>
      <c r="I188" s="157"/>
      <c r="O188" s="4"/>
      <c r="P188" s="162">
        <f>SUM(P187:U187)</f>
        <v>56360</v>
      </c>
      <c r="Q188" s="163"/>
      <c r="R188" s="163"/>
      <c r="S188" s="163"/>
      <c r="T188" s="163"/>
      <c r="U188" s="164"/>
      <c r="V188" s="4"/>
      <c r="AB188" s="3">
        <f>F188*AB186</f>
        <v>0</v>
      </c>
      <c r="AC188" s="3"/>
      <c r="AD188" s="3"/>
      <c r="AK188" s="57"/>
    </row>
    <row r="189" spans="1:58" ht="16.5" customHeight="1" x14ac:dyDescent="0.3">
      <c r="D189" s="5"/>
      <c r="E189" s="4"/>
      <c r="F189" s="42"/>
      <c r="G189" s="42"/>
      <c r="I189" s="54"/>
      <c r="O189" s="4"/>
      <c r="P189" s="4"/>
      <c r="Q189" s="4"/>
      <c r="R189" s="4"/>
      <c r="S189" s="4"/>
      <c r="T189" s="4"/>
      <c r="U189" s="4"/>
      <c r="V189" s="4"/>
      <c r="AB189" s="3"/>
      <c r="AC189" s="3"/>
      <c r="AD189" s="3"/>
      <c r="AK189" s="57"/>
    </row>
    <row r="191" spans="1:58" ht="27" customHeight="1" x14ac:dyDescent="0.3">
      <c r="A191" s="153" t="s">
        <v>34</v>
      </c>
      <c r="B191" s="127" t="s">
        <v>130</v>
      </c>
      <c r="C191" s="128"/>
      <c r="D191" s="128"/>
      <c r="E191" s="128"/>
      <c r="F191" s="128"/>
      <c r="G191" s="128"/>
      <c r="H191" s="128"/>
      <c r="I191" s="128"/>
      <c r="J191" s="128"/>
      <c r="K191" s="128"/>
      <c r="L191" s="128"/>
      <c r="M191" s="156"/>
      <c r="N191" s="127" t="s">
        <v>141</v>
      </c>
      <c r="O191" s="156"/>
      <c r="P191" s="165" t="s">
        <v>167</v>
      </c>
      <c r="Q191" s="166"/>
      <c r="R191" s="166"/>
      <c r="S191" s="166"/>
      <c r="T191" s="166"/>
      <c r="U191" s="166"/>
      <c r="V191" s="167"/>
      <c r="X191" s="130" t="s">
        <v>33</v>
      </c>
      <c r="Y191" s="131"/>
      <c r="Z191" s="131"/>
      <c r="AA191" s="131"/>
      <c r="AB191" s="131"/>
      <c r="AC191" s="131"/>
      <c r="AD191" s="131"/>
      <c r="AE191" s="131"/>
      <c r="AF191" s="131"/>
      <c r="AG191" s="131"/>
      <c r="AH191" s="131"/>
      <c r="AI191" s="131"/>
      <c r="AJ191" s="131"/>
      <c r="AK191" s="131"/>
      <c r="AL191" s="132"/>
      <c r="AM191" s="37"/>
      <c r="AQ191" s="130" t="s">
        <v>32</v>
      </c>
      <c r="AR191" s="131"/>
      <c r="AS191" s="131"/>
      <c r="AT191" s="131"/>
      <c r="AU191" s="131"/>
      <c r="AV191" s="132"/>
      <c r="AX191" s="130" t="s">
        <v>31</v>
      </c>
      <c r="AY191" s="131"/>
      <c r="AZ191" s="131"/>
      <c r="BA191" s="132"/>
      <c r="BC191" s="36" t="s">
        <v>36</v>
      </c>
      <c r="BD191" s="48"/>
      <c r="BE191" s="52"/>
      <c r="BF191" s="36"/>
    </row>
    <row r="192" spans="1:58" ht="32.25" customHeight="1" x14ac:dyDescent="0.3">
      <c r="A192" s="153"/>
      <c r="B192" s="133" t="s">
        <v>30</v>
      </c>
      <c r="C192" s="133" t="s">
        <v>29</v>
      </c>
      <c r="D192" s="116" t="s">
        <v>27</v>
      </c>
      <c r="E192" s="34" t="s">
        <v>26</v>
      </c>
      <c r="F192" s="122" t="s">
        <v>63</v>
      </c>
      <c r="G192" s="123"/>
      <c r="H192" s="122" t="s">
        <v>50</v>
      </c>
      <c r="I192" s="123"/>
      <c r="J192" s="122" t="s">
        <v>146</v>
      </c>
      <c r="K192" s="123"/>
      <c r="L192" s="122" t="s">
        <v>25</v>
      </c>
      <c r="M192" s="123"/>
      <c r="N192" s="106" t="s">
        <v>23</v>
      </c>
      <c r="O192" s="151" t="s">
        <v>137</v>
      </c>
      <c r="P192" s="122" t="s">
        <v>136</v>
      </c>
      <c r="Q192" s="123"/>
      <c r="R192" s="122" t="s">
        <v>143</v>
      </c>
      <c r="S192" s="123"/>
      <c r="T192" s="122" t="s">
        <v>144</v>
      </c>
      <c r="U192" s="123"/>
      <c r="V192" s="159" t="s">
        <v>142</v>
      </c>
      <c r="W192" s="21"/>
      <c r="X192" s="34" t="s">
        <v>21</v>
      </c>
      <c r="Y192" s="34" t="s">
        <v>20</v>
      </c>
      <c r="Z192" s="34" t="s">
        <v>95</v>
      </c>
      <c r="AA192" s="34" t="s">
        <v>19</v>
      </c>
      <c r="AB192" s="34" t="s">
        <v>18</v>
      </c>
      <c r="AC192" s="34" t="s">
        <v>48</v>
      </c>
      <c r="AD192" s="34" t="s">
        <v>49</v>
      </c>
      <c r="AE192" s="34" t="s">
        <v>17</v>
      </c>
      <c r="AF192" s="106" t="s">
        <v>16</v>
      </c>
      <c r="AG192" s="106" t="s">
        <v>15</v>
      </c>
      <c r="AH192" s="106" t="s">
        <v>14</v>
      </c>
      <c r="AI192" s="106" t="s">
        <v>13</v>
      </c>
      <c r="AJ192" s="106" t="s">
        <v>12</v>
      </c>
      <c r="AK192" s="116" t="s">
        <v>11</v>
      </c>
      <c r="AL192" s="118" t="s">
        <v>10</v>
      </c>
      <c r="AM192" s="120" t="s">
        <v>9</v>
      </c>
      <c r="AN192" s="35">
        <f>(1-O194/E194)</f>
        <v>0.22575338546633605</v>
      </c>
      <c r="AO192" s="35">
        <f>1-(AH194+AQ194)/E194</f>
        <v>0.20066092885752429</v>
      </c>
      <c r="AQ192" s="106" t="s">
        <v>8</v>
      </c>
      <c r="AR192" s="106" t="s">
        <v>7</v>
      </c>
      <c r="AS192" s="106" t="s">
        <v>37</v>
      </c>
      <c r="AT192" s="106" t="s">
        <v>38</v>
      </c>
      <c r="AU192" s="106" t="s">
        <v>6</v>
      </c>
      <c r="AV192" s="106" t="s">
        <v>5</v>
      </c>
      <c r="AX192" s="106" t="s">
        <v>4</v>
      </c>
      <c r="AY192" s="106" t="s">
        <v>3</v>
      </c>
      <c r="AZ192" s="106" t="s">
        <v>2</v>
      </c>
      <c r="BA192" s="106" t="s">
        <v>1</v>
      </c>
      <c r="BC192" s="106"/>
      <c r="BD192" s="108"/>
      <c r="BE192" s="52"/>
      <c r="BF192" s="106"/>
    </row>
    <row r="193" spans="1:58" ht="27" customHeight="1" x14ac:dyDescent="0.3">
      <c r="A193" s="154" t="s">
        <v>166</v>
      </c>
      <c r="B193" s="134"/>
      <c r="C193" s="134"/>
      <c r="D193" s="117"/>
      <c r="E193" s="31">
        <v>0</v>
      </c>
      <c r="F193" s="33">
        <v>0.09</v>
      </c>
      <c r="G193" s="32">
        <v>1000000</v>
      </c>
      <c r="H193" s="31">
        <v>1</v>
      </c>
      <c r="I193" s="32">
        <v>0</v>
      </c>
      <c r="J193" s="31">
        <v>1</v>
      </c>
      <c r="K193" s="32">
        <v>130000</v>
      </c>
      <c r="L193" s="31">
        <v>7.0000000000000007E-2</v>
      </c>
      <c r="M193" s="32">
        <v>150000</v>
      </c>
      <c r="N193" s="107"/>
      <c r="O193" s="152"/>
      <c r="P193" s="31">
        <v>0.02</v>
      </c>
      <c r="Q193" s="32">
        <v>1000000</v>
      </c>
      <c r="R193" s="31">
        <v>0.05</v>
      </c>
      <c r="S193" s="32">
        <v>10000</v>
      </c>
      <c r="T193" s="31">
        <v>0.02</v>
      </c>
      <c r="U193" s="32">
        <v>60000</v>
      </c>
      <c r="V193" s="159"/>
      <c r="W193" s="21"/>
      <c r="X193" s="31">
        <f>IF(C194="노트북",7%,IF(C194="저장&amp;주변기기",9%,IF(C194="모니터",7%)))</f>
        <v>7.0000000000000007E-2</v>
      </c>
      <c r="Y193" s="31">
        <v>0</v>
      </c>
      <c r="Z193" s="31">
        <v>0.03</v>
      </c>
      <c r="AA193" s="31">
        <f>IF(F193=0%,20%,0%)</f>
        <v>0</v>
      </c>
      <c r="AB193" s="30">
        <v>0</v>
      </c>
      <c r="AC193" s="30">
        <v>1</v>
      </c>
      <c r="AD193" s="53">
        <v>0.92307600000000001</v>
      </c>
      <c r="AE193" s="29">
        <v>0.5</v>
      </c>
      <c r="AF193" s="107"/>
      <c r="AG193" s="107"/>
      <c r="AH193" s="107"/>
      <c r="AI193" s="107"/>
      <c r="AJ193" s="107"/>
      <c r="AK193" s="117"/>
      <c r="AL193" s="119"/>
      <c r="AM193" s="121"/>
      <c r="AN193" s="55" t="s">
        <v>52</v>
      </c>
      <c r="AO193" s="56">
        <f>AN192-AO192</f>
        <v>2.5092456608811764E-2</v>
      </c>
      <c r="AQ193" s="107"/>
      <c r="AR193" s="107"/>
      <c r="AS193" s="107"/>
      <c r="AT193" s="107"/>
      <c r="AU193" s="107"/>
      <c r="AV193" s="107"/>
      <c r="AW193" s="39"/>
      <c r="AX193" s="107"/>
      <c r="AY193" s="107"/>
      <c r="AZ193" s="107"/>
      <c r="BA193" s="107"/>
      <c r="BC193" s="107"/>
      <c r="BD193" s="109"/>
      <c r="BE193" s="52"/>
      <c r="BF193" s="107"/>
    </row>
    <row r="194" spans="1:58" ht="27" customHeight="1" x14ac:dyDescent="0.3">
      <c r="A194" s="51">
        <v>4503297392</v>
      </c>
      <c r="B194" s="38" t="s">
        <v>35</v>
      </c>
      <c r="C194" s="27" t="s">
        <v>0</v>
      </c>
      <c r="D194" s="25">
        <v>1677760</v>
      </c>
      <c r="E194" s="24">
        <f>ROUNDDOWN(D194/(1-E193),-1)</f>
        <v>1677760</v>
      </c>
      <c r="F194" s="110">
        <f>ROUNDDOWN(IF(E194*F193&gt;G193,G193,E194*F193),-1)</f>
        <v>150990</v>
      </c>
      <c r="G194" s="111"/>
      <c r="H194" s="112">
        <f>ROUNDDOWN(IF(E194*H193&gt;I193,I193,E194*H193),-1)</f>
        <v>0</v>
      </c>
      <c r="I194" s="113"/>
      <c r="J194" s="112">
        <f>ROUNDDOWN(IF(E194*J193&gt;K193,K193,E194*J193),-1)</f>
        <v>130000</v>
      </c>
      <c r="K194" s="113"/>
      <c r="L194" s="110">
        <f>ROUNDDOWN(IF(N194*L193&gt;M193,M193,N194*L193),-1)</f>
        <v>97770</v>
      </c>
      <c r="M194" s="111"/>
      <c r="N194" s="23">
        <f>E194-F194-H194-J194</f>
        <v>1396770</v>
      </c>
      <c r="O194" s="22">
        <f>E194-F194-H194-J194-L194</f>
        <v>1299000</v>
      </c>
      <c r="P194" s="110">
        <f>ROUNDDOWN(IF(N194*P193&gt;Q193,Q193,N194*P193),-1)</f>
        <v>27930</v>
      </c>
      <c r="Q194" s="111"/>
      <c r="R194" s="110">
        <f>ROUNDDOWN(IF(N194*R193&gt;S193,S193,N194*R193),-1)</f>
        <v>10000</v>
      </c>
      <c r="S194" s="111"/>
      <c r="T194" s="110">
        <f>ROUNDDOWN(IF(N194*T193&gt;U193,U193,N194*T193),-1)</f>
        <v>27930</v>
      </c>
      <c r="U194" s="111"/>
      <c r="V194" s="158">
        <f>O194-P194-R194-T194</f>
        <v>1233140</v>
      </c>
      <c r="W194" s="21"/>
      <c r="X194" s="20">
        <f>E194*X193</f>
        <v>117443.20000000001</v>
      </c>
      <c r="Y194" s="20">
        <f>E194*Y193</f>
        <v>0</v>
      </c>
      <c r="Z194" s="20">
        <f>(E194-H194)*Z193</f>
        <v>50332.799999999996</v>
      </c>
      <c r="AA194" s="19">
        <f>(E194*E193)*AA193</f>
        <v>0</v>
      </c>
      <c r="AB194" s="19">
        <f>F194*AB193</f>
        <v>0</v>
      </c>
      <c r="AC194" s="19">
        <f>H194*AC193</f>
        <v>0</v>
      </c>
      <c r="AD194" s="19">
        <f>J194*AD193</f>
        <v>119999.88</v>
      </c>
      <c r="AE194" s="19">
        <f>L194*AE193</f>
        <v>48885</v>
      </c>
      <c r="AF194" s="19">
        <v>0</v>
      </c>
      <c r="AG194" s="16">
        <v>6000</v>
      </c>
      <c r="AH194" s="18">
        <f>E194-X194-Y194-Z194-AA194-AE194-AB194-AC194-AD194-AF194</f>
        <v>1341099.1200000001</v>
      </c>
      <c r="AI194" s="18">
        <f>E194-X194-Y194-Z194-AA194-AB194-AC194-AD194-AE194-AF194-AG194</f>
        <v>1335099.1200000001</v>
      </c>
      <c r="AJ194" s="17">
        <f>AI194-AK194</f>
        <v>140099.12000000011</v>
      </c>
      <c r="AK194" s="16">
        <v>1195000</v>
      </c>
      <c r="AL194" s="15">
        <f>AJ194/AK194</f>
        <v>0.11723775732217583</v>
      </c>
      <c r="AM194" s="14">
        <f>1-O194/(AK194-AQ194-AR194-AS194)</f>
        <v>-8.702928870292892E-2</v>
      </c>
      <c r="AN194" s="114">
        <f>(1-O194/E194)-(1-(AH194)/E194)</f>
        <v>2.5092456608811764E-2</v>
      </c>
      <c r="AO194" s="115"/>
      <c r="AQ194" s="13"/>
      <c r="AR194" s="12"/>
      <c r="AS194" s="12"/>
      <c r="AT194" s="12"/>
      <c r="AU194" s="11">
        <f>AI194-(AK194-AQ194-AR194-AS194-AT194)</f>
        <v>140099.12000000011</v>
      </c>
      <c r="AV194" s="8">
        <f>AU194/AK194</f>
        <v>0.11723775732217583</v>
      </c>
      <c r="AX194" s="10">
        <v>0</v>
      </c>
      <c r="AY194" s="10">
        <v>0</v>
      </c>
      <c r="AZ194" s="9">
        <f>AU194-AX194-AY194</f>
        <v>140099.12000000011</v>
      </c>
      <c r="BA194" s="8">
        <f>AZ194/AK194</f>
        <v>0.11723775732217583</v>
      </c>
      <c r="BC194" s="7"/>
      <c r="BD194" s="50"/>
      <c r="BE194" s="52"/>
      <c r="BF194" s="7"/>
    </row>
    <row r="195" spans="1:58" ht="16.5" customHeight="1" x14ac:dyDescent="0.3">
      <c r="D195" s="5">
        <v>1299000</v>
      </c>
      <c r="E195" s="4">
        <f>ROUNDDOWN(D195/(1-E193),-1)</f>
        <v>1299000</v>
      </c>
      <c r="F195" s="138">
        <f>E194-F194</f>
        <v>1526770</v>
      </c>
      <c r="G195" s="138"/>
      <c r="H195" s="157">
        <f>E194-F194-H194</f>
        <v>1526770</v>
      </c>
      <c r="I195" s="157"/>
      <c r="O195" s="4"/>
      <c r="P195" s="162">
        <f>SUM(P194:U194)</f>
        <v>65860</v>
      </c>
      <c r="Q195" s="163"/>
      <c r="R195" s="163"/>
      <c r="S195" s="163"/>
      <c r="T195" s="163"/>
      <c r="U195" s="164"/>
      <c r="V195" s="4"/>
      <c r="AB195" s="3">
        <f>F195*AB193</f>
        <v>0</v>
      </c>
      <c r="AC195" s="3"/>
      <c r="AD195" s="3"/>
      <c r="AK195" s="57"/>
    </row>
  </sheetData>
  <mergeCells count="1253">
    <mergeCell ref="P194:Q194"/>
    <mergeCell ref="R194:S194"/>
    <mergeCell ref="T194:U194"/>
    <mergeCell ref="P195:U195"/>
    <mergeCell ref="P180:Q180"/>
    <mergeCell ref="R180:S180"/>
    <mergeCell ref="T180:U180"/>
    <mergeCell ref="P181:U181"/>
    <mergeCell ref="N184:O184"/>
    <mergeCell ref="P184:V184"/>
    <mergeCell ref="P185:Q185"/>
    <mergeCell ref="R185:S185"/>
    <mergeCell ref="T185:U185"/>
    <mergeCell ref="P187:Q187"/>
    <mergeCell ref="R187:S187"/>
    <mergeCell ref="T187:U187"/>
    <mergeCell ref="P188:U188"/>
    <mergeCell ref="N191:O191"/>
    <mergeCell ref="P191:V191"/>
    <mergeCell ref="P192:Q192"/>
    <mergeCell ref="R192:S192"/>
    <mergeCell ref="T192:U192"/>
    <mergeCell ref="P168:Q168"/>
    <mergeCell ref="R168:S168"/>
    <mergeCell ref="T168:U168"/>
    <mergeCell ref="P169:U169"/>
    <mergeCell ref="N172:O172"/>
    <mergeCell ref="P172:V172"/>
    <mergeCell ref="P173:Q173"/>
    <mergeCell ref="R173:S173"/>
    <mergeCell ref="T173:U173"/>
    <mergeCell ref="P175:Q175"/>
    <mergeCell ref="R175:S175"/>
    <mergeCell ref="T175:U175"/>
    <mergeCell ref="P176:U176"/>
    <mergeCell ref="N177:O177"/>
    <mergeCell ref="P177:V177"/>
    <mergeCell ref="P178:Q178"/>
    <mergeCell ref="R178:S178"/>
    <mergeCell ref="T178:U178"/>
    <mergeCell ref="P139:Q139"/>
    <mergeCell ref="R139:S139"/>
    <mergeCell ref="T139:U139"/>
    <mergeCell ref="P140:U140"/>
    <mergeCell ref="N143:O143"/>
    <mergeCell ref="P143:V143"/>
    <mergeCell ref="P144:Q144"/>
    <mergeCell ref="R144:S144"/>
    <mergeCell ref="T144:U144"/>
    <mergeCell ref="P146:Q146"/>
    <mergeCell ref="R146:S146"/>
    <mergeCell ref="T146:U146"/>
    <mergeCell ref="P147:U147"/>
    <mergeCell ref="N150:O150"/>
    <mergeCell ref="P150:V150"/>
    <mergeCell ref="P151:Q151"/>
    <mergeCell ref="R151:S151"/>
    <mergeCell ref="T151:U151"/>
    <mergeCell ref="P124:Q124"/>
    <mergeCell ref="R124:S124"/>
    <mergeCell ref="T124:U124"/>
    <mergeCell ref="P125:U125"/>
    <mergeCell ref="N129:O129"/>
    <mergeCell ref="P129:V129"/>
    <mergeCell ref="P130:Q130"/>
    <mergeCell ref="R130:S130"/>
    <mergeCell ref="T130:U130"/>
    <mergeCell ref="P132:Q132"/>
    <mergeCell ref="R132:S132"/>
    <mergeCell ref="T132:U132"/>
    <mergeCell ref="P133:U133"/>
    <mergeCell ref="N136:O136"/>
    <mergeCell ref="P136:V136"/>
    <mergeCell ref="P137:Q137"/>
    <mergeCell ref="R137:S137"/>
    <mergeCell ref="T137:U137"/>
    <mergeCell ref="P102:Q102"/>
    <mergeCell ref="R102:S102"/>
    <mergeCell ref="T102:U102"/>
    <mergeCell ref="P104:Q104"/>
    <mergeCell ref="R104:S104"/>
    <mergeCell ref="T104:U104"/>
    <mergeCell ref="P105:U105"/>
    <mergeCell ref="N111:O111"/>
    <mergeCell ref="P111:V111"/>
    <mergeCell ref="P112:Q112"/>
    <mergeCell ref="R112:S112"/>
    <mergeCell ref="T112:U112"/>
    <mergeCell ref="P114:Q114"/>
    <mergeCell ref="R114:S114"/>
    <mergeCell ref="T114:U114"/>
    <mergeCell ref="P115:U115"/>
    <mergeCell ref="N121:O121"/>
    <mergeCell ref="P121:V121"/>
    <mergeCell ref="P83:Q83"/>
    <mergeCell ref="R83:S83"/>
    <mergeCell ref="T83:U83"/>
    <mergeCell ref="P84:U84"/>
    <mergeCell ref="N87:O87"/>
    <mergeCell ref="P87:V87"/>
    <mergeCell ref="P88:Q88"/>
    <mergeCell ref="R88:S88"/>
    <mergeCell ref="T88:U88"/>
    <mergeCell ref="P90:Q90"/>
    <mergeCell ref="R90:S90"/>
    <mergeCell ref="T90:U90"/>
    <mergeCell ref="P91:U91"/>
    <mergeCell ref="N94:O94"/>
    <mergeCell ref="P94:V94"/>
    <mergeCell ref="P95:Q95"/>
    <mergeCell ref="R95:S95"/>
    <mergeCell ref="T95:U95"/>
    <mergeCell ref="P65:Q65"/>
    <mergeCell ref="R65:S65"/>
    <mergeCell ref="T65:U65"/>
    <mergeCell ref="P66:U66"/>
    <mergeCell ref="N73:O73"/>
    <mergeCell ref="P73:V73"/>
    <mergeCell ref="P74:Q74"/>
    <mergeCell ref="R74:S74"/>
    <mergeCell ref="T74:U74"/>
    <mergeCell ref="P76:Q76"/>
    <mergeCell ref="R76:S76"/>
    <mergeCell ref="T76:U76"/>
    <mergeCell ref="P77:U77"/>
    <mergeCell ref="N80:O80"/>
    <mergeCell ref="P80:V80"/>
    <mergeCell ref="P81:Q81"/>
    <mergeCell ref="R81:S81"/>
    <mergeCell ref="T81:U81"/>
    <mergeCell ref="P48:Q48"/>
    <mergeCell ref="R48:S48"/>
    <mergeCell ref="T48:U48"/>
    <mergeCell ref="P49:U49"/>
    <mergeCell ref="N52:O52"/>
    <mergeCell ref="P52:V52"/>
    <mergeCell ref="P53:Q53"/>
    <mergeCell ref="R53:S53"/>
    <mergeCell ref="T53:U53"/>
    <mergeCell ref="P55:Q55"/>
    <mergeCell ref="R55:S55"/>
    <mergeCell ref="T55:U55"/>
    <mergeCell ref="P56:U56"/>
    <mergeCell ref="N62:O62"/>
    <mergeCell ref="P62:V62"/>
    <mergeCell ref="P63:Q63"/>
    <mergeCell ref="R63:S63"/>
    <mergeCell ref="T63:U63"/>
    <mergeCell ref="P28:Q28"/>
    <mergeCell ref="R28:S28"/>
    <mergeCell ref="T28:U28"/>
    <mergeCell ref="P29:U29"/>
    <mergeCell ref="N35:O35"/>
    <mergeCell ref="P35:V35"/>
    <mergeCell ref="P36:Q36"/>
    <mergeCell ref="R36:S36"/>
    <mergeCell ref="T36:U36"/>
    <mergeCell ref="P38:Q38"/>
    <mergeCell ref="R38:S38"/>
    <mergeCell ref="T38:U38"/>
    <mergeCell ref="P39:U39"/>
    <mergeCell ref="N45:O45"/>
    <mergeCell ref="P45:V45"/>
    <mergeCell ref="P46:Q46"/>
    <mergeCell ref="R46:S46"/>
    <mergeCell ref="T46:U46"/>
    <mergeCell ref="BC151:BC152"/>
    <mergeCell ref="BD151:BD152"/>
    <mergeCell ref="BF151:BF152"/>
    <mergeCell ref="F153:G153"/>
    <mergeCell ref="H153:I153"/>
    <mergeCell ref="J153:K153"/>
    <mergeCell ref="L153:M153"/>
    <mergeCell ref="AN153:AO153"/>
    <mergeCell ref="P15:U15"/>
    <mergeCell ref="P12:Q12"/>
    <mergeCell ref="R12:S12"/>
    <mergeCell ref="T12:U12"/>
    <mergeCell ref="P14:Q14"/>
    <mergeCell ref="R14:S14"/>
    <mergeCell ref="T14:U14"/>
    <mergeCell ref="N11:O11"/>
    <mergeCell ref="P11:V11"/>
    <mergeCell ref="N18:O18"/>
    <mergeCell ref="P18:V18"/>
    <mergeCell ref="P19:Q19"/>
    <mergeCell ref="R19:S19"/>
    <mergeCell ref="T19:U19"/>
    <mergeCell ref="P21:Q21"/>
    <mergeCell ref="R21:S21"/>
    <mergeCell ref="T21:U21"/>
    <mergeCell ref="P22:U22"/>
    <mergeCell ref="N25:O25"/>
    <mergeCell ref="P25:V25"/>
    <mergeCell ref="P26:Q26"/>
    <mergeCell ref="R26:S26"/>
    <mergeCell ref="T26:U26"/>
    <mergeCell ref="AX150:BA150"/>
    <mergeCell ref="B151:B152"/>
    <mergeCell ref="C151:C152"/>
    <mergeCell ref="D151:D152"/>
    <mergeCell ref="F151:G151"/>
    <mergeCell ref="H151:I151"/>
    <mergeCell ref="J151:K151"/>
    <mergeCell ref="L151:M151"/>
    <mergeCell ref="N151:N152"/>
    <mergeCell ref="O151:O152"/>
    <mergeCell ref="V151:V152"/>
    <mergeCell ref="AF151:AF152"/>
    <mergeCell ref="AG151:AG152"/>
    <mergeCell ref="AH151:AH152"/>
    <mergeCell ref="AI151:AI152"/>
    <mergeCell ref="AJ151:AJ152"/>
    <mergeCell ref="AK151:AK152"/>
    <mergeCell ref="AL151:AL152"/>
    <mergeCell ref="AM151:AM152"/>
    <mergeCell ref="AQ151:AQ152"/>
    <mergeCell ref="AR151:AR152"/>
    <mergeCell ref="AS151:AS152"/>
    <mergeCell ref="AT151:AT152"/>
    <mergeCell ref="AU151:AU152"/>
    <mergeCell ref="AV151:AV152"/>
    <mergeCell ref="AX151:AX152"/>
    <mergeCell ref="AY151:AY152"/>
    <mergeCell ref="AZ151:AZ152"/>
    <mergeCell ref="BA151:BA152"/>
    <mergeCell ref="BC144:BC145"/>
    <mergeCell ref="BD144:BD145"/>
    <mergeCell ref="BF144:BF145"/>
    <mergeCell ref="F146:G146"/>
    <mergeCell ref="H146:I146"/>
    <mergeCell ref="J146:K146"/>
    <mergeCell ref="L146:M146"/>
    <mergeCell ref="AN146:AO146"/>
    <mergeCell ref="F147:G147"/>
    <mergeCell ref="H147:I147"/>
    <mergeCell ref="AX143:BA143"/>
    <mergeCell ref="B144:B145"/>
    <mergeCell ref="C144:C145"/>
    <mergeCell ref="D144:D145"/>
    <mergeCell ref="F144:G144"/>
    <mergeCell ref="H144:I144"/>
    <mergeCell ref="J144:K144"/>
    <mergeCell ref="L144:M144"/>
    <mergeCell ref="N144:N145"/>
    <mergeCell ref="O144:O145"/>
    <mergeCell ref="V144:V145"/>
    <mergeCell ref="AF144:AF145"/>
    <mergeCell ref="AG144:AG145"/>
    <mergeCell ref="AH144:AH145"/>
    <mergeCell ref="AI144:AI145"/>
    <mergeCell ref="AJ144:AJ145"/>
    <mergeCell ref="AK144:AK145"/>
    <mergeCell ref="AL144:AL145"/>
    <mergeCell ref="AM144:AM145"/>
    <mergeCell ref="AQ144:AQ145"/>
    <mergeCell ref="AR144:AR145"/>
    <mergeCell ref="AS144:AS145"/>
    <mergeCell ref="AT144:AT145"/>
    <mergeCell ref="AU144:AU145"/>
    <mergeCell ref="AV144:AV145"/>
    <mergeCell ref="AX144:AX145"/>
    <mergeCell ref="AY144:AY145"/>
    <mergeCell ref="AZ144:AZ145"/>
    <mergeCell ref="BA144:BA145"/>
    <mergeCell ref="V95:V96"/>
    <mergeCell ref="V112:V113"/>
    <mergeCell ref="V122:V123"/>
    <mergeCell ref="V130:V131"/>
    <mergeCell ref="V137:V138"/>
    <mergeCell ref="V159:V160"/>
    <mergeCell ref="V166:V167"/>
    <mergeCell ref="V173:V174"/>
    <mergeCell ref="V178:V179"/>
    <mergeCell ref="V185:V186"/>
    <mergeCell ref="V192:V193"/>
    <mergeCell ref="A143:A144"/>
    <mergeCell ref="B143:M143"/>
    <mergeCell ref="X143:AL143"/>
    <mergeCell ref="AQ143:AV143"/>
    <mergeCell ref="A150:A151"/>
    <mergeCell ref="B150:M150"/>
    <mergeCell ref="X150:AL150"/>
    <mergeCell ref="AQ150:AV150"/>
    <mergeCell ref="P97:Q97"/>
    <mergeCell ref="R97:S97"/>
    <mergeCell ref="T97:U97"/>
    <mergeCell ref="P98:U98"/>
    <mergeCell ref="N101:O101"/>
    <mergeCell ref="P101:V101"/>
    <mergeCell ref="H15:I15"/>
    <mergeCell ref="H22:I22"/>
    <mergeCell ref="H29:I29"/>
    <mergeCell ref="H39:I39"/>
    <mergeCell ref="H49:I49"/>
    <mergeCell ref="H56:I56"/>
    <mergeCell ref="H66:I66"/>
    <mergeCell ref="H77:I77"/>
    <mergeCell ref="H84:I84"/>
    <mergeCell ref="H91:I91"/>
    <mergeCell ref="H98:I98"/>
    <mergeCell ref="H105:I105"/>
    <mergeCell ref="H115:I115"/>
    <mergeCell ref="H125:I125"/>
    <mergeCell ref="H133:I133"/>
    <mergeCell ref="H140:I140"/>
    <mergeCell ref="H162:I162"/>
    <mergeCell ref="H169:I169"/>
    <mergeCell ref="H176:I176"/>
    <mergeCell ref="H181:I181"/>
    <mergeCell ref="H188:I188"/>
    <mergeCell ref="H195:I195"/>
    <mergeCell ref="B172:M172"/>
    <mergeCell ref="B177:M177"/>
    <mergeCell ref="B184:M184"/>
    <mergeCell ref="B191:M191"/>
    <mergeCell ref="B94:M94"/>
    <mergeCell ref="B101:M101"/>
    <mergeCell ref="B111:M111"/>
    <mergeCell ref="B121:M121"/>
    <mergeCell ref="B129:M129"/>
    <mergeCell ref="B136:M136"/>
    <mergeCell ref="B35:M35"/>
    <mergeCell ref="B45:M45"/>
    <mergeCell ref="B52:M52"/>
    <mergeCell ref="B62:M62"/>
    <mergeCell ref="B73:M73"/>
    <mergeCell ref="B80:M80"/>
    <mergeCell ref="B11:M11"/>
    <mergeCell ref="AX191:BA191"/>
    <mergeCell ref="A11:A12"/>
    <mergeCell ref="A18:A19"/>
    <mergeCell ref="A25:A26"/>
    <mergeCell ref="A35:A36"/>
    <mergeCell ref="A45:A46"/>
    <mergeCell ref="A52:A53"/>
    <mergeCell ref="A62:A63"/>
    <mergeCell ref="A73:A74"/>
    <mergeCell ref="A80:A81"/>
    <mergeCell ref="A87:A88"/>
    <mergeCell ref="A94:A95"/>
    <mergeCell ref="A101:A102"/>
    <mergeCell ref="A111:A112"/>
    <mergeCell ref="A121:A122"/>
    <mergeCell ref="A129:A130"/>
    <mergeCell ref="A136:A137"/>
    <mergeCell ref="A158:A159"/>
    <mergeCell ref="A165:A166"/>
    <mergeCell ref="A172:A173"/>
    <mergeCell ref="A177:A178"/>
    <mergeCell ref="A184:A185"/>
    <mergeCell ref="A191:A192"/>
    <mergeCell ref="F154:G154"/>
    <mergeCell ref="H154:I154"/>
    <mergeCell ref="X177:AL177"/>
    <mergeCell ref="AQ177:AV177"/>
    <mergeCell ref="AX177:BA177"/>
    <mergeCell ref="B178:B179"/>
    <mergeCell ref="C178:C179"/>
    <mergeCell ref="D178:D179"/>
    <mergeCell ref="F178:G178"/>
    <mergeCell ref="H178:I178"/>
    <mergeCell ref="J178:K178"/>
    <mergeCell ref="L178:M178"/>
    <mergeCell ref="N178:N179"/>
    <mergeCell ref="O178:O179"/>
    <mergeCell ref="AF178:AF179"/>
    <mergeCell ref="AG178:AG179"/>
    <mergeCell ref="AH178:AH179"/>
    <mergeCell ref="BF137:BF138"/>
    <mergeCell ref="F139:G139"/>
    <mergeCell ref="H139:I139"/>
    <mergeCell ref="J139:K139"/>
    <mergeCell ref="L139:M139"/>
    <mergeCell ref="AN139:AO139"/>
    <mergeCell ref="F140:G140"/>
    <mergeCell ref="AI137:AI138"/>
    <mergeCell ref="AJ137:AJ138"/>
    <mergeCell ref="AK137:AK138"/>
    <mergeCell ref="AL137:AL138"/>
    <mergeCell ref="AM137:AM138"/>
    <mergeCell ref="AQ137:AQ138"/>
    <mergeCell ref="AR137:AR138"/>
    <mergeCell ref="AS137:AS138"/>
    <mergeCell ref="AT137:AT138"/>
    <mergeCell ref="AU137:AU138"/>
    <mergeCell ref="AV137:AV138"/>
    <mergeCell ref="AX137:AX138"/>
    <mergeCell ref="AY137:AY138"/>
    <mergeCell ref="AZ137:AZ138"/>
    <mergeCell ref="BA137:BA138"/>
    <mergeCell ref="BC137:BC138"/>
    <mergeCell ref="BD137:BD138"/>
    <mergeCell ref="AX130:AX131"/>
    <mergeCell ref="AY130:AY131"/>
    <mergeCell ref="AZ130:AZ131"/>
    <mergeCell ref="BA130:BA131"/>
    <mergeCell ref="BC130:BC131"/>
    <mergeCell ref="BD130:BD131"/>
    <mergeCell ref="BF130:BF131"/>
    <mergeCell ref="F132:G132"/>
    <mergeCell ref="H132:I132"/>
    <mergeCell ref="J132:K132"/>
    <mergeCell ref="L132:M132"/>
    <mergeCell ref="AN132:AO132"/>
    <mergeCell ref="F133:G133"/>
    <mergeCell ref="X136:AL136"/>
    <mergeCell ref="AQ136:AV136"/>
    <mergeCell ref="AX136:BA136"/>
    <mergeCell ref="B137:B138"/>
    <mergeCell ref="C137:C138"/>
    <mergeCell ref="D137:D138"/>
    <mergeCell ref="F137:G137"/>
    <mergeCell ref="H137:I137"/>
    <mergeCell ref="J137:K137"/>
    <mergeCell ref="L137:M137"/>
    <mergeCell ref="N137:N138"/>
    <mergeCell ref="O137:O138"/>
    <mergeCell ref="AF137:AF138"/>
    <mergeCell ref="AG137:AG138"/>
    <mergeCell ref="AH137:AH138"/>
    <mergeCell ref="AY63:AY64"/>
    <mergeCell ref="AZ63:AZ64"/>
    <mergeCell ref="BA63:BA64"/>
    <mergeCell ref="BC63:BC64"/>
    <mergeCell ref="BD63:BD64"/>
    <mergeCell ref="BF63:BF64"/>
    <mergeCell ref="F65:G65"/>
    <mergeCell ref="H65:I65"/>
    <mergeCell ref="J65:K65"/>
    <mergeCell ref="L65:M65"/>
    <mergeCell ref="AN65:AO65"/>
    <mergeCell ref="F66:G66"/>
    <mergeCell ref="X129:AL129"/>
    <mergeCell ref="AQ129:AV129"/>
    <mergeCell ref="AX129:BA129"/>
    <mergeCell ref="B130:B131"/>
    <mergeCell ref="C130:C131"/>
    <mergeCell ref="D130:D131"/>
    <mergeCell ref="F130:G130"/>
    <mergeCell ref="H130:I130"/>
    <mergeCell ref="J130:K130"/>
    <mergeCell ref="L130:M130"/>
    <mergeCell ref="N130:N131"/>
    <mergeCell ref="O130:O131"/>
    <mergeCell ref="AF130:AF131"/>
    <mergeCell ref="AG130:AG131"/>
    <mergeCell ref="AH130:AH131"/>
    <mergeCell ref="AI130:AI131"/>
    <mergeCell ref="AJ130:AJ131"/>
    <mergeCell ref="L63:M63"/>
    <mergeCell ref="N63:N64"/>
    <mergeCell ref="AF63:AF64"/>
    <mergeCell ref="AG63:AG64"/>
    <mergeCell ref="AH63:AH64"/>
    <mergeCell ref="AI63:AI64"/>
    <mergeCell ref="AJ63:AJ64"/>
    <mergeCell ref="AK63:AK64"/>
    <mergeCell ref="AL63:AL64"/>
    <mergeCell ref="AM63:AM64"/>
    <mergeCell ref="AQ63:AQ64"/>
    <mergeCell ref="AR63:AR64"/>
    <mergeCell ref="AS63:AS64"/>
    <mergeCell ref="AT63:AT64"/>
    <mergeCell ref="AU63:AU64"/>
    <mergeCell ref="AV63:AV64"/>
    <mergeCell ref="AX63:AX64"/>
    <mergeCell ref="BF12:BF13"/>
    <mergeCell ref="F14:G14"/>
    <mergeCell ref="H14:I14"/>
    <mergeCell ref="J14:K14"/>
    <mergeCell ref="L14:M14"/>
    <mergeCell ref="AN14:AO14"/>
    <mergeCell ref="F15:G15"/>
    <mergeCell ref="H12:I12"/>
    <mergeCell ref="J12:K12"/>
    <mergeCell ref="L12:M12"/>
    <mergeCell ref="N12:N13"/>
    <mergeCell ref="AF12:AF13"/>
    <mergeCell ref="AG12:AG13"/>
    <mergeCell ref="AH12:AH13"/>
    <mergeCell ref="AI12:AI13"/>
    <mergeCell ref="AJ12:AJ13"/>
    <mergeCell ref="AK12:AK13"/>
    <mergeCell ref="AL12:AL13"/>
    <mergeCell ref="AM12:AM13"/>
    <mergeCell ref="AQ12:AQ13"/>
    <mergeCell ref="AR12:AR13"/>
    <mergeCell ref="AS12:AS13"/>
    <mergeCell ref="AT12:AT13"/>
    <mergeCell ref="AU12:AU13"/>
    <mergeCell ref="AV12:AV13"/>
    <mergeCell ref="AX12:AX13"/>
    <mergeCell ref="AY12:AY13"/>
    <mergeCell ref="AZ12:AZ13"/>
    <mergeCell ref="BA12:BA13"/>
    <mergeCell ref="AZ112:AZ113"/>
    <mergeCell ref="BA112:BA113"/>
    <mergeCell ref="BC112:BC113"/>
    <mergeCell ref="BD112:BD113"/>
    <mergeCell ref="BF112:BF113"/>
    <mergeCell ref="F114:G114"/>
    <mergeCell ref="H114:I114"/>
    <mergeCell ref="J114:K114"/>
    <mergeCell ref="L114:M114"/>
    <mergeCell ref="AN114:AO114"/>
    <mergeCell ref="F115:G115"/>
    <mergeCell ref="X111:AL111"/>
    <mergeCell ref="AQ111:AV111"/>
    <mergeCell ref="AX111:BA111"/>
    <mergeCell ref="B112:B113"/>
    <mergeCell ref="C112:C113"/>
    <mergeCell ref="D112:D113"/>
    <mergeCell ref="F112:G112"/>
    <mergeCell ref="H112:I112"/>
    <mergeCell ref="J112:K112"/>
    <mergeCell ref="L112:M112"/>
    <mergeCell ref="N112:N113"/>
    <mergeCell ref="O112:O113"/>
    <mergeCell ref="AF112:AF113"/>
    <mergeCell ref="AG112:AG113"/>
    <mergeCell ref="AH112:AH113"/>
    <mergeCell ref="AI112:AI113"/>
    <mergeCell ref="AJ112:AJ113"/>
    <mergeCell ref="AK112:AK113"/>
    <mergeCell ref="AL112:AL113"/>
    <mergeCell ref="AM112:AM113"/>
    <mergeCell ref="AQ112:AQ113"/>
    <mergeCell ref="AR112:AR113"/>
    <mergeCell ref="AS112:AS113"/>
    <mergeCell ref="AT112:AT113"/>
    <mergeCell ref="AU112:AU113"/>
    <mergeCell ref="AV112:AV113"/>
    <mergeCell ref="AX112:AX113"/>
    <mergeCell ref="AY112:AY113"/>
    <mergeCell ref="A1:C1"/>
    <mergeCell ref="G2:U3"/>
    <mergeCell ref="A3:E3"/>
    <mergeCell ref="Z3:AE3"/>
    <mergeCell ref="D4:O4"/>
    <mergeCell ref="O12:O13"/>
    <mergeCell ref="O63:O64"/>
    <mergeCell ref="X62:AL62"/>
    <mergeCell ref="AQ62:AV62"/>
    <mergeCell ref="AX62:BA62"/>
    <mergeCell ref="B63:B64"/>
    <mergeCell ref="C63:C64"/>
    <mergeCell ref="D63:D64"/>
    <mergeCell ref="F63:G63"/>
    <mergeCell ref="H63:I63"/>
    <mergeCell ref="J63:K63"/>
    <mergeCell ref="V12:V13"/>
    <mergeCell ref="N19:N20"/>
    <mergeCell ref="X18:AL18"/>
    <mergeCell ref="AQ18:AV18"/>
    <mergeCell ref="AX18:BA18"/>
    <mergeCell ref="B19:B20"/>
    <mergeCell ref="C19:C20"/>
    <mergeCell ref="D19:D20"/>
    <mergeCell ref="BA19:BA20"/>
    <mergeCell ref="X11:AL11"/>
    <mergeCell ref="AQ11:AV11"/>
    <mergeCell ref="AX11:BA11"/>
    <mergeCell ref="B12:B13"/>
    <mergeCell ref="C12:C13"/>
    <mergeCell ref="D12:D13"/>
    <mergeCell ref="F12:G12"/>
    <mergeCell ref="B18:M18"/>
    <mergeCell ref="AX25:BA25"/>
    <mergeCell ref="B26:B27"/>
    <mergeCell ref="C26:C27"/>
    <mergeCell ref="D26:D27"/>
    <mergeCell ref="F22:G22"/>
    <mergeCell ref="BC12:BC13"/>
    <mergeCell ref="BD12:BD13"/>
    <mergeCell ref="BC19:BC20"/>
    <mergeCell ref="BD19:BD20"/>
    <mergeCell ref="BF19:BF20"/>
    <mergeCell ref="F21:G21"/>
    <mergeCell ref="H21:I21"/>
    <mergeCell ref="J21:K21"/>
    <mergeCell ref="L21:M21"/>
    <mergeCell ref="AN21:AO21"/>
    <mergeCell ref="AT19:AT20"/>
    <mergeCell ref="AU19:AU20"/>
    <mergeCell ref="AV19:AV20"/>
    <mergeCell ref="AX19:AX20"/>
    <mergeCell ref="AY19:AY20"/>
    <mergeCell ref="AZ19:AZ20"/>
    <mergeCell ref="AK19:AK20"/>
    <mergeCell ref="AL19:AL20"/>
    <mergeCell ref="AM19:AM20"/>
    <mergeCell ref="AQ19:AQ20"/>
    <mergeCell ref="AR19:AR20"/>
    <mergeCell ref="AS19:AS20"/>
    <mergeCell ref="O19:O20"/>
    <mergeCell ref="AF19:AF20"/>
    <mergeCell ref="AG19:AG20"/>
    <mergeCell ref="AS26:AS27"/>
    <mergeCell ref="O26:O27"/>
    <mergeCell ref="AF26:AF27"/>
    <mergeCell ref="AG26:AG27"/>
    <mergeCell ref="AH26:AH27"/>
    <mergeCell ref="AI26:AI27"/>
    <mergeCell ref="L19:M19"/>
    <mergeCell ref="AJ26:AJ27"/>
    <mergeCell ref="F26:G26"/>
    <mergeCell ref="H26:I26"/>
    <mergeCell ref="J26:K26"/>
    <mergeCell ref="L26:M26"/>
    <mergeCell ref="N26:N27"/>
    <mergeCell ref="X25:AL25"/>
    <mergeCell ref="AQ25:AV25"/>
    <mergeCell ref="AH19:AH20"/>
    <mergeCell ref="AI19:AI20"/>
    <mergeCell ref="AJ19:AJ20"/>
    <mergeCell ref="F19:G19"/>
    <mergeCell ref="H19:I19"/>
    <mergeCell ref="J19:K19"/>
    <mergeCell ref="B25:M25"/>
    <mergeCell ref="N36:N37"/>
    <mergeCell ref="F29:G29"/>
    <mergeCell ref="X35:AL35"/>
    <mergeCell ref="AQ35:AV35"/>
    <mergeCell ref="AX35:BA35"/>
    <mergeCell ref="B36:B37"/>
    <mergeCell ref="C36:C37"/>
    <mergeCell ref="D36:D37"/>
    <mergeCell ref="BA26:BA27"/>
    <mergeCell ref="BC26:BC27"/>
    <mergeCell ref="BD26:BD27"/>
    <mergeCell ref="BF26:BF27"/>
    <mergeCell ref="F28:G28"/>
    <mergeCell ref="H28:I28"/>
    <mergeCell ref="J28:K28"/>
    <mergeCell ref="L28:M28"/>
    <mergeCell ref="AN28:AO28"/>
    <mergeCell ref="AT26:AT27"/>
    <mergeCell ref="AU26:AU27"/>
    <mergeCell ref="AV26:AV27"/>
    <mergeCell ref="AX26:AX27"/>
    <mergeCell ref="AY26:AY27"/>
    <mergeCell ref="AZ26:AZ27"/>
    <mergeCell ref="AK26:AK27"/>
    <mergeCell ref="AL26:AL27"/>
    <mergeCell ref="AM26:AM27"/>
    <mergeCell ref="AQ26:AQ27"/>
    <mergeCell ref="AR26:AR27"/>
    <mergeCell ref="BA36:BA37"/>
    <mergeCell ref="BC36:BC37"/>
    <mergeCell ref="BD36:BD37"/>
    <mergeCell ref="BF36:BF37"/>
    <mergeCell ref="F38:G38"/>
    <mergeCell ref="H38:I38"/>
    <mergeCell ref="J38:K38"/>
    <mergeCell ref="L38:M38"/>
    <mergeCell ref="AN38:AO38"/>
    <mergeCell ref="AT36:AT37"/>
    <mergeCell ref="AU36:AU37"/>
    <mergeCell ref="AV36:AV37"/>
    <mergeCell ref="AX36:AX37"/>
    <mergeCell ref="AY36:AY37"/>
    <mergeCell ref="AZ36:AZ37"/>
    <mergeCell ref="AK36:AK37"/>
    <mergeCell ref="AL36:AL37"/>
    <mergeCell ref="AM36:AM37"/>
    <mergeCell ref="AQ36:AQ37"/>
    <mergeCell ref="AR36:AR37"/>
    <mergeCell ref="AS36:AS37"/>
    <mergeCell ref="O36:O37"/>
    <mergeCell ref="AF36:AF37"/>
    <mergeCell ref="AG36:AG37"/>
    <mergeCell ref="AH36:AH37"/>
    <mergeCell ref="AI36:AI37"/>
    <mergeCell ref="AJ36:AJ37"/>
    <mergeCell ref="F36:G36"/>
    <mergeCell ref="H36:I36"/>
    <mergeCell ref="J36:K36"/>
    <mergeCell ref="L36:M36"/>
    <mergeCell ref="AG46:AG47"/>
    <mergeCell ref="AH46:AH47"/>
    <mergeCell ref="AI46:AI47"/>
    <mergeCell ref="AJ46:AJ47"/>
    <mergeCell ref="F46:G46"/>
    <mergeCell ref="H46:I46"/>
    <mergeCell ref="J46:K46"/>
    <mergeCell ref="L46:M46"/>
    <mergeCell ref="N46:N47"/>
    <mergeCell ref="F39:G39"/>
    <mergeCell ref="X45:AL45"/>
    <mergeCell ref="AQ45:AV45"/>
    <mergeCell ref="AX45:BA45"/>
    <mergeCell ref="B46:B47"/>
    <mergeCell ref="C46:C47"/>
    <mergeCell ref="D46:D47"/>
    <mergeCell ref="X52:AL52"/>
    <mergeCell ref="AQ52:AV52"/>
    <mergeCell ref="AX52:BA52"/>
    <mergeCell ref="B53:B54"/>
    <mergeCell ref="C53:C54"/>
    <mergeCell ref="D53:D54"/>
    <mergeCell ref="BA46:BA47"/>
    <mergeCell ref="BC46:BC47"/>
    <mergeCell ref="BD46:BD47"/>
    <mergeCell ref="BF46:BF47"/>
    <mergeCell ref="F48:G48"/>
    <mergeCell ref="H48:I48"/>
    <mergeCell ref="J48:K48"/>
    <mergeCell ref="L48:M48"/>
    <mergeCell ref="AN48:AO48"/>
    <mergeCell ref="AT46:AT47"/>
    <mergeCell ref="AU46:AU47"/>
    <mergeCell ref="AV46:AV47"/>
    <mergeCell ref="AX46:AX47"/>
    <mergeCell ref="AY46:AY47"/>
    <mergeCell ref="AZ46:AZ47"/>
    <mergeCell ref="AK46:AK47"/>
    <mergeCell ref="AL46:AL47"/>
    <mergeCell ref="AM46:AM47"/>
    <mergeCell ref="AQ46:AQ47"/>
    <mergeCell ref="AR46:AR47"/>
    <mergeCell ref="AS46:AS47"/>
    <mergeCell ref="O46:O47"/>
    <mergeCell ref="AF46:AF47"/>
    <mergeCell ref="BA53:BA54"/>
    <mergeCell ref="BC53:BC54"/>
    <mergeCell ref="BD53:BD54"/>
    <mergeCell ref="BF53:BF54"/>
    <mergeCell ref="F55:G55"/>
    <mergeCell ref="H55:I55"/>
    <mergeCell ref="J55:K55"/>
    <mergeCell ref="L55:M55"/>
    <mergeCell ref="AN55:AO55"/>
    <mergeCell ref="AT53:AT54"/>
    <mergeCell ref="AU53:AU54"/>
    <mergeCell ref="AV53:AV54"/>
    <mergeCell ref="AX53:AX54"/>
    <mergeCell ref="AY53:AY54"/>
    <mergeCell ref="AZ53:AZ54"/>
    <mergeCell ref="AK53:AK54"/>
    <mergeCell ref="AL53:AL54"/>
    <mergeCell ref="AM53:AM54"/>
    <mergeCell ref="AQ53:AQ54"/>
    <mergeCell ref="AR53:AR54"/>
    <mergeCell ref="AS53:AS54"/>
    <mergeCell ref="O53:O54"/>
    <mergeCell ref="AF53:AF54"/>
    <mergeCell ref="AG53:AG54"/>
    <mergeCell ref="AH53:AH54"/>
    <mergeCell ref="AI53:AI54"/>
    <mergeCell ref="AJ53:AJ54"/>
    <mergeCell ref="F53:G53"/>
    <mergeCell ref="H53:I53"/>
    <mergeCell ref="J53:K53"/>
    <mergeCell ref="L53:M53"/>
    <mergeCell ref="AF88:AF89"/>
    <mergeCell ref="AG88:AG89"/>
    <mergeCell ref="AH88:AH89"/>
    <mergeCell ref="AI88:AI89"/>
    <mergeCell ref="AJ88:AJ89"/>
    <mergeCell ref="F88:G88"/>
    <mergeCell ref="H88:I88"/>
    <mergeCell ref="J88:K88"/>
    <mergeCell ref="L88:M88"/>
    <mergeCell ref="N88:N89"/>
    <mergeCell ref="X87:AL87"/>
    <mergeCell ref="AQ87:AV87"/>
    <mergeCell ref="AX87:BA87"/>
    <mergeCell ref="B88:B89"/>
    <mergeCell ref="C88:C89"/>
    <mergeCell ref="D88:D89"/>
    <mergeCell ref="B87:M87"/>
    <mergeCell ref="X94:AL94"/>
    <mergeCell ref="AQ94:AV94"/>
    <mergeCell ref="AX94:BA94"/>
    <mergeCell ref="B95:B96"/>
    <mergeCell ref="C95:C96"/>
    <mergeCell ref="D95:D96"/>
    <mergeCell ref="BA88:BA89"/>
    <mergeCell ref="BC88:BC89"/>
    <mergeCell ref="BD88:BD89"/>
    <mergeCell ref="BF88:BF89"/>
    <mergeCell ref="F90:G90"/>
    <mergeCell ref="H90:I90"/>
    <mergeCell ref="J90:K90"/>
    <mergeCell ref="L90:M90"/>
    <mergeCell ref="AN90:AO90"/>
    <mergeCell ref="AT88:AT89"/>
    <mergeCell ref="AU88:AU89"/>
    <mergeCell ref="AV88:AV89"/>
    <mergeCell ref="AX88:AX89"/>
    <mergeCell ref="AY88:AY89"/>
    <mergeCell ref="AZ88:AZ89"/>
    <mergeCell ref="AK88:AK89"/>
    <mergeCell ref="AL88:AL89"/>
    <mergeCell ref="AM88:AM89"/>
    <mergeCell ref="AQ88:AQ89"/>
    <mergeCell ref="AR88:AR89"/>
    <mergeCell ref="AS88:AS89"/>
    <mergeCell ref="O88:O89"/>
    <mergeCell ref="AX121:BA121"/>
    <mergeCell ref="B122:B123"/>
    <mergeCell ref="C122:C123"/>
    <mergeCell ref="D122:D123"/>
    <mergeCell ref="F98:G98"/>
    <mergeCell ref="AS102:AS103"/>
    <mergeCell ref="X101:AL101"/>
    <mergeCell ref="AQ101:AV101"/>
    <mergeCell ref="BA95:BA96"/>
    <mergeCell ref="BC95:BC96"/>
    <mergeCell ref="BD95:BD96"/>
    <mergeCell ref="BF95:BF96"/>
    <mergeCell ref="F97:G97"/>
    <mergeCell ref="H97:I97"/>
    <mergeCell ref="J97:K97"/>
    <mergeCell ref="L97:M97"/>
    <mergeCell ref="AN97:AO97"/>
    <mergeCell ref="AT95:AT96"/>
    <mergeCell ref="AU95:AU96"/>
    <mergeCell ref="AV95:AV96"/>
    <mergeCell ref="AX95:AX96"/>
    <mergeCell ref="AY95:AY96"/>
    <mergeCell ref="AZ95:AZ96"/>
    <mergeCell ref="AK95:AK96"/>
    <mergeCell ref="AL95:AL96"/>
    <mergeCell ref="AM95:AM96"/>
    <mergeCell ref="AQ95:AQ96"/>
    <mergeCell ref="AR95:AR96"/>
    <mergeCell ref="AS95:AS96"/>
    <mergeCell ref="AR122:AR123"/>
    <mergeCell ref="AS122:AS123"/>
    <mergeCell ref="O122:O123"/>
    <mergeCell ref="AF122:AF123"/>
    <mergeCell ref="AG122:AG123"/>
    <mergeCell ref="AH122:AH123"/>
    <mergeCell ref="AI122:AI123"/>
    <mergeCell ref="AJ122:AJ123"/>
    <mergeCell ref="F122:G122"/>
    <mergeCell ref="H122:I122"/>
    <mergeCell ref="J122:K122"/>
    <mergeCell ref="L122:M122"/>
    <mergeCell ref="N122:N123"/>
    <mergeCell ref="X121:AL121"/>
    <mergeCell ref="AQ121:AV121"/>
    <mergeCell ref="P122:Q122"/>
    <mergeCell ref="R122:S122"/>
    <mergeCell ref="T122:U122"/>
    <mergeCell ref="AK130:AK131"/>
    <mergeCell ref="AL130:AL131"/>
    <mergeCell ref="AM130:AM131"/>
    <mergeCell ref="AQ130:AQ131"/>
    <mergeCell ref="AR130:AR131"/>
    <mergeCell ref="AS130:AS131"/>
    <mergeCell ref="AT130:AT131"/>
    <mergeCell ref="AU130:AU131"/>
    <mergeCell ref="AV130:AV131"/>
    <mergeCell ref="F125:G125"/>
    <mergeCell ref="BA122:BA123"/>
    <mergeCell ref="BC122:BC123"/>
    <mergeCell ref="BD122:BD123"/>
    <mergeCell ref="BF122:BF123"/>
    <mergeCell ref="F124:G124"/>
    <mergeCell ref="H124:I124"/>
    <mergeCell ref="J124:K124"/>
    <mergeCell ref="L124:M124"/>
    <mergeCell ref="AN124:AO124"/>
    <mergeCell ref="AT122:AT123"/>
    <mergeCell ref="AU122:AU123"/>
    <mergeCell ref="AV122:AV123"/>
    <mergeCell ref="AX122:AX123"/>
    <mergeCell ref="AY122:AY123"/>
    <mergeCell ref="AZ122:AZ123"/>
    <mergeCell ref="AK122:AK123"/>
    <mergeCell ref="AL122:AL123"/>
    <mergeCell ref="AM122:AM123"/>
    <mergeCell ref="AQ122:AQ123"/>
    <mergeCell ref="P153:Q153"/>
    <mergeCell ref="R153:S153"/>
    <mergeCell ref="T153:U153"/>
    <mergeCell ref="P154:U154"/>
    <mergeCell ref="N158:O158"/>
    <mergeCell ref="P158:V158"/>
    <mergeCell ref="P159:Q159"/>
    <mergeCell ref="R159:S159"/>
    <mergeCell ref="T159:U159"/>
    <mergeCell ref="P161:Q161"/>
    <mergeCell ref="R161:S161"/>
    <mergeCell ref="T161:U161"/>
    <mergeCell ref="AI159:AI160"/>
    <mergeCell ref="AJ159:AJ160"/>
    <mergeCell ref="F159:G159"/>
    <mergeCell ref="H159:I159"/>
    <mergeCell ref="J159:K159"/>
    <mergeCell ref="L159:M159"/>
    <mergeCell ref="N159:N160"/>
    <mergeCell ref="X158:AL158"/>
    <mergeCell ref="AQ158:AV158"/>
    <mergeCell ref="AX158:BA158"/>
    <mergeCell ref="B159:B160"/>
    <mergeCell ref="C159:C160"/>
    <mergeCell ref="D159:D160"/>
    <mergeCell ref="B158:M158"/>
    <mergeCell ref="AX165:BA165"/>
    <mergeCell ref="B166:B167"/>
    <mergeCell ref="C166:C167"/>
    <mergeCell ref="D166:D167"/>
    <mergeCell ref="BA166:BA167"/>
    <mergeCell ref="BA159:BA160"/>
    <mergeCell ref="BC159:BC160"/>
    <mergeCell ref="BD159:BD160"/>
    <mergeCell ref="BF159:BF160"/>
    <mergeCell ref="F161:G161"/>
    <mergeCell ref="H161:I161"/>
    <mergeCell ref="J161:K161"/>
    <mergeCell ref="L161:M161"/>
    <mergeCell ref="AN161:AO161"/>
    <mergeCell ref="AT159:AT160"/>
    <mergeCell ref="AU159:AU160"/>
    <mergeCell ref="AV159:AV160"/>
    <mergeCell ref="AX159:AX160"/>
    <mergeCell ref="AY159:AY160"/>
    <mergeCell ref="AZ159:AZ160"/>
    <mergeCell ref="AK159:AK160"/>
    <mergeCell ref="AL159:AL160"/>
    <mergeCell ref="AM159:AM160"/>
    <mergeCell ref="AQ159:AQ160"/>
    <mergeCell ref="AR159:AR160"/>
    <mergeCell ref="AS159:AS160"/>
    <mergeCell ref="O159:O160"/>
    <mergeCell ref="AF159:AF160"/>
    <mergeCell ref="AG159:AG160"/>
    <mergeCell ref="AH159:AH160"/>
    <mergeCell ref="O166:O167"/>
    <mergeCell ref="AF166:AF167"/>
    <mergeCell ref="AG166:AG167"/>
    <mergeCell ref="AH166:AH167"/>
    <mergeCell ref="AI166:AI167"/>
    <mergeCell ref="AJ166:AJ167"/>
    <mergeCell ref="F166:G166"/>
    <mergeCell ref="H166:I166"/>
    <mergeCell ref="J166:K166"/>
    <mergeCell ref="L166:M166"/>
    <mergeCell ref="N166:N167"/>
    <mergeCell ref="F162:G162"/>
    <mergeCell ref="X165:AL165"/>
    <mergeCell ref="AQ165:AV165"/>
    <mergeCell ref="B165:M165"/>
    <mergeCell ref="P162:U162"/>
    <mergeCell ref="N165:O165"/>
    <mergeCell ref="P165:V165"/>
    <mergeCell ref="P166:Q166"/>
    <mergeCell ref="R166:S166"/>
    <mergeCell ref="T166:U166"/>
    <mergeCell ref="N173:N174"/>
    <mergeCell ref="F169:G169"/>
    <mergeCell ref="BC166:BC167"/>
    <mergeCell ref="BD166:BD167"/>
    <mergeCell ref="BF166:BF167"/>
    <mergeCell ref="F168:G168"/>
    <mergeCell ref="H168:I168"/>
    <mergeCell ref="J168:K168"/>
    <mergeCell ref="L168:M168"/>
    <mergeCell ref="AN168:AO168"/>
    <mergeCell ref="AT166:AT167"/>
    <mergeCell ref="AU166:AU167"/>
    <mergeCell ref="AV166:AV167"/>
    <mergeCell ref="AX166:AX167"/>
    <mergeCell ref="AY166:AY167"/>
    <mergeCell ref="AZ166:AZ167"/>
    <mergeCell ref="AK166:AK167"/>
    <mergeCell ref="AL166:AL167"/>
    <mergeCell ref="AM166:AM167"/>
    <mergeCell ref="AQ166:AQ167"/>
    <mergeCell ref="AR166:AR167"/>
    <mergeCell ref="AS166:AS167"/>
    <mergeCell ref="AX172:BA172"/>
    <mergeCell ref="B173:B174"/>
    <mergeCell ref="C173:C174"/>
    <mergeCell ref="D173:D174"/>
    <mergeCell ref="O173:O174"/>
    <mergeCell ref="BA173:BA174"/>
    <mergeCell ref="BC173:BC174"/>
    <mergeCell ref="BD173:BD174"/>
    <mergeCell ref="BF173:BF174"/>
    <mergeCell ref="F175:G175"/>
    <mergeCell ref="H175:I175"/>
    <mergeCell ref="J175:K175"/>
    <mergeCell ref="L175:M175"/>
    <mergeCell ref="AN175:AO175"/>
    <mergeCell ref="AT173:AT174"/>
    <mergeCell ref="AU173:AU174"/>
    <mergeCell ref="AV173:AV174"/>
    <mergeCell ref="AX173:AX174"/>
    <mergeCell ref="AY173:AY174"/>
    <mergeCell ref="AZ173:AZ174"/>
    <mergeCell ref="AK173:AK174"/>
    <mergeCell ref="AL173:AL174"/>
    <mergeCell ref="AM173:AM174"/>
    <mergeCell ref="AQ173:AQ174"/>
    <mergeCell ref="AR173:AR174"/>
    <mergeCell ref="AS173:AS174"/>
    <mergeCell ref="AF173:AF174"/>
    <mergeCell ref="AG173:AG174"/>
    <mergeCell ref="AH173:AH174"/>
    <mergeCell ref="AI173:AI174"/>
    <mergeCell ref="AJ173:AJ174"/>
    <mergeCell ref="F173:G173"/>
    <mergeCell ref="H173:I173"/>
    <mergeCell ref="J173:K173"/>
    <mergeCell ref="L173:M173"/>
    <mergeCell ref="AQ184:AV184"/>
    <mergeCell ref="AX184:BA184"/>
    <mergeCell ref="B185:B186"/>
    <mergeCell ref="C185:C186"/>
    <mergeCell ref="D185:D186"/>
    <mergeCell ref="AM178:AM179"/>
    <mergeCell ref="AQ178:AQ179"/>
    <mergeCell ref="AR178:AR179"/>
    <mergeCell ref="AS178:AS179"/>
    <mergeCell ref="AT178:AT179"/>
    <mergeCell ref="AU178:AU179"/>
    <mergeCell ref="AV178:AV179"/>
    <mergeCell ref="AX178:AX179"/>
    <mergeCell ref="AY178:AY179"/>
    <mergeCell ref="AZ178:AZ179"/>
    <mergeCell ref="BA178:BA179"/>
    <mergeCell ref="AI178:AI179"/>
    <mergeCell ref="AJ178:AJ179"/>
    <mergeCell ref="AK178:AK179"/>
    <mergeCell ref="AL178:AL179"/>
    <mergeCell ref="F180:G180"/>
    <mergeCell ref="H180:I180"/>
    <mergeCell ref="J180:K180"/>
    <mergeCell ref="L180:M180"/>
    <mergeCell ref="AN180:AO180"/>
    <mergeCell ref="F181:G181"/>
    <mergeCell ref="AJ185:AJ186"/>
    <mergeCell ref="F185:G185"/>
    <mergeCell ref="H185:I185"/>
    <mergeCell ref="J185:K185"/>
    <mergeCell ref="BA185:BA186"/>
    <mergeCell ref="BC185:BC186"/>
    <mergeCell ref="BD185:BD186"/>
    <mergeCell ref="BF185:BF186"/>
    <mergeCell ref="F187:G187"/>
    <mergeCell ref="H187:I187"/>
    <mergeCell ref="J187:K187"/>
    <mergeCell ref="L187:M187"/>
    <mergeCell ref="AN187:AO187"/>
    <mergeCell ref="AT185:AT186"/>
    <mergeCell ref="AU185:AU186"/>
    <mergeCell ref="AV185:AV186"/>
    <mergeCell ref="AX185:AX186"/>
    <mergeCell ref="AY185:AY186"/>
    <mergeCell ref="AZ185:AZ186"/>
    <mergeCell ref="AK185:AK186"/>
    <mergeCell ref="AL185:AL186"/>
    <mergeCell ref="AM185:AM186"/>
    <mergeCell ref="AQ185:AQ186"/>
    <mergeCell ref="AR185:AR186"/>
    <mergeCell ref="AS185:AS186"/>
    <mergeCell ref="O185:O186"/>
    <mergeCell ref="AF185:AF186"/>
    <mergeCell ref="AG185:AG186"/>
    <mergeCell ref="AH185:AH186"/>
    <mergeCell ref="AI185:AI186"/>
    <mergeCell ref="L185:M185"/>
    <mergeCell ref="N185:N186"/>
    <mergeCell ref="AX73:BA73"/>
    <mergeCell ref="B74:B75"/>
    <mergeCell ref="C74:C75"/>
    <mergeCell ref="D74:D75"/>
    <mergeCell ref="BA192:BA193"/>
    <mergeCell ref="BC192:BC193"/>
    <mergeCell ref="BD192:BD193"/>
    <mergeCell ref="BF192:BF193"/>
    <mergeCell ref="F194:G194"/>
    <mergeCell ref="H194:I194"/>
    <mergeCell ref="J194:K194"/>
    <mergeCell ref="L194:M194"/>
    <mergeCell ref="AN194:AO194"/>
    <mergeCell ref="AT192:AT193"/>
    <mergeCell ref="AU192:AU193"/>
    <mergeCell ref="AV192:AV193"/>
    <mergeCell ref="AX192:AX193"/>
    <mergeCell ref="AY192:AY193"/>
    <mergeCell ref="AZ192:AZ193"/>
    <mergeCell ref="AK192:AK193"/>
    <mergeCell ref="AL192:AL193"/>
    <mergeCell ref="AM192:AM193"/>
    <mergeCell ref="AQ192:AQ193"/>
    <mergeCell ref="AR192:AR193"/>
    <mergeCell ref="AS192:AS193"/>
    <mergeCell ref="O192:O193"/>
    <mergeCell ref="AF192:AF193"/>
    <mergeCell ref="AG192:AG193"/>
    <mergeCell ref="AH192:AH193"/>
    <mergeCell ref="AI192:AI193"/>
    <mergeCell ref="F195:G195"/>
    <mergeCell ref="X73:AL73"/>
    <mergeCell ref="AQ73:AV73"/>
    <mergeCell ref="AJ192:AJ193"/>
    <mergeCell ref="F192:G192"/>
    <mergeCell ref="H192:I192"/>
    <mergeCell ref="J192:K192"/>
    <mergeCell ref="L192:M192"/>
    <mergeCell ref="N192:N193"/>
    <mergeCell ref="F188:G188"/>
    <mergeCell ref="X191:AL191"/>
    <mergeCell ref="AQ191:AV191"/>
    <mergeCell ref="B192:B193"/>
    <mergeCell ref="C192:C193"/>
    <mergeCell ref="D192:D193"/>
    <mergeCell ref="X172:AL172"/>
    <mergeCell ref="AQ172:AV172"/>
    <mergeCell ref="F176:G176"/>
    <mergeCell ref="X184:AL184"/>
    <mergeCell ref="BA74:BA75"/>
    <mergeCell ref="BC74:BC75"/>
    <mergeCell ref="BD74:BD75"/>
    <mergeCell ref="BF74:BF75"/>
    <mergeCell ref="F76:G76"/>
    <mergeCell ref="H76:I76"/>
    <mergeCell ref="J76:K76"/>
    <mergeCell ref="L76:M76"/>
    <mergeCell ref="AN76:AO76"/>
    <mergeCell ref="AT74:AT75"/>
    <mergeCell ref="AU74:AU75"/>
    <mergeCell ref="AV74:AV75"/>
    <mergeCell ref="AX74:AX75"/>
    <mergeCell ref="AY74:AY75"/>
    <mergeCell ref="AZ74:AZ75"/>
    <mergeCell ref="AK74:AK75"/>
    <mergeCell ref="AL74:AL75"/>
    <mergeCell ref="AM74:AM75"/>
    <mergeCell ref="AQ74:AQ75"/>
    <mergeCell ref="AR74:AR75"/>
    <mergeCell ref="AS74:AS75"/>
    <mergeCell ref="O74:O75"/>
    <mergeCell ref="AF74:AF75"/>
    <mergeCell ref="AG74:AG75"/>
    <mergeCell ref="AH74:AH75"/>
    <mergeCell ref="AI74:AI75"/>
    <mergeCell ref="AJ74:AJ75"/>
    <mergeCell ref="F74:G74"/>
    <mergeCell ref="H74:I74"/>
    <mergeCell ref="J74:K74"/>
    <mergeCell ref="L74:M74"/>
    <mergeCell ref="BC102:BC103"/>
    <mergeCell ref="AF81:AF82"/>
    <mergeCell ref="AG81:AG82"/>
    <mergeCell ref="AH81:AH82"/>
    <mergeCell ref="AI81:AI82"/>
    <mergeCell ref="AJ81:AJ82"/>
    <mergeCell ref="F81:G81"/>
    <mergeCell ref="H81:I81"/>
    <mergeCell ref="J81:K81"/>
    <mergeCell ref="L81:M81"/>
    <mergeCell ref="N81:N82"/>
    <mergeCell ref="F77:G77"/>
    <mergeCell ref="X80:AL80"/>
    <mergeCell ref="AQ80:AV80"/>
    <mergeCell ref="AX80:BA80"/>
    <mergeCell ref="B81:B82"/>
    <mergeCell ref="C81:C82"/>
    <mergeCell ref="D81:D82"/>
    <mergeCell ref="O95:O96"/>
    <mergeCell ref="AF95:AF96"/>
    <mergeCell ref="AG95:AG96"/>
    <mergeCell ref="AH95:AH96"/>
    <mergeCell ref="AI95:AI96"/>
    <mergeCell ref="AJ95:AJ96"/>
    <mergeCell ref="F95:G95"/>
    <mergeCell ref="H95:I95"/>
    <mergeCell ref="J95:K95"/>
    <mergeCell ref="L95:M95"/>
    <mergeCell ref="AQ102:AQ103"/>
    <mergeCell ref="AR102:AR103"/>
    <mergeCell ref="AT102:AT103"/>
    <mergeCell ref="AU102:AU103"/>
    <mergeCell ref="AV102:AV103"/>
    <mergeCell ref="AX102:AX103"/>
    <mergeCell ref="AY102:AY103"/>
    <mergeCell ref="AZ102:AZ103"/>
    <mergeCell ref="BA102:BA103"/>
    <mergeCell ref="F84:G84"/>
    <mergeCell ref="BA81:BA82"/>
    <mergeCell ref="BC81:BC82"/>
    <mergeCell ref="BD81:BD82"/>
    <mergeCell ref="BF81:BF82"/>
    <mergeCell ref="F83:G83"/>
    <mergeCell ref="H83:I83"/>
    <mergeCell ref="J83:K83"/>
    <mergeCell ref="L83:M83"/>
    <mergeCell ref="AN83:AO83"/>
    <mergeCell ref="AT81:AT82"/>
    <mergeCell ref="AU81:AU82"/>
    <mergeCell ref="AV81:AV82"/>
    <mergeCell ref="AX81:AX82"/>
    <mergeCell ref="AY81:AY82"/>
    <mergeCell ref="AZ81:AZ82"/>
    <mergeCell ref="AK81:AK82"/>
    <mergeCell ref="AL81:AL82"/>
    <mergeCell ref="AM81:AM82"/>
    <mergeCell ref="AQ81:AQ82"/>
    <mergeCell ref="AR81:AR82"/>
    <mergeCell ref="AS81:AS82"/>
    <mergeCell ref="BC178:BC179"/>
    <mergeCell ref="BD178:BD179"/>
    <mergeCell ref="BF178:BF179"/>
    <mergeCell ref="BD102:BD103"/>
    <mergeCell ref="BF102:BF103"/>
    <mergeCell ref="F104:G104"/>
    <mergeCell ref="H104:I104"/>
    <mergeCell ref="J104:K104"/>
    <mergeCell ref="L104:M104"/>
    <mergeCell ref="AN104:AO104"/>
    <mergeCell ref="F105:G105"/>
    <mergeCell ref="AX101:BA101"/>
    <mergeCell ref="B102:B103"/>
    <mergeCell ref="C102:C103"/>
    <mergeCell ref="D102:D103"/>
    <mergeCell ref="F102:G102"/>
    <mergeCell ref="H102:I102"/>
    <mergeCell ref="J102:K102"/>
    <mergeCell ref="L102:M102"/>
    <mergeCell ref="N102:N103"/>
    <mergeCell ref="O102:O103"/>
    <mergeCell ref="AF102:AF103"/>
    <mergeCell ref="AG102:AG103"/>
    <mergeCell ref="AH102:AH103"/>
    <mergeCell ref="AI102:AI103"/>
    <mergeCell ref="AJ102:AJ103"/>
    <mergeCell ref="AK102:AK103"/>
    <mergeCell ref="AL102:AL103"/>
    <mergeCell ref="AM102:AM103"/>
    <mergeCell ref="V74:V75"/>
    <mergeCell ref="V81:V82"/>
    <mergeCell ref="V88:V89"/>
    <mergeCell ref="V102:V103"/>
    <mergeCell ref="V19:V20"/>
    <mergeCell ref="V26:V27"/>
    <mergeCell ref="V36:V37"/>
    <mergeCell ref="V46:V47"/>
    <mergeCell ref="V53:V54"/>
    <mergeCell ref="V63:V64"/>
    <mergeCell ref="O81:O82"/>
    <mergeCell ref="N74:N75"/>
    <mergeCell ref="N95:N96"/>
    <mergeCell ref="F91:G91"/>
    <mergeCell ref="F56:G56"/>
    <mergeCell ref="N53:N54"/>
    <mergeCell ref="F49:G49"/>
  </mergeCells>
  <phoneticPr fontId="3" type="noConversion"/>
  <dataValidations disablePrompts="1" count="1">
    <dataValidation type="list" allowBlank="1" showInputMessage="1" showErrorMessage="1" sqref="C90 C161 C21 C97 C168 C194 C38 C124 C48 C55 C187 C175 C28 C76 C83 C114 C65 C132 C139 C104 C14 C180 C146 C153" xr:uid="{20AB20AD-FC4F-4354-8008-159DDD059FB5}">
      <formula1>카테고리</formula1>
    </dataValidation>
  </dataValidations>
  <pageMargins left="0.7" right="0.7" top="0.75" bottom="0.75" header="0.3" footer="0.3"/>
  <pageSetup paperSize="9" orientation="portrait" r:id="rId1"/>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4A8E1B-A456-49A2-88E4-4452282A7600}">
  <dimension ref="A1:BF200"/>
  <sheetViews>
    <sheetView topLeftCell="A91" zoomScale="85" zoomScaleNormal="85" workbookViewId="0">
      <pane xSplit="1" topLeftCell="B1" activePane="topRight" state="frozen"/>
      <selection activeCell="E44" sqref="E44"/>
      <selection pane="topRight" activeCell="B116" sqref="B116:M116"/>
    </sheetView>
  </sheetViews>
  <sheetFormatPr defaultColWidth="9" defaultRowHeight="16.5" x14ac:dyDescent="0.3"/>
  <cols>
    <col min="1" max="1" width="17.5" style="1" customWidth="1"/>
    <col min="2" max="2" width="7" style="1" bestFit="1" customWidth="1"/>
    <col min="3" max="3" width="8.25" style="1" bestFit="1" customWidth="1"/>
    <col min="4" max="4" width="10.625" style="1" customWidth="1"/>
    <col min="5" max="5" width="10" style="1" bestFit="1" customWidth="1"/>
    <col min="6" max="6" width="6.125" style="1" customWidth="1"/>
    <col min="7" max="7" width="10" style="1" bestFit="1" customWidth="1"/>
    <col min="8" max="8" width="7.25" style="1" bestFit="1" customWidth="1"/>
    <col min="9" max="9" width="8.625" style="1" customWidth="1"/>
    <col min="10" max="10" width="7.25" style="1" bestFit="1" customWidth="1"/>
    <col min="11" max="11" width="10" style="1" bestFit="1" customWidth="1"/>
    <col min="12" max="12" width="5.375" style="1" customWidth="1"/>
    <col min="13" max="13" width="8.625" style="1" customWidth="1"/>
    <col min="14" max="14" width="12.75" style="1" bestFit="1" customWidth="1"/>
    <col min="15" max="15" width="16" style="1" customWidth="1"/>
    <col min="16" max="16" width="5.375" style="1" bestFit="1" customWidth="1"/>
    <col min="17" max="17" width="9.875" style="1" bestFit="1" customWidth="1"/>
    <col min="18" max="18" width="5.375" style="1" bestFit="1" customWidth="1"/>
    <col min="19" max="19" width="7.5" style="1" bestFit="1" customWidth="1"/>
    <col min="20" max="20" width="5.375" style="1" bestFit="1" customWidth="1"/>
    <col min="21" max="21" width="7.5" style="1" bestFit="1" customWidth="1"/>
    <col min="22" max="22" width="15" style="1" bestFit="1" customWidth="1"/>
    <col min="23" max="23" width="2.625" style="1" customWidth="1"/>
    <col min="24" max="24" width="9.375" style="1" bestFit="1" customWidth="1"/>
    <col min="25" max="25" width="10.625" style="1" hidden="1" customWidth="1"/>
    <col min="26" max="26" width="11" style="1" customWidth="1"/>
    <col min="27" max="27" width="12.75" style="1" hidden="1" customWidth="1"/>
    <col min="28" max="28" width="10.625" style="1" hidden="1" customWidth="1"/>
    <col min="29" max="29" width="11.5" style="1" customWidth="1"/>
    <col min="30" max="30" width="12.75" style="1" customWidth="1"/>
    <col min="31" max="31" width="10.625" style="1" customWidth="1"/>
    <col min="32" max="32" width="5.375" style="1" hidden="1" customWidth="1"/>
    <col min="33" max="33" width="8.75" style="1" bestFit="1" customWidth="1"/>
    <col min="34" max="34" width="10.25" style="1" bestFit="1" customWidth="1"/>
    <col min="35" max="35" width="13.375" style="1" customWidth="1"/>
    <col min="36" max="36" width="9.5" style="1" bestFit="1" customWidth="1"/>
    <col min="37" max="37" width="9.625" style="1" customWidth="1"/>
    <col min="38" max="38" width="7.375" style="2" bestFit="1" customWidth="1"/>
    <col min="39" max="39" width="8.25" style="2" bestFit="1" customWidth="1"/>
    <col min="40" max="41" width="6.875" style="2" bestFit="1" customWidth="1"/>
    <col min="42" max="42" width="1.875" style="1" customWidth="1"/>
    <col min="43" max="43" width="9.375" style="1" customWidth="1"/>
    <col min="44" max="44" width="5.875" style="1" customWidth="1"/>
    <col min="45" max="45" width="9.5" style="1" hidden="1" customWidth="1"/>
    <col min="46" max="46" width="6.125" style="1" hidden="1" customWidth="1"/>
    <col min="47" max="47" width="9.875" style="1" bestFit="1" customWidth="1"/>
    <col min="48" max="48" width="7.375" style="1" bestFit="1" customWidth="1"/>
    <col min="49" max="49" width="2.625" style="1" customWidth="1"/>
    <col min="50" max="50" width="16.625" style="1" customWidth="1"/>
    <col min="51" max="51" width="9" style="1"/>
    <col min="52" max="52" width="12" style="1" customWidth="1"/>
    <col min="53" max="53" width="13.375" style="1" customWidth="1"/>
    <col min="54" max="54" width="2.875" style="1" customWidth="1"/>
    <col min="55" max="55" width="38.25" style="1" customWidth="1"/>
    <col min="56" max="56" width="5.375" style="1" bestFit="1" customWidth="1"/>
    <col min="57" max="57" width="1.375" style="1" customWidth="1"/>
    <col min="58" max="58" width="39.125" style="1" customWidth="1"/>
    <col min="59" max="59" width="1.125" style="1" customWidth="1"/>
    <col min="60" max="16384" width="9" style="1"/>
  </cols>
  <sheetData>
    <row r="1" spans="1:58" ht="45.75" customHeight="1" x14ac:dyDescent="0.3">
      <c r="A1" s="145"/>
      <c r="B1" s="145"/>
      <c r="C1" s="145"/>
      <c r="D1" s="44"/>
      <c r="E1" s="44"/>
      <c r="F1" s="44"/>
      <c r="G1" s="45"/>
      <c r="H1" s="45"/>
      <c r="I1" s="45"/>
      <c r="J1" s="45"/>
      <c r="K1" s="45"/>
      <c r="L1" s="45"/>
      <c r="M1" s="45"/>
      <c r="N1" s="45"/>
      <c r="O1" s="45"/>
      <c r="P1" s="45"/>
      <c r="Q1" s="45"/>
      <c r="R1" s="45"/>
      <c r="S1" s="45"/>
      <c r="T1" s="45"/>
      <c r="U1" s="45"/>
      <c r="V1" s="45"/>
      <c r="X1" s="44"/>
      <c r="Y1" s="44"/>
      <c r="Z1" s="44"/>
      <c r="AA1" s="44"/>
      <c r="AB1" s="44"/>
      <c r="AC1" s="44"/>
      <c r="AD1" s="44"/>
      <c r="AE1" s="44"/>
      <c r="AF1" s="44"/>
    </row>
    <row r="2" spans="1:58" ht="45.75" customHeight="1" x14ac:dyDescent="0.3">
      <c r="A2" s="45"/>
      <c r="B2" s="45"/>
      <c r="C2" s="45"/>
      <c r="D2" s="44"/>
      <c r="E2" s="44"/>
      <c r="F2" s="44"/>
      <c r="G2" s="146" t="s">
        <v>131</v>
      </c>
      <c r="H2" s="146"/>
      <c r="I2" s="146"/>
      <c r="J2" s="146"/>
      <c r="K2" s="146"/>
      <c r="L2" s="146"/>
      <c r="M2" s="146"/>
      <c r="N2" s="146"/>
      <c r="O2" s="146"/>
      <c r="P2" s="146"/>
      <c r="Q2" s="146"/>
      <c r="R2" s="146"/>
      <c r="S2" s="146"/>
      <c r="T2" s="146"/>
      <c r="U2" s="146"/>
      <c r="V2" s="104"/>
      <c r="X2" s="44"/>
      <c r="Y2" s="44"/>
      <c r="Z2" s="44"/>
      <c r="AA2" s="44"/>
      <c r="AB2" s="45" t="s">
        <v>120</v>
      </c>
      <c r="AC2" s="44"/>
      <c r="AD2" s="44"/>
      <c r="AE2" s="44"/>
      <c r="AF2" s="44"/>
      <c r="AI2" s="1" t="s">
        <v>119</v>
      </c>
    </row>
    <row r="3" spans="1:58" s="45" customFormat="1" ht="409.5" customHeight="1" x14ac:dyDescent="0.3">
      <c r="A3" s="146" t="s">
        <v>116</v>
      </c>
      <c r="B3" s="146"/>
      <c r="C3" s="146"/>
      <c r="D3" s="146"/>
      <c r="E3" s="146"/>
      <c r="G3" s="146"/>
      <c r="H3" s="146"/>
      <c r="I3" s="146"/>
      <c r="J3" s="146"/>
      <c r="K3" s="146"/>
      <c r="L3" s="146"/>
      <c r="M3" s="146"/>
      <c r="N3" s="146"/>
      <c r="O3" s="146"/>
      <c r="P3" s="146"/>
      <c r="Q3" s="146"/>
      <c r="R3" s="146"/>
      <c r="S3" s="146"/>
      <c r="T3" s="146"/>
      <c r="U3" s="146"/>
      <c r="V3" s="104"/>
      <c r="Y3" s="46"/>
      <c r="Z3" s="146"/>
      <c r="AA3" s="146"/>
      <c r="AB3" s="146"/>
      <c r="AC3" s="146"/>
      <c r="AD3" s="146"/>
      <c r="AE3" s="146"/>
    </row>
    <row r="4" spans="1:58" s="45" customFormat="1" ht="18" customHeight="1" x14ac:dyDescent="0.3">
      <c r="D4" s="147"/>
      <c r="E4" s="147"/>
      <c r="F4" s="147"/>
      <c r="G4" s="147"/>
      <c r="H4" s="147"/>
      <c r="I4" s="147"/>
      <c r="J4" s="147"/>
      <c r="K4" s="147"/>
      <c r="L4" s="147"/>
      <c r="M4" s="147"/>
      <c r="N4" s="147"/>
      <c r="O4" s="147"/>
      <c r="P4" s="103"/>
      <c r="Q4" s="103"/>
      <c r="R4" s="103"/>
      <c r="S4" s="103"/>
      <c r="T4" s="103"/>
      <c r="U4" s="103"/>
      <c r="V4" s="103"/>
    </row>
    <row r="5" spans="1:58" x14ac:dyDescent="0.3">
      <c r="A5" s="43"/>
      <c r="B5" s="43"/>
      <c r="C5" s="43"/>
    </row>
    <row r="6" spans="1:58" x14ac:dyDescent="0.3">
      <c r="W6" s="41"/>
      <c r="AK6" s="41"/>
      <c r="AL6" s="40"/>
      <c r="AM6" s="40"/>
      <c r="AN6" s="40"/>
      <c r="AO6" s="40"/>
    </row>
    <row r="7" spans="1:58" x14ac:dyDescent="0.3">
      <c r="A7" s="43"/>
      <c r="B7" s="43"/>
      <c r="C7" s="43"/>
      <c r="D7" s="5"/>
    </row>
    <row r="8" spans="1:58" x14ac:dyDescent="0.3">
      <c r="A8" s="43"/>
      <c r="B8" s="43"/>
      <c r="C8" s="43"/>
      <c r="D8" s="5"/>
    </row>
    <row r="9" spans="1:58" s="64" customFormat="1" ht="30" customHeight="1" x14ac:dyDescent="0.3">
      <c r="A9" s="61" t="s">
        <v>170</v>
      </c>
      <c r="B9" s="62"/>
      <c r="C9" s="62"/>
      <c r="D9" s="63"/>
      <c r="AL9" s="65"/>
      <c r="AM9" s="65"/>
      <c r="AN9" s="65"/>
      <c r="AO9" s="65"/>
    </row>
    <row r="10" spans="1:58" x14ac:dyDescent="0.3">
      <c r="A10" s="43"/>
      <c r="B10" s="43"/>
      <c r="C10" s="43"/>
      <c r="D10" s="5"/>
    </row>
    <row r="11" spans="1:58" ht="27" customHeight="1" x14ac:dyDescent="0.3">
      <c r="A11" s="153" t="s">
        <v>34</v>
      </c>
      <c r="B11" s="127" t="s">
        <v>130</v>
      </c>
      <c r="C11" s="128"/>
      <c r="D11" s="128"/>
      <c r="E11" s="128"/>
      <c r="F11" s="128"/>
      <c r="G11" s="128"/>
      <c r="H11" s="128"/>
      <c r="I11" s="128"/>
      <c r="J11" s="128"/>
      <c r="K11" s="128"/>
      <c r="L11" s="128"/>
      <c r="M11" s="156"/>
      <c r="N11" s="127" t="s">
        <v>141</v>
      </c>
      <c r="O11" s="156"/>
      <c r="P11" s="127" t="s">
        <v>167</v>
      </c>
      <c r="Q11" s="128"/>
      <c r="R11" s="128"/>
      <c r="S11" s="128"/>
      <c r="T11" s="128"/>
      <c r="U11" s="128"/>
      <c r="V11" s="156"/>
      <c r="X11" s="130" t="s">
        <v>33</v>
      </c>
      <c r="Y11" s="131"/>
      <c r="Z11" s="131"/>
      <c r="AA11" s="131"/>
      <c r="AB11" s="131"/>
      <c r="AC11" s="131"/>
      <c r="AD11" s="131"/>
      <c r="AE11" s="131"/>
      <c r="AF11" s="131"/>
      <c r="AG11" s="131"/>
      <c r="AH11" s="131"/>
      <c r="AI11" s="131"/>
      <c r="AJ11" s="131"/>
      <c r="AK11" s="131"/>
      <c r="AL11" s="132"/>
      <c r="AM11" s="37"/>
      <c r="AQ11" s="130" t="s">
        <v>32</v>
      </c>
      <c r="AR11" s="131"/>
      <c r="AS11" s="131"/>
      <c r="AT11" s="131"/>
      <c r="AU11" s="131"/>
      <c r="AV11" s="132"/>
      <c r="AX11" s="130" t="s">
        <v>31</v>
      </c>
      <c r="AY11" s="131"/>
      <c r="AZ11" s="131"/>
      <c r="BA11" s="132"/>
      <c r="BC11" s="47" t="s">
        <v>36</v>
      </c>
      <c r="BD11" s="48"/>
      <c r="BF11" s="36"/>
    </row>
    <row r="12" spans="1:58" ht="32.25" customHeight="1" x14ac:dyDescent="0.3">
      <c r="A12" s="153"/>
      <c r="B12" s="133" t="s">
        <v>30</v>
      </c>
      <c r="C12" s="133" t="s">
        <v>29</v>
      </c>
      <c r="D12" s="116" t="s">
        <v>27</v>
      </c>
      <c r="E12" s="34" t="s">
        <v>26</v>
      </c>
      <c r="F12" s="122" t="s">
        <v>63</v>
      </c>
      <c r="G12" s="123"/>
      <c r="H12" s="122" t="s">
        <v>50</v>
      </c>
      <c r="I12" s="123"/>
      <c r="J12" s="122" t="s">
        <v>146</v>
      </c>
      <c r="K12" s="123"/>
      <c r="L12" s="122" t="s">
        <v>25</v>
      </c>
      <c r="M12" s="123"/>
      <c r="N12" s="106" t="s">
        <v>23</v>
      </c>
      <c r="O12" s="151" t="s">
        <v>137</v>
      </c>
      <c r="P12" s="122" t="s">
        <v>136</v>
      </c>
      <c r="Q12" s="123"/>
      <c r="R12" s="122" t="s">
        <v>143</v>
      </c>
      <c r="S12" s="123"/>
      <c r="T12" s="122" t="s">
        <v>144</v>
      </c>
      <c r="U12" s="123"/>
      <c r="V12" s="159" t="s">
        <v>142</v>
      </c>
      <c r="W12" s="21"/>
      <c r="X12" s="34" t="s">
        <v>21</v>
      </c>
      <c r="Y12" s="34" t="s">
        <v>20</v>
      </c>
      <c r="Z12" s="34" t="s">
        <v>95</v>
      </c>
      <c r="AA12" s="34" t="s">
        <v>19</v>
      </c>
      <c r="AB12" s="34" t="s">
        <v>18</v>
      </c>
      <c r="AC12" s="34" t="s">
        <v>48</v>
      </c>
      <c r="AD12" s="34" t="s">
        <v>49</v>
      </c>
      <c r="AE12" s="34" t="s">
        <v>17</v>
      </c>
      <c r="AF12" s="106" t="s">
        <v>16</v>
      </c>
      <c r="AG12" s="106" t="s">
        <v>15</v>
      </c>
      <c r="AH12" s="106" t="s">
        <v>14</v>
      </c>
      <c r="AI12" s="106" t="s">
        <v>13</v>
      </c>
      <c r="AJ12" s="106" t="s">
        <v>12</v>
      </c>
      <c r="AK12" s="116" t="s">
        <v>11</v>
      </c>
      <c r="AL12" s="118" t="s">
        <v>10</v>
      </c>
      <c r="AM12" s="120" t="s">
        <v>9</v>
      </c>
      <c r="AN12" s="35">
        <f>(1-O14/E14)</f>
        <v>0.23511253001240073</v>
      </c>
      <c r="AO12" s="35">
        <f>1-(AH14+AQ14)/E14</f>
        <v>0.19815044457929865</v>
      </c>
      <c r="AQ12" s="106" t="s">
        <v>8</v>
      </c>
      <c r="AR12" s="106" t="s">
        <v>7</v>
      </c>
      <c r="AS12" s="106" t="s">
        <v>37</v>
      </c>
      <c r="AT12" s="106" t="s">
        <v>38</v>
      </c>
      <c r="AU12" s="106" t="s">
        <v>6</v>
      </c>
      <c r="AV12" s="106" t="s">
        <v>5</v>
      </c>
      <c r="AX12" s="106" t="s">
        <v>4</v>
      </c>
      <c r="AY12" s="106" t="s">
        <v>3</v>
      </c>
      <c r="AZ12" s="106" t="s">
        <v>2</v>
      </c>
      <c r="BA12" s="106" t="s">
        <v>1</v>
      </c>
      <c r="BC12" s="108"/>
      <c r="BD12" s="108"/>
      <c r="BF12" s="106"/>
    </row>
    <row r="13" spans="1:58" ht="27" customHeight="1" x14ac:dyDescent="0.3">
      <c r="A13" s="154">
        <v>4321441081</v>
      </c>
      <c r="B13" s="134"/>
      <c r="C13" s="134"/>
      <c r="D13" s="117"/>
      <c r="E13" s="31">
        <v>0</v>
      </c>
      <c r="F13" s="33">
        <v>0.09</v>
      </c>
      <c r="G13" s="32">
        <v>1000000</v>
      </c>
      <c r="H13" s="31">
        <v>1</v>
      </c>
      <c r="I13" s="32">
        <v>100000</v>
      </c>
      <c r="J13" s="31">
        <v>1</v>
      </c>
      <c r="K13" s="32">
        <v>300000</v>
      </c>
      <c r="L13" s="31">
        <v>7.0000000000000007E-2</v>
      </c>
      <c r="M13" s="32">
        <v>150000</v>
      </c>
      <c r="N13" s="107"/>
      <c r="O13" s="152"/>
      <c r="P13" s="31">
        <v>0.02</v>
      </c>
      <c r="Q13" s="32">
        <v>1000000</v>
      </c>
      <c r="R13" s="31">
        <v>0.05</v>
      </c>
      <c r="S13" s="32">
        <v>10000</v>
      </c>
      <c r="T13" s="31">
        <v>0.02</v>
      </c>
      <c r="U13" s="32">
        <v>60000</v>
      </c>
      <c r="V13" s="159"/>
      <c r="W13" s="21"/>
      <c r="X13" s="31">
        <f>IF(C14="노트북",7%,IF(C14="저장&amp;주변기기",9%,IF(C14="모니터",7%)))</f>
        <v>7.0000000000000007E-2</v>
      </c>
      <c r="Y13" s="31">
        <v>0</v>
      </c>
      <c r="Z13" s="31">
        <v>0.03</v>
      </c>
      <c r="AA13" s="31">
        <f>IF(F13=0%,20%,0%)</f>
        <v>0</v>
      </c>
      <c r="AB13" s="30">
        <v>0</v>
      </c>
      <c r="AC13" s="30">
        <v>1</v>
      </c>
      <c r="AD13" s="53">
        <v>1</v>
      </c>
      <c r="AE13" s="29">
        <v>0.5</v>
      </c>
      <c r="AF13" s="107"/>
      <c r="AG13" s="107"/>
      <c r="AH13" s="107"/>
      <c r="AI13" s="107"/>
      <c r="AJ13" s="107"/>
      <c r="AK13" s="117"/>
      <c r="AL13" s="119"/>
      <c r="AM13" s="121"/>
      <c r="AN13" s="55" t="s">
        <v>52</v>
      </c>
      <c r="AO13" s="56">
        <f>AN12-AO12</f>
        <v>3.6962085433102088E-2</v>
      </c>
      <c r="AQ13" s="107"/>
      <c r="AR13" s="107"/>
      <c r="AS13" s="107"/>
      <c r="AT13" s="107"/>
      <c r="AU13" s="107"/>
      <c r="AV13" s="107"/>
      <c r="AW13" s="39"/>
      <c r="AX13" s="107"/>
      <c r="AY13" s="117"/>
      <c r="AZ13" s="107"/>
      <c r="BA13" s="107"/>
      <c r="BC13" s="109"/>
      <c r="BD13" s="109"/>
      <c r="BF13" s="107"/>
    </row>
    <row r="14" spans="1:58" ht="27" customHeight="1" x14ac:dyDescent="0.3">
      <c r="A14" s="28" t="s">
        <v>44</v>
      </c>
      <c r="B14" s="38" t="s">
        <v>35</v>
      </c>
      <c r="C14" s="27" t="s">
        <v>0</v>
      </c>
      <c r="D14" s="25">
        <v>3790100</v>
      </c>
      <c r="E14" s="24">
        <f>ROUNDDOWN(D14/(1-E13),-1)</f>
        <v>3790100</v>
      </c>
      <c r="F14" s="110">
        <f>ROUNDDOWN(IF(E14*F13&gt;G13,G13,E14*F13),-1)</f>
        <v>341100</v>
      </c>
      <c r="G14" s="111"/>
      <c r="H14" s="112">
        <f>ROUNDDOWN(IF(E14*H13&gt;I13,I13,E14*H13),-1)</f>
        <v>100000</v>
      </c>
      <c r="I14" s="113"/>
      <c r="J14" s="112">
        <f>ROUNDDOWN(IF(E14*J13&gt;K13,K13,E14*J13),-1)</f>
        <v>300000</v>
      </c>
      <c r="K14" s="113"/>
      <c r="L14" s="110">
        <f>ROUNDDOWN(IF(N14*L13&gt;M13,M13,N14*L13),-1)</f>
        <v>150000</v>
      </c>
      <c r="M14" s="111"/>
      <c r="N14" s="23">
        <f>E14-F14-H14-J14</f>
        <v>3049000</v>
      </c>
      <c r="O14" s="22">
        <f>E14-F14-H14-J14-L14</f>
        <v>2899000</v>
      </c>
      <c r="P14" s="110">
        <f>ROUNDDOWN(IF(N14*P13&gt;Q13,Q13,N14*P13),-1)</f>
        <v>60980</v>
      </c>
      <c r="Q14" s="111"/>
      <c r="R14" s="110">
        <f>ROUNDDOWN(IF(N14*R13&gt;S13,S13,N14*R13),-1)</f>
        <v>10000</v>
      </c>
      <c r="S14" s="111"/>
      <c r="T14" s="110">
        <f>ROUNDDOWN(IF(N14*T13&gt;U13,U13,N14*T13),-1)</f>
        <v>60000</v>
      </c>
      <c r="U14" s="111"/>
      <c r="V14" s="158">
        <f>O14-P14-R14-T14</f>
        <v>2768020</v>
      </c>
      <c r="W14" s="21"/>
      <c r="X14" s="20">
        <f>E14*X13</f>
        <v>265307</v>
      </c>
      <c r="Y14" s="20">
        <f>E14*Y13</f>
        <v>0</v>
      </c>
      <c r="Z14" s="20">
        <f>(E14-H14)*Z13</f>
        <v>110703</v>
      </c>
      <c r="AA14" s="19">
        <f>(E14*E13)*AA13</f>
        <v>0</v>
      </c>
      <c r="AB14" s="19">
        <f>F14*AB13</f>
        <v>0</v>
      </c>
      <c r="AC14" s="19">
        <f>H14*AC13</f>
        <v>100000</v>
      </c>
      <c r="AD14" s="19">
        <f>J14*AD13</f>
        <v>300000</v>
      </c>
      <c r="AE14" s="19">
        <f>L14*AE13</f>
        <v>75000</v>
      </c>
      <c r="AF14" s="19">
        <v>0</v>
      </c>
      <c r="AG14" s="16">
        <v>15000</v>
      </c>
      <c r="AH14" s="18">
        <f>E14-X14-Y14-Z14-AA14-AE14-AB14-AC14-AD14-AF14</f>
        <v>2939090</v>
      </c>
      <c r="AI14" s="18">
        <f>E14-X14-Y14-Z14-AA14-AB14-AC14-AD14-AE14-AF14-AG14</f>
        <v>2924090</v>
      </c>
      <c r="AJ14" s="17">
        <f>AI14-AK14</f>
        <v>-50910</v>
      </c>
      <c r="AK14" s="16">
        <v>2975000</v>
      </c>
      <c r="AL14" s="15">
        <f>AJ14/AK14</f>
        <v>-1.7112605042016806E-2</v>
      </c>
      <c r="AM14" s="14">
        <f>1-O14/(AK14-AQ14-AR14-AS14)</f>
        <v>-8.3478260869565002E-3</v>
      </c>
      <c r="AN14" s="114">
        <f>(1-O14/E14)-(1-(AH14)/E14)</f>
        <v>1.0577557320387343E-2</v>
      </c>
      <c r="AO14" s="115"/>
      <c r="AQ14" s="13">
        <v>100000</v>
      </c>
      <c r="AR14" s="12">
        <f>AB14*AR13</f>
        <v>0</v>
      </c>
      <c r="AS14" s="12">
        <v>0</v>
      </c>
      <c r="AT14" s="12"/>
      <c r="AU14" s="11">
        <f>AI14-(AK14-AQ14-AR14-AS14-AT14)</f>
        <v>49090</v>
      </c>
      <c r="AV14" s="8">
        <f>AU14/AK14</f>
        <v>1.6500840336134453E-2</v>
      </c>
      <c r="AX14" s="10">
        <v>0</v>
      </c>
      <c r="AY14" s="10">
        <v>0</v>
      </c>
      <c r="AZ14" s="9">
        <f>AU14-AX14-AY14</f>
        <v>49090</v>
      </c>
      <c r="BA14" s="8">
        <f>AZ14/AK14</f>
        <v>1.6500840336134453E-2</v>
      </c>
      <c r="BC14" s="49"/>
      <c r="BD14" s="50"/>
      <c r="BF14" s="6"/>
    </row>
    <row r="15" spans="1:58" x14ac:dyDescent="0.3">
      <c r="D15" s="5">
        <v>3199000</v>
      </c>
      <c r="E15" s="4">
        <f>ROUNDDOWN(D15/(1-E13),-1)</f>
        <v>3199000</v>
      </c>
      <c r="F15" s="138">
        <f>E14-F14</f>
        <v>3449000</v>
      </c>
      <c r="G15" s="138"/>
      <c r="H15" s="157">
        <f>E14-F14-H14</f>
        <v>3349000</v>
      </c>
      <c r="I15" s="157"/>
      <c r="O15" s="4"/>
      <c r="P15" s="162">
        <f>SUM(P14:U14)</f>
        <v>130980</v>
      </c>
      <c r="Q15" s="163"/>
      <c r="R15" s="163"/>
      <c r="S15" s="163"/>
      <c r="T15" s="163"/>
      <c r="U15" s="164"/>
      <c r="V15" s="4"/>
      <c r="AB15" s="3">
        <f>F15*AB13</f>
        <v>0</v>
      </c>
      <c r="AC15" s="3"/>
      <c r="AD15" s="3"/>
    </row>
    <row r="16" spans="1:58" x14ac:dyDescent="0.3">
      <c r="A16" s="43"/>
      <c r="B16" s="43"/>
      <c r="C16" s="43"/>
      <c r="D16" s="5"/>
    </row>
    <row r="18" spans="1:58" ht="27" customHeight="1" x14ac:dyDescent="0.3">
      <c r="A18" s="153" t="s">
        <v>34</v>
      </c>
      <c r="B18" s="127" t="s">
        <v>130</v>
      </c>
      <c r="C18" s="128"/>
      <c r="D18" s="128"/>
      <c r="E18" s="128"/>
      <c r="F18" s="128"/>
      <c r="G18" s="128"/>
      <c r="H18" s="128"/>
      <c r="I18" s="128"/>
      <c r="J18" s="128"/>
      <c r="K18" s="128"/>
      <c r="L18" s="128"/>
      <c r="M18" s="156"/>
      <c r="N18" s="127" t="s">
        <v>141</v>
      </c>
      <c r="O18" s="156"/>
      <c r="P18" s="127" t="s">
        <v>167</v>
      </c>
      <c r="Q18" s="128"/>
      <c r="R18" s="128"/>
      <c r="S18" s="128"/>
      <c r="T18" s="128"/>
      <c r="U18" s="128"/>
      <c r="V18" s="156"/>
      <c r="X18" s="130" t="s">
        <v>33</v>
      </c>
      <c r="Y18" s="131"/>
      <c r="Z18" s="131"/>
      <c r="AA18" s="131"/>
      <c r="AB18" s="131"/>
      <c r="AC18" s="131"/>
      <c r="AD18" s="131"/>
      <c r="AE18" s="131"/>
      <c r="AF18" s="131"/>
      <c r="AG18" s="131"/>
      <c r="AH18" s="131"/>
      <c r="AI18" s="131"/>
      <c r="AJ18" s="131"/>
      <c r="AK18" s="131"/>
      <c r="AL18" s="132"/>
      <c r="AM18" s="37"/>
      <c r="AQ18" s="130" t="s">
        <v>32</v>
      </c>
      <c r="AR18" s="131"/>
      <c r="AS18" s="131"/>
      <c r="AT18" s="131"/>
      <c r="AU18" s="131"/>
      <c r="AV18" s="132"/>
      <c r="AX18" s="130" t="s">
        <v>31</v>
      </c>
      <c r="AY18" s="131"/>
      <c r="AZ18" s="131"/>
      <c r="BA18" s="132"/>
      <c r="BC18" s="47" t="s">
        <v>36</v>
      </c>
      <c r="BD18" s="48"/>
      <c r="BF18" s="36"/>
    </row>
    <row r="19" spans="1:58" ht="32.25" customHeight="1" x14ac:dyDescent="0.3">
      <c r="A19" s="153"/>
      <c r="B19" s="133" t="s">
        <v>30</v>
      </c>
      <c r="C19" s="133" t="s">
        <v>29</v>
      </c>
      <c r="D19" s="116" t="s">
        <v>27</v>
      </c>
      <c r="E19" s="34" t="s">
        <v>26</v>
      </c>
      <c r="F19" s="122" t="s">
        <v>63</v>
      </c>
      <c r="G19" s="123"/>
      <c r="H19" s="122" t="s">
        <v>50</v>
      </c>
      <c r="I19" s="123"/>
      <c r="J19" s="122" t="s">
        <v>146</v>
      </c>
      <c r="K19" s="123"/>
      <c r="L19" s="122" t="s">
        <v>25</v>
      </c>
      <c r="M19" s="123"/>
      <c r="N19" s="106" t="s">
        <v>23</v>
      </c>
      <c r="O19" s="151" t="s">
        <v>137</v>
      </c>
      <c r="P19" s="122" t="s">
        <v>136</v>
      </c>
      <c r="Q19" s="123"/>
      <c r="R19" s="122" t="s">
        <v>143</v>
      </c>
      <c r="S19" s="123"/>
      <c r="T19" s="122" t="s">
        <v>144</v>
      </c>
      <c r="U19" s="123"/>
      <c r="V19" s="159" t="s">
        <v>142</v>
      </c>
      <c r="W19" s="21"/>
      <c r="X19" s="34" t="s">
        <v>21</v>
      </c>
      <c r="Y19" s="34" t="s">
        <v>20</v>
      </c>
      <c r="Z19" s="34" t="s">
        <v>95</v>
      </c>
      <c r="AA19" s="34" t="s">
        <v>19</v>
      </c>
      <c r="AB19" s="34" t="s">
        <v>18</v>
      </c>
      <c r="AC19" s="34" t="s">
        <v>48</v>
      </c>
      <c r="AD19" s="34" t="s">
        <v>49</v>
      </c>
      <c r="AE19" s="34" t="s">
        <v>17</v>
      </c>
      <c r="AF19" s="106" t="s">
        <v>16</v>
      </c>
      <c r="AG19" s="106" t="s">
        <v>15</v>
      </c>
      <c r="AH19" s="106" t="s">
        <v>14</v>
      </c>
      <c r="AI19" s="106" t="s">
        <v>13</v>
      </c>
      <c r="AJ19" s="106" t="s">
        <v>12</v>
      </c>
      <c r="AK19" s="116" t="s">
        <v>11</v>
      </c>
      <c r="AL19" s="118" t="s">
        <v>10</v>
      </c>
      <c r="AM19" s="120" t="s">
        <v>9</v>
      </c>
      <c r="AN19" s="35">
        <f>(1-O21/E21)</f>
        <v>0.22716084481120424</v>
      </c>
      <c r="AO19" s="35">
        <f>1-(AH21+AQ21)/E21</f>
        <v>0.1927706246306008</v>
      </c>
      <c r="AQ19" s="106" t="s">
        <v>8</v>
      </c>
      <c r="AR19" s="106" t="s">
        <v>7</v>
      </c>
      <c r="AS19" s="106" t="s">
        <v>37</v>
      </c>
      <c r="AT19" s="106" t="s">
        <v>38</v>
      </c>
      <c r="AU19" s="106" t="s">
        <v>6</v>
      </c>
      <c r="AV19" s="106" t="s">
        <v>5</v>
      </c>
      <c r="AX19" s="106" t="s">
        <v>4</v>
      </c>
      <c r="AY19" s="106" t="s">
        <v>3</v>
      </c>
      <c r="AZ19" s="106" t="s">
        <v>2</v>
      </c>
      <c r="BA19" s="106" t="s">
        <v>1</v>
      </c>
      <c r="BC19" s="108"/>
      <c r="BD19" s="108"/>
      <c r="BF19" s="106"/>
    </row>
    <row r="20" spans="1:58" ht="27" customHeight="1" x14ac:dyDescent="0.3">
      <c r="A20" s="154">
        <v>4321436481</v>
      </c>
      <c r="B20" s="134"/>
      <c r="C20" s="134"/>
      <c r="D20" s="117"/>
      <c r="E20" s="31">
        <v>0</v>
      </c>
      <c r="F20" s="33">
        <v>0.09</v>
      </c>
      <c r="G20" s="32">
        <v>1000000</v>
      </c>
      <c r="H20" s="31">
        <v>1</v>
      </c>
      <c r="I20" s="32">
        <v>100000</v>
      </c>
      <c r="J20" s="31">
        <v>1</v>
      </c>
      <c r="K20" s="32">
        <v>300000</v>
      </c>
      <c r="L20" s="31">
        <v>7.0000000000000007E-2</v>
      </c>
      <c r="M20" s="32">
        <v>150000</v>
      </c>
      <c r="N20" s="107"/>
      <c r="O20" s="152"/>
      <c r="P20" s="31">
        <v>0.02</v>
      </c>
      <c r="Q20" s="32">
        <v>1000000</v>
      </c>
      <c r="R20" s="31">
        <v>0.05</v>
      </c>
      <c r="S20" s="32">
        <v>10000</v>
      </c>
      <c r="T20" s="31">
        <v>0.02</v>
      </c>
      <c r="U20" s="32">
        <v>60000</v>
      </c>
      <c r="V20" s="159"/>
      <c r="W20" s="21"/>
      <c r="X20" s="31">
        <f>IF(C21="노트북",7%,IF(C21="저장&amp;주변기기",9%,IF(C21="모니터",7%)))</f>
        <v>7.0000000000000007E-2</v>
      </c>
      <c r="Y20" s="31">
        <v>0</v>
      </c>
      <c r="Z20" s="31">
        <v>0.03</v>
      </c>
      <c r="AA20" s="31">
        <f>IF(F20=0%,20%,0%)</f>
        <v>0</v>
      </c>
      <c r="AB20" s="30">
        <v>0</v>
      </c>
      <c r="AC20" s="30">
        <v>1</v>
      </c>
      <c r="AD20" s="53">
        <v>1</v>
      </c>
      <c r="AE20" s="29">
        <v>0.5</v>
      </c>
      <c r="AF20" s="107"/>
      <c r="AG20" s="107"/>
      <c r="AH20" s="107"/>
      <c r="AI20" s="107"/>
      <c r="AJ20" s="107"/>
      <c r="AK20" s="117"/>
      <c r="AL20" s="119"/>
      <c r="AM20" s="121"/>
      <c r="AN20" s="55" t="s">
        <v>52</v>
      </c>
      <c r="AO20" s="56">
        <f>AN19-AO19</f>
        <v>3.4390220180603448E-2</v>
      </c>
      <c r="AQ20" s="107"/>
      <c r="AR20" s="107"/>
      <c r="AS20" s="107"/>
      <c r="AT20" s="107"/>
      <c r="AU20" s="107"/>
      <c r="AV20" s="107"/>
      <c r="AW20" s="39"/>
      <c r="AX20" s="107"/>
      <c r="AY20" s="117"/>
      <c r="AZ20" s="107"/>
      <c r="BA20" s="107"/>
      <c r="BC20" s="109"/>
      <c r="BD20" s="109"/>
      <c r="BF20" s="107"/>
    </row>
    <row r="21" spans="1:58" ht="27" customHeight="1" x14ac:dyDescent="0.3">
      <c r="A21" s="28" t="s">
        <v>45</v>
      </c>
      <c r="B21" s="38" t="s">
        <v>35</v>
      </c>
      <c r="C21" s="27" t="s">
        <v>0</v>
      </c>
      <c r="D21" s="25">
        <v>4009890</v>
      </c>
      <c r="E21" s="24">
        <f>ROUNDDOWN(D21/(1-E20),-1)</f>
        <v>4009890</v>
      </c>
      <c r="F21" s="110">
        <f>ROUNDDOWN(IF(E21*F20&gt;G20,G20,E21*F20),-1)</f>
        <v>360890</v>
      </c>
      <c r="G21" s="111"/>
      <c r="H21" s="112">
        <f>ROUNDDOWN(IF(E21*H20&gt;I20,I20,E21*H20),-1)</f>
        <v>100000</v>
      </c>
      <c r="I21" s="113"/>
      <c r="J21" s="112">
        <f>ROUNDDOWN(IF(E21*J20&gt;K20,K20,E21*J20),-1)</f>
        <v>300000</v>
      </c>
      <c r="K21" s="113"/>
      <c r="L21" s="110">
        <f>ROUNDDOWN(IF(N21*L20&gt;M20,M20,N21*L20),-1)</f>
        <v>150000</v>
      </c>
      <c r="M21" s="111"/>
      <c r="N21" s="23">
        <f>E21-F21-H21-J21</f>
        <v>3249000</v>
      </c>
      <c r="O21" s="22">
        <f>E21-F21-H21-J21-L21</f>
        <v>3099000</v>
      </c>
      <c r="P21" s="110">
        <f>ROUNDDOWN(IF(N21*P20&gt;Q20,Q20,N21*P20),-1)</f>
        <v>64980</v>
      </c>
      <c r="Q21" s="111"/>
      <c r="R21" s="110">
        <f>ROUNDDOWN(IF(N21*R20&gt;S20,S20,N21*R20),-1)</f>
        <v>10000</v>
      </c>
      <c r="S21" s="111"/>
      <c r="T21" s="110">
        <f>ROUNDDOWN(IF(N21*T20&gt;U20,U20,N21*T20),-1)</f>
        <v>60000</v>
      </c>
      <c r="U21" s="111"/>
      <c r="V21" s="158">
        <f>O21-P21-R21-T21</f>
        <v>2964020</v>
      </c>
      <c r="W21" s="21"/>
      <c r="X21" s="20">
        <f>E21*X20</f>
        <v>280692.30000000005</v>
      </c>
      <c r="Y21" s="20">
        <f>E21*Y20</f>
        <v>0</v>
      </c>
      <c r="Z21" s="20">
        <f>(E21-H21)*Z20</f>
        <v>117296.7</v>
      </c>
      <c r="AA21" s="19">
        <f>(E21*E20)*AA20</f>
        <v>0</v>
      </c>
      <c r="AB21" s="19">
        <f>F21*AB20</f>
        <v>0</v>
      </c>
      <c r="AC21" s="19">
        <f>H21*AC20</f>
        <v>100000</v>
      </c>
      <c r="AD21" s="19">
        <f>J21*AD20</f>
        <v>300000</v>
      </c>
      <c r="AE21" s="19">
        <f>L21*AE20</f>
        <v>75000</v>
      </c>
      <c r="AF21" s="19">
        <v>0</v>
      </c>
      <c r="AG21" s="16">
        <v>15000</v>
      </c>
      <c r="AH21" s="18">
        <f>E21-X21-Y21-Z21-AA21-AE21-AB21-AC21-AD21-AF21</f>
        <v>3136901</v>
      </c>
      <c r="AI21" s="18">
        <f>E21-X21-Y21-Z21-AA21-AB21-AC21-AD21-AE21-AF21-AG21</f>
        <v>3121901</v>
      </c>
      <c r="AJ21" s="17">
        <f>AI21-AK21</f>
        <v>-22099</v>
      </c>
      <c r="AK21" s="16">
        <v>3144000</v>
      </c>
      <c r="AL21" s="15">
        <f>AJ21/AK21</f>
        <v>-7.0289440203562337E-3</v>
      </c>
      <c r="AM21" s="14">
        <f>1-O21/(AK21-AQ21-AR21-AS21)</f>
        <v>-1.8068331143232585E-2</v>
      </c>
      <c r="AN21" s="114">
        <f>(1-O21/E21)-(1-(AH21)/E21)</f>
        <v>9.4518802261408519E-3</v>
      </c>
      <c r="AO21" s="115"/>
      <c r="AQ21" s="13">
        <v>100000</v>
      </c>
      <c r="AR21" s="12">
        <f>AB21*AR20</f>
        <v>0</v>
      </c>
      <c r="AS21" s="12">
        <v>0</v>
      </c>
      <c r="AT21" s="12"/>
      <c r="AU21" s="11">
        <f>AI21-(AK21-AQ21-AR21-AS21-AT21)</f>
        <v>77901</v>
      </c>
      <c r="AV21" s="8">
        <f>AU21/AK21</f>
        <v>2.4777671755725192E-2</v>
      </c>
      <c r="AX21" s="10">
        <v>0</v>
      </c>
      <c r="AY21" s="10">
        <v>0</v>
      </c>
      <c r="AZ21" s="9">
        <f>AU21-AX21-AY21</f>
        <v>77901</v>
      </c>
      <c r="BA21" s="8">
        <f>AZ21/AK21</f>
        <v>2.4777671755725192E-2</v>
      </c>
      <c r="BC21" s="49"/>
      <c r="BD21" s="50"/>
      <c r="BF21" s="6"/>
    </row>
    <row r="22" spans="1:58" x14ac:dyDescent="0.3">
      <c r="D22" s="5">
        <v>3399000</v>
      </c>
      <c r="E22" s="4">
        <f>ROUNDDOWN(D22/(1-E20),-1)</f>
        <v>3399000</v>
      </c>
      <c r="F22" s="138">
        <f>E21-F21</f>
        <v>3649000</v>
      </c>
      <c r="G22" s="138"/>
      <c r="H22" s="157">
        <f>E21-F21-H21</f>
        <v>3549000</v>
      </c>
      <c r="I22" s="157"/>
      <c r="O22" s="4"/>
      <c r="P22" s="162">
        <f>SUM(P21:U21)</f>
        <v>134980</v>
      </c>
      <c r="Q22" s="163"/>
      <c r="R22" s="163"/>
      <c r="S22" s="163"/>
      <c r="T22" s="163"/>
      <c r="U22" s="164"/>
      <c r="V22" s="4"/>
      <c r="AB22" s="3">
        <f>F22*AB20</f>
        <v>0</v>
      </c>
      <c r="AC22" s="3"/>
      <c r="AD22" s="3"/>
      <c r="AH22" s="75"/>
    </row>
    <row r="23" spans="1:58" x14ac:dyDescent="0.3">
      <c r="D23" s="5"/>
      <c r="E23" s="4"/>
      <c r="F23" s="42"/>
      <c r="G23" s="42"/>
      <c r="I23" s="54"/>
      <c r="AB23" s="3"/>
      <c r="AC23" s="3"/>
      <c r="AD23" s="3"/>
    </row>
    <row r="24" spans="1:58" x14ac:dyDescent="0.3">
      <c r="A24" s="43"/>
      <c r="B24" s="43"/>
      <c r="C24" s="43"/>
      <c r="D24" s="5"/>
    </row>
    <row r="25" spans="1:58" ht="27" customHeight="1" x14ac:dyDescent="0.3">
      <c r="A25" s="153" t="s">
        <v>34</v>
      </c>
      <c r="B25" s="127" t="s">
        <v>130</v>
      </c>
      <c r="C25" s="128"/>
      <c r="D25" s="128"/>
      <c r="E25" s="128"/>
      <c r="F25" s="128"/>
      <c r="G25" s="128"/>
      <c r="H25" s="128"/>
      <c r="I25" s="128"/>
      <c r="J25" s="128"/>
      <c r="K25" s="128"/>
      <c r="L25" s="128"/>
      <c r="M25" s="156"/>
      <c r="N25" s="127" t="s">
        <v>141</v>
      </c>
      <c r="O25" s="156"/>
      <c r="P25" s="127" t="s">
        <v>167</v>
      </c>
      <c r="Q25" s="128"/>
      <c r="R25" s="128"/>
      <c r="S25" s="128"/>
      <c r="T25" s="128"/>
      <c r="U25" s="128"/>
      <c r="V25" s="156"/>
      <c r="X25" s="130" t="s">
        <v>33</v>
      </c>
      <c r="Y25" s="131"/>
      <c r="Z25" s="131"/>
      <c r="AA25" s="131"/>
      <c r="AB25" s="131"/>
      <c r="AC25" s="131"/>
      <c r="AD25" s="131"/>
      <c r="AE25" s="131"/>
      <c r="AF25" s="131"/>
      <c r="AG25" s="131"/>
      <c r="AH25" s="131"/>
      <c r="AI25" s="131"/>
      <c r="AJ25" s="131"/>
      <c r="AK25" s="131"/>
      <c r="AL25" s="132"/>
      <c r="AM25" s="37"/>
      <c r="AQ25" s="130" t="s">
        <v>32</v>
      </c>
      <c r="AR25" s="131"/>
      <c r="AS25" s="131"/>
      <c r="AT25" s="131"/>
      <c r="AU25" s="131"/>
      <c r="AV25" s="132"/>
      <c r="AX25" s="130" t="s">
        <v>31</v>
      </c>
      <c r="AY25" s="131"/>
      <c r="AZ25" s="131"/>
      <c r="BA25" s="132"/>
      <c r="BC25" s="47" t="s">
        <v>36</v>
      </c>
      <c r="BD25" s="48"/>
      <c r="BF25" s="36"/>
    </row>
    <row r="26" spans="1:58" ht="32.25" customHeight="1" x14ac:dyDescent="0.3">
      <c r="A26" s="153"/>
      <c r="B26" s="133" t="s">
        <v>30</v>
      </c>
      <c r="C26" s="133" t="s">
        <v>29</v>
      </c>
      <c r="D26" s="116" t="s">
        <v>27</v>
      </c>
      <c r="E26" s="34" t="s">
        <v>26</v>
      </c>
      <c r="F26" s="122" t="s">
        <v>63</v>
      </c>
      <c r="G26" s="123"/>
      <c r="H26" s="122" t="s">
        <v>50</v>
      </c>
      <c r="I26" s="123"/>
      <c r="J26" s="122" t="s">
        <v>146</v>
      </c>
      <c r="K26" s="123"/>
      <c r="L26" s="122" t="s">
        <v>25</v>
      </c>
      <c r="M26" s="123"/>
      <c r="N26" s="106" t="s">
        <v>23</v>
      </c>
      <c r="O26" s="151" t="s">
        <v>137</v>
      </c>
      <c r="P26" s="122" t="s">
        <v>136</v>
      </c>
      <c r="Q26" s="123"/>
      <c r="R26" s="122" t="s">
        <v>143</v>
      </c>
      <c r="S26" s="123"/>
      <c r="T26" s="122" t="s">
        <v>144</v>
      </c>
      <c r="U26" s="123"/>
      <c r="V26" s="159" t="s">
        <v>142</v>
      </c>
      <c r="W26" s="21"/>
      <c r="X26" s="34" t="s">
        <v>21</v>
      </c>
      <c r="Y26" s="34" t="s">
        <v>20</v>
      </c>
      <c r="Z26" s="34" t="s">
        <v>95</v>
      </c>
      <c r="AA26" s="34" t="s">
        <v>19</v>
      </c>
      <c r="AB26" s="34" t="s">
        <v>18</v>
      </c>
      <c r="AC26" s="34" t="s">
        <v>48</v>
      </c>
      <c r="AD26" s="34" t="s">
        <v>49</v>
      </c>
      <c r="AE26" s="34" t="s">
        <v>17</v>
      </c>
      <c r="AF26" s="106" t="s">
        <v>16</v>
      </c>
      <c r="AG26" s="106" t="s">
        <v>15</v>
      </c>
      <c r="AH26" s="106" t="s">
        <v>14</v>
      </c>
      <c r="AI26" s="106" t="s">
        <v>13</v>
      </c>
      <c r="AJ26" s="106" t="s">
        <v>12</v>
      </c>
      <c r="AK26" s="116" t="s">
        <v>11</v>
      </c>
      <c r="AL26" s="118" t="s">
        <v>10</v>
      </c>
      <c r="AM26" s="120" t="s">
        <v>9</v>
      </c>
      <c r="AN26" s="35">
        <f>(1-O28/E28)</f>
        <v>0.2106404913358193</v>
      </c>
      <c r="AO26" s="35">
        <f>1-(AH28+AQ28)/E28</f>
        <v>0.20353147620092127</v>
      </c>
      <c r="AQ26" s="106" t="s">
        <v>8</v>
      </c>
      <c r="AR26" s="106" t="s">
        <v>7</v>
      </c>
      <c r="AS26" s="106" t="s">
        <v>37</v>
      </c>
      <c r="AT26" s="106" t="s">
        <v>38</v>
      </c>
      <c r="AU26" s="106" t="s">
        <v>6</v>
      </c>
      <c r="AV26" s="106" t="s">
        <v>5</v>
      </c>
      <c r="AX26" s="106" t="s">
        <v>4</v>
      </c>
      <c r="AY26" s="106" t="s">
        <v>3</v>
      </c>
      <c r="AZ26" s="106" t="s">
        <v>2</v>
      </c>
      <c r="BA26" s="106" t="s">
        <v>1</v>
      </c>
      <c r="BC26" s="108"/>
      <c r="BD26" s="108"/>
      <c r="BF26" s="106"/>
    </row>
    <row r="27" spans="1:58" ht="27" customHeight="1" x14ac:dyDescent="0.3">
      <c r="A27" s="154">
        <v>4321378893</v>
      </c>
      <c r="B27" s="134"/>
      <c r="C27" s="134"/>
      <c r="D27" s="117"/>
      <c r="E27" s="31">
        <v>0</v>
      </c>
      <c r="F27" s="33">
        <v>0.09</v>
      </c>
      <c r="G27" s="32">
        <v>1000000</v>
      </c>
      <c r="H27" s="31">
        <v>1</v>
      </c>
      <c r="I27" s="32">
        <v>100000</v>
      </c>
      <c r="J27" s="31">
        <v>1</v>
      </c>
      <c r="K27" s="32">
        <v>300000</v>
      </c>
      <c r="L27" s="31">
        <v>7.0000000000000007E-2</v>
      </c>
      <c r="M27" s="32">
        <v>150000</v>
      </c>
      <c r="N27" s="107"/>
      <c r="O27" s="152"/>
      <c r="P27" s="31">
        <v>0.02</v>
      </c>
      <c r="Q27" s="32">
        <v>1000000</v>
      </c>
      <c r="R27" s="31">
        <v>0.05</v>
      </c>
      <c r="S27" s="32">
        <v>10000</v>
      </c>
      <c r="T27" s="31">
        <v>0.02</v>
      </c>
      <c r="U27" s="32">
        <v>60000</v>
      </c>
      <c r="V27" s="159"/>
      <c r="W27" s="21"/>
      <c r="X27" s="31">
        <f>IF(C28="노트북",7%,IF(C28="저장&amp;주변기기",9%,IF(C28="모니터",7%)))</f>
        <v>7.0000000000000007E-2</v>
      </c>
      <c r="Y27" s="31">
        <v>0</v>
      </c>
      <c r="Z27" s="31">
        <v>0.03</v>
      </c>
      <c r="AA27" s="31">
        <f>IF(F27=0%,20%,0%)</f>
        <v>0</v>
      </c>
      <c r="AB27" s="30">
        <v>0</v>
      </c>
      <c r="AC27" s="30">
        <v>1</v>
      </c>
      <c r="AD27" s="53">
        <v>1</v>
      </c>
      <c r="AE27" s="29">
        <v>0.5</v>
      </c>
      <c r="AF27" s="107"/>
      <c r="AG27" s="107"/>
      <c r="AH27" s="107"/>
      <c r="AI27" s="107"/>
      <c r="AJ27" s="107"/>
      <c r="AK27" s="117"/>
      <c r="AL27" s="119"/>
      <c r="AM27" s="121"/>
      <c r="AN27" s="55" t="s">
        <v>52</v>
      </c>
      <c r="AO27" s="56">
        <f>AN26-AO26</f>
        <v>7.1090151348980335E-3</v>
      </c>
      <c r="AQ27" s="107"/>
      <c r="AR27" s="107"/>
      <c r="AS27" s="107"/>
      <c r="AT27" s="107"/>
      <c r="AU27" s="107"/>
      <c r="AV27" s="107"/>
      <c r="AW27" s="39"/>
      <c r="AX27" s="107"/>
      <c r="AY27" s="117"/>
      <c r="AZ27" s="107"/>
      <c r="BA27" s="107"/>
      <c r="BC27" s="109"/>
      <c r="BD27" s="109"/>
      <c r="BF27" s="107"/>
    </row>
    <row r="28" spans="1:58" ht="27" customHeight="1" x14ac:dyDescent="0.3">
      <c r="A28" s="28" t="s">
        <v>39</v>
      </c>
      <c r="B28" s="38" t="s">
        <v>35</v>
      </c>
      <c r="C28" s="27" t="s">
        <v>0</v>
      </c>
      <c r="D28" s="25">
        <v>4559000</v>
      </c>
      <c r="E28" s="24">
        <f>ROUNDDOWN(D28/(1-E27),-1)</f>
        <v>4559000</v>
      </c>
      <c r="F28" s="110">
        <f>ROUNDDOWN(IF(E28*F27&gt;G27,G27,E28*F27),-1)</f>
        <v>410310</v>
      </c>
      <c r="G28" s="111"/>
      <c r="H28" s="112">
        <f>ROUNDDOWN(IF(E28*H27&gt;I27,I27,E28*H27),-1)</f>
        <v>100000</v>
      </c>
      <c r="I28" s="113"/>
      <c r="J28" s="112">
        <f>ROUNDDOWN(IF(E28*J27&gt;K27,K27,E28*J27),-1)</f>
        <v>300000</v>
      </c>
      <c r="K28" s="113"/>
      <c r="L28" s="110">
        <f>ROUNDDOWN(IF(N28*L27&gt;M27,M27,N28*L27),-1)</f>
        <v>150000</v>
      </c>
      <c r="M28" s="111"/>
      <c r="N28" s="23">
        <f>E28-F28-H28-J28</f>
        <v>3748690</v>
      </c>
      <c r="O28" s="22">
        <f>E28-F28-H28-J28-L28</f>
        <v>3598690</v>
      </c>
      <c r="P28" s="110">
        <f>ROUNDDOWN(IF(N28*P27&gt;Q27,Q27,N28*P27),-1)</f>
        <v>74970</v>
      </c>
      <c r="Q28" s="111"/>
      <c r="R28" s="110">
        <f>ROUNDDOWN(IF(N28*R27&gt;S27,S27,N28*R27),-1)</f>
        <v>10000</v>
      </c>
      <c r="S28" s="111"/>
      <c r="T28" s="110">
        <f>ROUNDDOWN(IF(N28*T27&gt;U27,U27,N28*T27),-1)</f>
        <v>60000</v>
      </c>
      <c r="U28" s="111"/>
      <c r="V28" s="158">
        <f>O28-P28-R28-T28</f>
        <v>3453720</v>
      </c>
      <c r="W28" s="21"/>
      <c r="X28" s="20">
        <f>E28*X27</f>
        <v>319130.00000000006</v>
      </c>
      <c r="Y28" s="20">
        <f>E28*Y27</f>
        <v>0</v>
      </c>
      <c r="Z28" s="20">
        <f>(E28-H28)*Z27</f>
        <v>133770</v>
      </c>
      <c r="AA28" s="19">
        <f>(E28*E27)*AA27</f>
        <v>0</v>
      </c>
      <c r="AB28" s="19">
        <f>F28*AB27</f>
        <v>0</v>
      </c>
      <c r="AC28" s="19">
        <f>H28*AC27</f>
        <v>100000</v>
      </c>
      <c r="AD28" s="19">
        <f>J28*AD27</f>
        <v>300000</v>
      </c>
      <c r="AE28" s="19">
        <f>L28*AE27</f>
        <v>75000</v>
      </c>
      <c r="AF28" s="19">
        <v>0</v>
      </c>
      <c r="AG28" s="16">
        <v>15000</v>
      </c>
      <c r="AH28" s="18">
        <f>E28-X28-Y28-Z28-AA28-AE28-AB28-AC28-AD28-AF28</f>
        <v>3631100</v>
      </c>
      <c r="AI28" s="18">
        <f>E28-X28-Y28-Z28-AA28-AB28-AC28-AD28-AE28-AF28-AG28</f>
        <v>3616100</v>
      </c>
      <c r="AJ28" s="17">
        <f>AI28-AK28</f>
        <v>102100</v>
      </c>
      <c r="AK28" s="16">
        <v>3514000</v>
      </c>
      <c r="AL28" s="15">
        <f>AJ28/AK28</f>
        <v>2.9055207740466705E-2</v>
      </c>
      <c r="AM28" s="14">
        <f>1-O28/(AK28-AQ28-AR28-AS28)</f>
        <v>-2.410073989755257E-2</v>
      </c>
      <c r="AN28" s="114">
        <f>AN26-AO26</f>
        <v>7.1090151348980335E-3</v>
      </c>
      <c r="AO28" s="115"/>
      <c r="AQ28" s="13">
        <v>0</v>
      </c>
      <c r="AR28" s="12">
        <f>AB28*AR27</f>
        <v>0</v>
      </c>
      <c r="AS28" s="12">
        <v>0</v>
      </c>
      <c r="AT28" s="12"/>
      <c r="AU28" s="11">
        <f>AI28-(AK28-AQ28-AR28-AS28-AT28)</f>
        <v>102100</v>
      </c>
      <c r="AV28" s="8">
        <f>AU28/AK28</f>
        <v>2.9055207740466705E-2</v>
      </c>
      <c r="AX28" s="10">
        <v>0</v>
      </c>
      <c r="AY28" s="10">
        <v>0</v>
      </c>
      <c r="AZ28" s="9">
        <f>AU28-AX28-AY28</f>
        <v>102100</v>
      </c>
      <c r="BA28" s="8">
        <f>AZ28/AK28</f>
        <v>2.9055207740466705E-2</v>
      </c>
      <c r="BC28" s="49"/>
      <c r="BD28" s="50"/>
      <c r="BF28" s="6"/>
    </row>
    <row r="29" spans="1:58" x14ac:dyDescent="0.3">
      <c r="A29" s="43"/>
      <c r="B29" s="43"/>
      <c r="C29" s="43"/>
      <c r="D29" s="5">
        <v>3799000</v>
      </c>
      <c r="E29" s="4">
        <f>ROUNDDOWN(D29/(1-E27),-1)</f>
        <v>3799000</v>
      </c>
      <c r="F29" s="138">
        <f>E28-F28</f>
        <v>4148690</v>
      </c>
      <c r="G29" s="138"/>
      <c r="H29" s="157">
        <f>E28-F28-H28</f>
        <v>4048690</v>
      </c>
      <c r="I29" s="157"/>
      <c r="O29" s="4"/>
      <c r="P29" s="162">
        <f>SUM(P28:U28)</f>
        <v>144970</v>
      </c>
      <c r="Q29" s="163"/>
      <c r="R29" s="163"/>
      <c r="S29" s="163"/>
      <c r="T29" s="163"/>
      <c r="U29" s="164"/>
      <c r="V29" s="4"/>
    </row>
    <row r="30" spans="1:58" x14ac:dyDescent="0.3">
      <c r="A30" s="43"/>
      <c r="B30" s="43"/>
      <c r="C30" s="43"/>
      <c r="D30" s="5"/>
      <c r="E30" s="4"/>
      <c r="F30" s="42"/>
      <c r="G30" s="42"/>
      <c r="I30" s="54"/>
      <c r="O30" s="4"/>
      <c r="P30" s="4"/>
      <c r="Q30" s="4"/>
      <c r="R30" s="4"/>
      <c r="S30" s="4"/>
      <c r="T30" s="4"/>
      <c r="U30" s="4"/>
      <c r="V30" s="4"/>
    </row>
    <row r="31" spans="1:58" x14ac:dyDescent="0.3">
      <c r="A31" s="43"/>
      <c r="B31" s="43"/>
      <c r="C31" s="43"/>
      <c r="D31" s="5"/>
      <c r="E31" s="4"/>
      <c r="F31" s="42"/>
      <c r="G31" s="42"/>
      <c r="I31" s="54"/>
    </row>
    <row r="32" spans="1:58" x14ac:dyDescent="0.3">
      <c r="A32" s="43"/>
      <c r="B32" s="43"/>
      <c r="C32" s="43"/>
      <c r="D32" s="5"/>
    </row>
    <row r="33" spans="1:58" s="64" customFormat="1" ht="30" customHeight="1" x14ac:dyDescent="0.3">
      <c r="A33" s="61" t="s">
        <v>169</v>
      </c>
      <c r="B33" s="62"/>
      <c r="C33" s="62"/>
      <c r="D33" s="63"/>
      <c r="AL33" s="65"/>
      <c r="AM33" s="65"/>
      <c r="AN33" s="65"/>
      <c r="AO33" s="65"/>
    </row>
    <row r="34" spans="1:58" x14ac:dyDescent="0.3">
      <c r="A34" s="43"/>
      <c r="B34" s="43"/>
      <c r="C34" s="43"/>
      <c r="D34" s="5"/>
    </row>
    <row r="35" spans="1:58" ht="27" customHeight="1" x14ac:dyDescent="0.3">
      <c r="A35" s="153" t="s">
        <v>34</v>
      </c>
      <c r="B35" s="127" t="s">
        <v>130</v>
      </c>
      <c r="C35" s="128"/>
      <c r="D35" s="128"/>
      <c r="E35" s="128"/>
      <c r="F35" s="128"/>
      <c r="G35" s="128"/>
      <c r="H35" s="128"/>
      <c r="I35" s="128"/>
      <c r="J35" s="128"/>
      <c r="K35" s="128"/>
      <c r="L35" s="128"/>
      <c r="M35" s="156"/>
      <c r="N35" s="127" t="s">
        <v>141</v>
      </c>
      <c r="O35" s="156"/>
      <c r="P35" s="127" t="s">
        <v>147</v>
      </c>
      <c r="Q35" s="128"/>
      <c r="R35" s="128"/>
      <c r="S35" s="128"/>
      <c r="T35" s="128"/>
      <c r="U35" s="128"/>
      <c r="V35" s="156"/>
      <c r="X35" s="130" t="s">
        <v>33</v>
      </c>
      <c r="Y35" s="131"/>
      <c r="Z35" s="131"/>
      <c r="AA35" s="131"/>
      <c r="AB35" s="131"/>
      <c r="AC35" s="131"/>
      <c r="AD35" s="131"/>
      <c r="AE35" s="131"/>
      <c r="AF35" s="131"/>
      <c r="AG35" s="131"/>
      <c r="AH35" s="131"/>
      <c r="AI35" s="131"/>
      <c r="AJ35" s="131"/>
      <c r="AK35" s="131"/>
      <c r="AL35" s="132"/>
      <c r="AM35" s="37"/>
      <c r="AQ35" s="130" t="s">
        <v>32</v>
      </c>
      <c r="AR35" s="131"/>
      <c r="AS35" s="131"/>
      <c r="AT35" s="131"/>
      <c r="AU35" s="131"/>
      <c r="AV35" s="132"/>
      <c r="AX35" s="130" t="s">
        <v>31</v>
      </c>
      <c r="AY35" s="131"/>
      <c r="AZ35" s="131"/>
      <c r="BA35" s="132"/>
      <c r="BC35" s="47" t="s">
        <v>36</v>
      </c>
      <c r="BD35" s="48"/>
      <c r="BF35" s="36"/>
    </row>
    <row r="36" spans="1:58" ht="32.25" customHeight="1" x14ac:dyDescent="0.3">
      <c r="A36" s="153"/>
      <c r="B36" s="133" t="s">
        <v>30</v>
      </c>
      <c r="C36" s="133" t="s">
        <v>29</v>
      </c>
      <c r="D36" s="116" t="s">
        <v>27</v>
      </c>
      <c r="E36" s="34" t="s">
        <v>26</v>
      </c>
      <c r="F36" s="122" t="s">
        <v>63</v>
      </c>
      <c r="G36" s="123"/>
      <c r="H36" s="122" t="s">
        <v>50</v>
      </c>
      <c r="I36" s="123"/>
      <c r="J36" s="122" t="s">
        <v>146</v>
      </c>
      <c r="K36" s="123"/>
      <c r="L36" s="122" t="s">
        <v>25</v>
      </c>
      <c r="M36" s="123"/>
      <c r="N36" s="106" t="s">
        <v>23</v>
      </c>
      <c r="O36" s="151" t="s">
        <v>137</v>
      </c>
      <c r="P36" s="122" t="s">
        <v>136</v>
      </c>
      <c r="Q36" s="123"/>
      <c r="R36" s="122" t="s">
        <v>143</v>
      </c>
      <c r="S36" s="123"/>
      <c r="T36" s="122" t="s">
        <v>144</v>
      </c>
      <c r="U36" s="123"/>
      <c r="V36" s="159" t="s">
        <v>142</v>
      </c>
      <c r="W36" s="21"/>
      <c r="X36" s="34" t="s">
        <v>21</v>
      </c>
      <c r="Y36" s="34" t="s">
        <v>20</v>
      </c>
      <c r="Z36" s="34" t="s">
        <v>95</v>
      </c>
      <c r="AA36" s="34" t="s">
        <v>19</v>
      </c>
      <c r="AB36" s="34" t="s">
        <v>18</v>
      </c>
      <c r="AC36" s="34" t="s">
        <v>48</v>
      </c>
      <c r="AD36" s="34" t="s">
        <v>49</v>
      </c>
      <c r="AE36" s="34" t="s">
        <v>17</v>
      </c>
      <c r="AF36" s="106" t="s">
        <v>16</v>
      </c>
      <c r="AG36" s="106" t="s">
        <v>15</v>
      </c>
      <c r="AH36" s="106" t="s">
        <v>14</v>
      </c>
      <c r="AI36" s="106" t="s">
        <v>13</v>
      </c>
      <c r="AJ36" s="106" t="s">
        <v>12</v>
      </c>
      <c r="AK36" s="116" t="s">
        <v>11</v>
      </c>
      <c r="AL36" s="118" t="s">
        <v>10</v>
      </c>
      <c r="AM36" s="120" t="s">
        <v>9</v>
      </c>
      <c r="AN36" s="35">
        <f>(1-O38/E38)</f>
        <v>0.21641159615708749</v>
      </c>
      <c r="AO36" s="35">
        <f>1-(AH38+AQ38)/E38</f>
        <v>0.18798247092533293</v>
      </c>
      <c r="AQ36" s="106" t="s">
        <v>8</v>
      </c>
      <c r="AR36" s="106" t="s">
        <v>7</v>
      </c>
      <c r="AS36" s="106" t="s">
        <v>37</v>
      </c>
      <c r="AT36" s="106" t="s">
        <v>38</v>
      </c>
      <c r="AU36" s="106" t="s">
        <v>6</v>
      </c>
      <c r="AV36" s="106" t="s">
        <v>5</v>
      </c>
      <c r="AX36" s="106" t="s">
        <v>4</v>
      </c>
      <c r="AY36" s="106" t="s">
        <v>3</v>
      </c>
      <c r="AZ36" s="106" t="s">
        <v>2</v>
      </c>
      <c r="BA36" s="106" t="s">
        <v>1</v>
      </c>
      <c r="BC36" s="108"/>
      <c r="BD36" s="108"/>
      <c r="BF36" s="106"/>
    </row>
    <row r="37" spans="1:58" ht="27" customHeight="1" x14ac:dyDescent="0.3">
      <c r="A37" s="154" t="s">
        <v>148</v>
      </c>
      <c r="B37" s="134"/>
      <c r="C37" s="134"/>
      <c r="D37" s="117"/>
      <c r="E37" s="31">
        <v>0</v>
      </c>
      <c r="F37" s="33">
        <v>0.09</v>
      </c>
      <c r="G37" s="32">
        <v>1000000</v>
      </c>
      <c r="H37" s="31">
        <v>1</v>
      </c>
      <c r="I37" s="32">
        <v>100000</v>
      </c>
      <c r="J37" s="31">
        <v>1</v>
      </c>
      <c r="K37" s="32">
        <v>500000</v>
      </c>
      <c r="L37" s="31">
        <v>7.0000000000000007E-2</v>
      </c>
      <c r="M37" s="32">
        <v>150000</v>
      </c>
      <c r="N37" s="107"/>
      <c r="O37" s="152"/>
      <c r="P37" s="31">
        <v>0.02</v>
      </c>
      <c r="Q37" s="32">
        <v>1000000</v>
      </c>
      <c r="R37" s="31">
        <v>0.05</v>
      </c>
      <c r="S37" s="32">
        <v>10000</v>
      </c>
      <c r="T37" s="31">
        <v>0.02</v>
      </c>
      <c r="U37" s="32">
        <v>60000</v>
      </c>
      <c r="V37" s="159"/>
      <c r="W37" s="21"/>
      <c r="X37" s="31">
        <f>IF(C38="노트북",7%,IF(C38="저장&amp;주변기기",9%,IF(C38="모니터",7%)))</f>
        <v>7.0000000000000007E-2</v>
      </c>
      <c r="Y37" s="31">
        <v>0</v>
      </c>
      <c r="Z37" s="31">
        <v>0.03</v>
      </c>
      <c r="AA37" s="31">
        <f>IF(F37=0%,20%,0%)</f>
        <v>0</v>
      </c>
      <c r="AB37" s="30">
        <v>0</v>
      </c>
      <c r="AC37" s="30">
        <v>1</v>
      </c>
      <c r="AD37" s="53">
        <v>1</v>
      </c>
      <c r="AE37" s="29">
        <v>0.5</v>
      </c>
      <c r="AF37" s="107"/>
      <c r="AG37" s="107"/>
      <c r="AH37" s="107"/>
      <c r="AI37" s="107"/>
      <c r="AJ37" s="107"/>
      <c r="AK37" s="117"/>
      <c r="AL37" s="119"/>
      <c r="AM37" s="121"/>
      <c r="AN37" s="55" t="s">
        <v>52</v>
      </c>
      <c r="AO37" s="56">
        <f>AN36-AO36</f>
        <v>2.842912523175456E-2</v>
      </c>
      <c r="AQ37" s="107"/>
      <c r="AR37" s="107"/>
      <c r="AS37" s="107"/>
      <c r="AT37" s="107"/>
      <c r="AU37" s="107"/>
      <c r="AV37" s="107"/>
      <c r="AW37" s="39"/>
      <c r="AX37" s="107"/>
      <c r="AY37" s="107"/>
      <c r="AZ37" s="107"/>
      <c r="BA37" s="107"/>
      <c r="BC37" s="109"/>
      <c r="BD37" s="109"/>
      <c r="BF37" s="107"/>
    </row>
    <row r="38" spans="1:58" ht="27" customHeight="1" x14ac:dyDescent="0.3">
      <c r="A38" s="28">
        <v>4334604127</v>
      </c>
      <c r="B38" s="38" t="s">
        <v>35</v>
      </c>
      <c r="C38" s="27" t="s">
        <v>0</v>
      </c>
      <c r="D38" s="25">
        <v>5933000</v>
      </c>
      <c r="E38" s="24">
        <f>ROUNDDOWN(D38/(1-E37),-1)</f>
        <v>5933000</v>
      </c>
      <c r="F38" s="110">
        <f>ROUNDDOWN(IF(E38*F37&gt;G37,G37,E38*F37),-1)</f>
        <v>533970</v>
      </c>
      <c r="G38" s="111"/>
      <c r="H38" s="112">
        <f>ROUNDDOWN(IF(E38*H37&gt;I37,I37,E38*H37),-1)</f>
        <v>100000</v>
      </c>
      <c r="I38" s="113"/>
      <c r="J38" s="112">
        <f>ROUNDDOWN(IF(E38*J37&gt;K37,K37,E38*J37),-1)</f>
        <v>500000</v>
      </c>
      <c r="K38" s="113"/>
      <c r="L38" s="110">
        <f>ROUNDDOWN(IF(N38*L37&gt;M37,M37,N38*L37),-1)</f>
        <v>150000</v>
      </c>
      <c r="M38" s="111"/>
      <c r="N38" s="23">
        <f>E38-F38-H38-J38</f>
        <v>4799030</v>
      </c>
      <c r="O38" s="22">
        <f>E38-F38-H38-J38-L38</f>
        <v>4649030</v>
      </c>
      <c r="P38" s="110">
        <f>ROUNDDOWN(IF(N38*P37&gt;Q37,Q37,N38*P37),-1)</f>
        <v>95980</v>
      </c>
      <c r="Q38" s="111"/>
      <c r="R38" s="110">
        <f>ROUNDDOWN(IF(N38*R37&gt;S37,S37,N38*R37),-1)</f>
        <v>10000</v>
      </c>
      <c r="S38" s="111"/>
      <c r="T38" s="110">
        <f>ROUNDDOWN(IF(N38*T37&gt;U37,U37,N38*T37),-1)</f>
        <v>60000</v>
      </c>
      <c r="U38" s="111"/>
      <c r="V38" s="158">
        <f>O38-P38-R38-T38</f>
        <v>4483050</v>
      </c>
      <c r="W38" s="21"/>
      <c r="X38" s="20">
        <f>E38*X37</f>
        <v>415310.00000000006</v>
      </c>
      <c r="Y38" s="20">
        <f>E38*Y37</f>
        <v>0</v>
      </c>
      <c r="Z38" s="20">
        <f>(E38-H38)*Z37</f>
        <v>174990</v>
      </c>
      <c r="AA38" s="19">
        <f>(E38*E37)*AA37</f>
        <v>0</v>
      </c>
      <c r="AB38" s="19">
        <f>F38*AB37</f>
        <v>0</v>
      </c>
      <c r="AC38" s="19">
        <f>H38*AC37</f>
        <v>100000</v>
      </c>
      <c r="AD38" s="19">
        <f>J38*AD37</f>
        <v>500000</v>
      </c>
      <c r="AE38" s="19">
        <f>L38*AE37</f>
        <v>75000</v>
      </c>
      <c r="AF38" s="19">
        <v>0</v>
      </c>
      <c r="AG38" s="16">
        <v>15000</v>
      </c>
      <c r="AH38" s="18">
        <f>E38-X38-Y38-Z38-AA38-AE38-AB38-AC38-AD38-AF38</f>
        <v>4667700</v>
      </c>
      <c r="AI38" s="18">
        <f>E38-X38-Y38-Z38-AA38-AB38-AC38-AD38-AE38-AF38-AG38</f>
        <v>4652700</v>
      </c>
      <c r="AJ38" s="17">
        <f>AI38-AK38</f>
        <v>96700</v>
      </c>
      <c r="AK38" s="16">
        <v>4556000</v>
      </c>
      <c r="AL38" s="15">
        <f>AJ38/AK38</f>
        <v>2.1224758560140475E-2</v>
      </c>
      <c r="AM38" s="14">
        <f>1-O38/(AK38-AQ38-AR38-AS38)</f>
        <v>-5.5158874262369428E-2</v>
      </c>
      <c r="AN38" s="114">
        <f>(1-O38/E38)-(1-(AH38)/E38)</f>
        <v>3.1468060003371212E-3</v>
      </c>
      <c r="AO38" s="115"/>
      <c r="AQ38" s="13">
        <v>150000</v>
      </c>
      <c r="AR38" s="12">
        <f>AB38*AR37</f>
        <v>0</v>
      </c>
      <c r="AS38" s="12">
        <v>0</v>
      </c>
      <c r="AT38" s="12"/>
      <c r="AU38" s="11">
        <f>AI38-(AK38-AQ38-AR38-AS38-AT38)</f>
        <v>246700</v>
      </c>
      <c r="AV38" s="8">
        <f>AU38/AK38</f>
        <v>5.4148375768217738E-2</v>
      </c>
      <c r="AX38" s="10">
        <v>0</v>
      </c>
      <c r="AY38" s="10">
        <v>0</v>
      </c>
      <c r="AZ38" s="9">
        <f>AU38-AX38-AY38</f>
        <v>246700</v>
      </c>
      <c r="BA38" s="8">
        <f>AZ38/AK38</f>
        <v>5.4148375768217738E-2</v>
      </c>
      <c r="BC38" s="49"/>
      <c r="BD38" s="50"/>
      <c r="BF38" s="6"/>
    </row>
    <row r="39" spans="1:58" x14ac:dyDescent="0.3">
      <c r="D39" s="5">
        <v>4899000</v>
      </c>
      <c r="E39" s="4">
        <f>ROUNDDOWN(D39/(1-E37),-1)</f>
        <v>4899000</v>
      </c>
      <c r="F39" s="138">
        <f>E38-F38</f>
        <v>5399030</v>
      </c>
      <c r="G39" s="138"/>
      <c r="H39" s="157">
        <f>E38-F38-H38</f>
        <v>5299030</v>
      </c>
      <c r="I39" s="157"/>
      <c r="O39" s="4"/>
      <c r="P39" s="162">
        <f>SUM(P38:U38)</f>
        <v>165980</v>
      </c>
      <c r="Q39" s="163"/>
      <c r="R39" s="163"/>
      <c r="S39" s="163"/>
      <c r="T39" s="163"/>
      <c r="U39" s="164"/>
      <c r="V39" s="4"/>
      <c r="AB39" s="3">
        <f>F39*AB37</f>
        <v>0</v>
      </c>
      <c r="AC39" s="3"/>
      <c r="AD39" s="3"/>
    </row>
    <row r="40" spans="1:58" x14ac:dyDescent="0.3">
      <c r="D40" s="5"/>
      <c r="E40" s="4"/>
      <c r="F40" s="42"/>
      <c r="G40" s="42"/>
      <c r="I40" s="54"/>
      <c r="O40" s="4"/>
      <c r="P40" s="4"/>
      <c r="Q40" s="4"/>
      <c r="R40" s="4"/>
      <c r="S40" s="4"/>
      <c r="T40" s="4"/>
      <c r="U40" s="4"/>
      <c r="V40" s="4"/>
      <c r="AB40" s="3"/>
      <c r="AC40" s="3"/>
      <c r="AD40" s="3"/>
    </row>
    <row r="41" spans="1:58" x14ac:dyDescent="0.3">
      <c r="D41" s="5"/>
      <c r="E41" s="4"/>
      <c r="F41" s="42"/>
      <c r="G41" s="42"/>
      <c r="I41" s="54"/>
      <c r="O41" s="4"/>
      <c r="P41" s="4"/>
      <c r="Q41" s="4"/>
      <c r="R41" s="4"/>
      <c r="S41" s="4"/>
      <c r="T41" s="4"/>
      <c r="U41" s="4"/>
      <c r="V41" s="4"/>
      <c r="AB41" s="3"/>
      <c r="AC41" s="3"/>
      <c r="AD41" s="3"/>
    </row>
    <row r="42" spans="1:58" x14ac:dyDescent="0.3">
      <c r="D42" s="5"/>
      <c r="E42" s="4"/>
      <c r="F42" s="42"/>
      <c r="G42" s="42"/>
      <c r="I42" s="54"/>
      <c r="AB42" s="3"/>
      <c r="AC42" s="3"/>
      <c r="AD42" s="3"/>
    </row>
    <row r="43" spans="1:58" s="93" customFormat="1" ht="30" customHeight="1" x14ac:dyDescent="0.3">
      <c r="A43" s="90" t="s">
        <v>168</v>
      </c>
      <c r="B43" s="91"/>
      <c r="C43" s="91"/>
      <c r="D43" s="92"/>
      <c r="AL43" s="94"/>
      <c r="AM43" s="94"/>
      <c r="AN43" s="94"/>
      <c r="AO43" s="94"/>
    </row>
    <row r="44" spans="1:58" x14ac:dyDescent="0.3">
      <c r="A44" s="43"/>
      <c r="B44" s="43"/>
      <c r="C44" s="43"/>
      <c r="D44" s="5"/>
    </row>
    <row r="45" spans="1:58" ht="27" customHeight="1" x14ac:dyDescent="0.3">
      <c r="A45" s="153" t="s">
        <v>34</v>
      </c>
      <c r="B45" s="127" t="s">
        <v>130</v>
      </c>
      <c r="C45" s="128"/>
      <c r="D45" s="128"/>
      <c r="E45" s="128"/>
      <c r="F45" s="128"/>
      <c r="G45" s="128"/>
      <c r="H45" s="128"/>
      <c r="I45" s="128"/>
      <c r="J45" s="128"/>
      <c r="K45" s="128"/>
      <c r="L45" s="128"/>
      <c r="M45" s="156"/>
      <c r="N45" s="127" t="s">
        <v>141</v>
      </c>
      <c r="O45" s="156"/>
      <c r="P45" s="127" t="s">
        <v>167</v>
      </c>
      <c r="Q45" s="128"/>
      <c r="R45" s="128"/>
      <c r="S45" s="128"/>
      <c r="T45" s="128"/>
      <c r="U45" s="128"/>
      <c r="V45" s="156"/>
      <c r="X45" s="130" t="s">
        <v>33</v>
      </c>
      <c r="Y45" s="131"/>
      <c r="Z45" s="131"/>
      <c r="AA45" s="131"/>
      <c r="AB45" s="131"/>
      <c r="AC45" s="131"/>
      <c r="AD45" s="131"/>
      <c r="AE45" s="131"/>
      <c r="AF45" s="131"/>
      <c r="AG45" s="131"/>
      <c r="AH45" s="131"/>
      <c r="AI45" s="131"/>
      <c r="AJ45" s="131"/>
      <c r="AK45" s="131"/>
      <c r="AL45" s="132"/>
      <c r="AM45" s="37"/>
      <c r="AQ45" s="130" t="s">
        <v>32</v>
      </c>
      <c r="AR45" s="131"/>
      <c r="AS45" s="131"/>
      <c r="AT45" s="131"/>
      <c r="AU45" s="131"/>
      <c r="AV45" s="132"/>
      <c r="AX45" s="130" t="s">
        <v>31</v>
      </c>
      <c r="AY45" s="131"/>
      <c r="AZ45" s="131"/>
      <c r="BA45" s="132"/>
      <c r="BC45" s="47" t="s">
        <v>36</v>
      </c>
      <c r="BD45" s="48"/>
      <c r="BF45" s="36"/>
    </row>
    <row r="46" spans="1:58" ht="32.25" customHeight="1" x14ac:dyDescent="0.3">
      <c r="A46" s="153"/>
      <c r="B46" s="133" t="s">
        <v>30</v>
      </c>
      <c r="C46" s="133" t="s">
        <v>29</v>
      </c>
      <c r="D46" s="116" t="s">
        <v>27</v>
      </c>
      <c r="E46" s="34" t="s">
        <v>26</v>
      </c>
      <c r="F46" s="122" t="s">
        <v>63</v>
      </c>
      <c r="G46" s="123"/>
      <c r="H46" s="122" t="s">
        <v>50</v>
      </c>
      <c r="I46" s="123"/>
      <c r="J46" s="122" t="s">
        <v>146</v>
      </c>
      <c r="K46" s="123"/>
      <c r="L46" s="122" t="s">
        <v>25</v>
      </c>
      <c r="M46" s="123"/>
      <c r="N46" s="106" t="s">
        <v>23</v>
      </c>
      <c r="O46" s="151" t="s">
        <v>137</v>
      </c>
      <c r="P46" s="122" t="s">
        <v>136</v>
      </c>
      <c r="Q46" s="123"/>
      <c r="R46" s="122" t="s">
        <v>143</v>
      </c>
      <c r="S46" s="123"/>
      <c r="T46" s="122" t="s">
        <v>144</v>
      </c>
      <c r="U46" s="123"/>
      <c r="V46" s="159" t="s">
        <v>142</v>
      </c>
      <c r="W46" s="21"/>
      <c r="X46" s="34" t="s">
        <v>21</v>
      </c>
      <c r="Y46" s="34" t="s">
        <v>20</v>
      </c>
      <c r="Z46" s="34" t="s">
        <v>95</v>
      </c>
      <c r="AA46" s="34" t="s">
        <v>19</v>
      </c>
      <c r="AB46" s="34" t="s">
        <v>18</v>
      </c>
      <c r="AC46" s="34" t="s">
        <v>48</v>
      </c>
      <c r="AD46" s="34" t="s">
        <v>49</v>
      </c>
      <c r="AE46" s="34" t="s">
        <v>17</v>
      </c>
      <c r="AF46" s="106" t="s">
        <v>16</v>
      </c>
      <c r="AG46" s="106" t="s">
        <v>15</v>
      </c>
      <c r="AH46" s="106" t="s">
        <v>14</v>
      </c>
      <c r="AI46" s="106" t="s">
        <v>13</v>
      </c>
      <c r="AJ46" s="106" t="s">
        <v>12</v>
      </c>
      <c r="AK46" s="116" t="s">
        <v>11</v>
      </c>
      <c r="AL46" s="118" t="s">
        <v>10</v>
      </c>
      <c r="AM46" s="120" t="s">
        <v>9</v>
      </c>
      <c r="AN46" s="35">
        <f>(1-O48/E48)</f>
        <v>0.16883094546017441</v>
      </c>
      <c r="AO46" s="35">
        <f>1-(AH48+AQ48)/E48</f>
        <v>0.16048512810810511</v>
      </c>
      <c r="AQ46" s="106" t="s">
        <v>8</v>
      </c>
      <c r="AR46" s="106" t="s">
        <v>7</v>
      </c>
      <c r="AS46" s="106" t="s">
        <v>37</v>
      </c>
      <c r="AT46" s="106" t="s">
        <v>38</v>
      </c>
      <c r="AU46" s="106" t="s">
        <v>6</v>
      </c>
      <c r="AV46" s="106" t="s">
        <v>5</v>
      </c>
      <c r="AX46" s="106" t="s">
        <v>4</v>
      </c>
      <c r="AY46" s="106" t="s">
        <v>3</v>
      </c>
      <c r="AZ46" s="106" t="s">
        <v>2</v>
      </c>
      <c r="BA46" s="106" t="s">
        <v>1</v>
      </c>
      <c r="BC46" s="108"/>
      <c r="BD46" s="108"/>
      <c r="BF46" s="106"/>
    </row>
    <row r="47" spans="1:58" ht="27" customHeight="1" x14ac:dyDescent="0.3">
      <c r="A47" s="154" t="s">
        <v>149</v>
      </c>
      <c r="B47" s="134"/>
      <c r="C47" s="134"/>
      <c r="D47" s="117"/>
      <c r="E47" s="31">
        <v>0</v>
      </c>
      <c r="F47" s="33">
        <v>0.09</v>
      </c>
      <c r="G47" s="32">
        <v>1000000</v>
      </c>
      <c r="H47" s="31">
        <v>1</v>
      </c>
      <c r="I47" s="32">
        <v>100000</v>
      </c>
      <c r="J47" s="31">
        <v>1</v>
      </c>
      <c r="K47" s="32">
        <v>300000</v>
      </c>
      <c r="L47" s="31">
        <v>7.0000000000000007E-2</v>
      </c>
      <c r="M47" s="32">
        <v>150000</v>
      </c>
      <c r="N47" s="107"/>
      <c r="O47" s="152"/>
      <c r="P47" s="31">
        <v>0.02</v>
      </c>
      <c r="Q47" s="32">
        <v>1000000</v>
      </c>
      <c r="R47" s="31">
        <v>0.05</v>
      </c>
      <c r="S47" s="32">
        <v>10000</v>
      </c>
      <c r="T47" s="31">
        <v>0.02</v>
      </c>
      <c r="U47" s="32">
        <v>60000</v>
      </c>
      <c r="V47" s="159"/>
      <c r="W47" s="21"/>
      <c r="X47" s="31">
        <f>IF(C48="노트북",7%,IF(C48="저장&amp;주변기기",9%,IF(C48="모니터",7%)))</f>
        <v>7.0000000000000007E-2</v>
      </c>
      <c r="Y47" s="31">
        <v>0</v>
      </c>
      <c r="Z47" s="31">
        <v>0.03</v>
      </c>
      <c r="AA47" s="31">
        <f>IF(F47=0%,20%,0%)</f>
        <v>0</v>
      </c>
      <c r="AB47" s="30">
        <v>0</v>
      </c>
      <c r="AC47" s="30">
        <v>1</v>
      </c>
      <c r="AD47" s="53">
        <v>0.83333299999999999</v>
      </c>
      <c r="AE47" s="29">
        <v>0.5</v>
      </c>
      <c r="AF47" s="107"/>
      <c r="AG47" s="107"/>
      <c r="AH47" s="107"/>
      <c r="AI47" s="107"/>
      <c r="AJ47" s="107"/>
      <c r="AK47" s="117"/>
      <c r="AL47" s="119"/>
      <c r="AM47" s="121"/>
      <c r="AN47" s="55" t="s">
        <v>52</v>
      </c>
      <c r="AO47" s="56">
        <f>AN46-AO46</f>
        <v>8.3458173520692958E-3</v>
      </c>
      <c r="AQ47" s="107"/>
      <c r="AR47" s="107"/>
      <c r="AS47" s="107"/>
      <c r="AT47" s="107"/>
      <c r="AU47" s="107"/>
      <c r="AV47" s="107"/>
      <c r="AW47" s="39"/>
      <c r="AX47" s="107"/>
      <c r="AY47" s="117"/>
      <c r="AZ47" s="107"/>
      <c r="BA47" s="107"/>
      <c r="BC47" s="109"/>
      <c r="BD47" s="109"/>
      <c r="BF47" s="107"/>
    </row>
    <row r="48" spans="1:58" ht="27" customHeight="1" x14ac:dyDescent="0.3">
      <c r="A48" s="28">
        <v>4660412701</v>
      </c>
      <c r="B48" s="38" t="s">
        <v>35</v>
      </c>
      <c r="C48" s="27" t="s">
        <v>0</v>
      </c>
      <c r="D48" s="25">
        <v>6976920</v>
      </c>
      <c r="E48" s="24">
        <f>ROUNDDOWN(D48/(1-E47),-1)</f>
        <v>6976920</v>
      </c>
      <c r="F48" s="110">
        <f>ROUNDDOWN(IF(E48*F47&gt;G47,G47,E48*F47),-1)</f>
        <v>627920</v>
      </c>
      <c r="G48" s="111"/>
      <c r="H48" s="112">
        <f>ROUNDDOWN(IF(E48*H47&gt;I47,I47,E48*H47),-1)</f>
        <v>100000</v>
      </c>
      <c r="I48" s="113"/>
      <c r="J48" s="112">
        <f>ROUNDDOWN(IF(E48*J47&gt;K47,K47,E48*J47),-1)</f>
        <v>300000</v>
      </c>
      <c r="K48" s="113"/>
      <c r="L48" s="110">
        <f>ROUNDDOWN(IF(N48*L47&gt;M47,M47,N48*L47),-1)</f>
        <v>150000</v>
      </c>
      <c r="M48" s="111"/>
      <c r="N48" s="23">
        <f>E48-F48-H48-J48</f>
        <v>5949000</v>
      </c>
      <c r="O48" s="22">
        <f>E48-F48-H48-J48-L48</f>
        <v>5799000</v>
      </c>
      <c r="P48" s="110">
        <f>ROUNDDOWN(IF(N48*P47&gt;Q47,Q47,N48*P47),-1)</f>
        <v>118980</v>
      </c>
      <c r="Q48" s="111"/>
      <c r="R48" s="110">
        <f>ROUNDDOWN(IF(N48*R47&gt;S47,S47,N48*R47),-1)</f>
        <v>10000</v>
      </c>
      <c r="S48" s="111"/>
      <c r="T48" s="110">
        <f>ROUNDDOWN(IF(N48*T47&gt;U47,U47,N48*T47),-1)</f>
        <v>60000</v>
      </c>
      <c r="U48" s="111"/>
      <c r="V48" s="158">
        <f>O48-P48-R48-T48</f>
        <v>5610020</v>
      </c>
      <c r="W48" s="21"/>
      <c r="X48" s="20">
        <f>E48*X47</f>
        <v>488384.4</v>
      </c>
      <c r="Y48" s="20">
        <f>E48*Y47</f>
        <v>0</v>
      </c>
      <c r="Z48" s="20">
        <f>(E48-H48)*Z47</f>
        <v>206307.6</v>
      </c>
      <c r="AA48" s="19">
        <f>(E48*E47)*AA47</f>
        <v>0</v>
      </c>
      <c r="AB48" s="19">
        <f>F48*AB47</f>
        <v>0</v>
      </c>
      <c r="AC48" s="19">
        <f>H48*AC47</f>
        <v>100000</v>
      </c>
      <c r="AD48" s="19">
        <f>J48*AD47</f>
        <v>249999.9</v>
      </c>
      <c r="AE48" s="19">
        <f>L48*AE47</f>
        <v>75000</v>
      </c>
      <c r="AF48" s="19">
        <v>0</v>
      </c>
      <c r="AG48" s="16">
        <v>15000</v>
      </c>
      <c r="AH48" s="18">
        <f>E48-X48-Y48-Z48-AA48-AE48-AB48-AC48-AD48-AF48</f>
        <v>5857228.0999999996</v>
      </c>
      <c r="AI48" s="18">
        <f>E48-X48-Y48-Z48-AA48-AB48-AC48-AD48-AE48-AF48-AG48</f>
        <v>5842228.0999999996</v>
      </c>
      <c r="AJ48" s="17">
        <f>AI48-AK48</f>
        <v>348228.09999999963</v>
      </c>
      <c r="AK48" s="16">
        <v>5494000</v>
      </c>
      <c r="AL48" s="15">
        <f>AJ48/AK48</f>
        <v>6.3383345467782973E-2</v>
      </c>
      <c r="AM48" s="14">
        <f>1-O48/(AK48-AQ48-AR48-AS48)</f>
        <v>-5.5515107389879859E-2</v>
      </c>
      <c r="AN48" s="114">
        <f>(1-O48/E48)-(1-(AH48)/E48)</f>
        <v>8.3458173520692958E-3</v>
      </c>
      <c r="AO48" s="115"/>
      <c r="AQ48" s="13">
        <v>0</v>
      </c>
      <c r="AR48" s="12">
        <f>AB48*AR47</f>
        <v>0</v>
      </c>
      <c r="AS48" s="12">
        <v>0</v>
      </c>
      <c r="AT48" s="12"/>
      <c r="AU48" s="11">
        <f>AI48-(AK48-AQ48-AR48-AS48-AT48)</f>
        <v>348228.09999999963</v>
      </c>
      <c r="AV48" s="8">
        <f>AU48/AK48</f>
        <v>6.3383345467782973E-2</v>
      </c>
      <c r="AX48" s="10">
        <v>0</v>
      </c>
      <c r="AY48" s="10">
        <v>0</v>
      </c>
      <c r="AZ48" s="9">
        <f>AU48-AX48-AY48</f>
        <v>348228.09999999963</v>
      </c>
      <c r="BA48" s="8">
        <f>AZ48/AK48</f>
        <v>6.3383345467782973E-2</v>
      </c>
      <c r="BC48" s="49"/>
      <c r="BD48" s="50"/>
      <c r="BF48" s="6"/>
    </row>
    <row r="49" spans="1:58" x14ac:dyDescent="0.3">
      <c r="D49" s="5">
        <v>5999000</v>
      </c>
      <c r="E49" s="4">
        <f>ROUNDDOWN(D49/(1-E47),-1)</f>
        <v>5999000</v>
      </c>
      <c r="F49" s="138">
        <f>E48-F48</f>
        <v>6349000</v>
      </c>
      <c r="G49" s="138"/>
      <c r="H49" s="157">
        <f>E48-F48-H48</f>
        <v>6249000</v>
      </c>
      <c r="I49" s="157"/>
      <c r="O49" s="4"/>
      <c r="P49" s="162">
        <f>SUM(P48:U48)</f>
        <v>188980</v>
      </c>
      <c r="Q49" s="163"/>
      <c r="R49" s="163"/>
      <c r="S49" s="163"/>
      <c r="T49" s="163"/>
      <c r="U49" s="164"/>
      <c r="V49" s="4"/>
      <c r="AB49" s="3">
        <f>F49*AB47</f>
        <v>0</v>
      </c>
      <c r="AC49" s="3"/>
      <c r="AD49" s="3"/>
    </row>
    <row r="50" spans="1:58" x14ac:dyDescent="0.3">
      <c r="D50" s="5"/>
      <c r="E50" s="4"/>
      <c r="F50" s="89"/>
      <c r="G50" s="89"/>
      <c r="I50" s="54"/>
      <c r="O50" s="4"/>
      <c r="P50" s="4"/>
      <c r="Q50" s="4"/>
      <c r="R50" s="4"/>
      <c r="S50" s="4"/>
      <c r="T50" s="4"/>
      <c r="U50" s="4"/>
      <c r="V50" s="4"/>
      <c r="AB50" s="3"/>
      <c r="AC50" s="3"/>
      <c r="AD50" s="3"/>
    </row>
    <row r="51" spans="1:58" x14ac:dyDescent="0.3">
      <c r="D51" s="5"/>
      <c r="E51" s="4"/>
      <c r="F51" s="54"/>
      <c r="G51" s="54"/>
      <c r="I51" s="54"/>
      <c r="O51" s="4"/>
      <c r="P51" s="4"/>
      <c r="Q51" s="4"/>
      <c r="R51" s="4"/>
      <c r="S51" s="4"/>
      <c r="T51" s="4"/>
      <c r="U51" s="4"/>
      <c r="V51" s="4"/>
      <c r="AB51" s="3"/>
      <c r="AC51" s="3"/>
      <c r="AD51" s="3"/>
    </row>
    <row r="52" spans="1:58" ht="27" customHeight="1" x14ac:dyDescent="0.3">
      <c r="A52" s="153" t="s">
        <v>34</v>
      </c>
      <c r="B52" s="127" t="s">
        <v>130</v>
      </c>
      <c r="C52" s="128"/>
      <c r="D52" s="128"/>
      <c r="E52" s="128"/>
      <c r="F52" s="128"/>
      <c r="G52" s="128"/>
      <c r="H52" s="128"/>
      <c r="I52" s="128"/>
      <c r="J52" s="128"/>
      <c r="K52" s="128"/>
      <c r="L52" s="128"/>
      <c r="M52" s="156"/>
      <c r="N52" s="127" t="s">
        <v>141</v>
      </c>
      <c r="O52" s="156"/>
      <c r="P52" s="127" t="s">
        <v>167</v>
      </c>
      <c r="Q52" s="128"/>
      <c r="R52" s="128"/>
      <c r="S52" s="128"/>
      <c r="T52" s="128"/>
      <c r="U52" s="128"/>
      <c r="V52" s="156"/>
      <c r="X52" s="130" t="s">
        <v>33</v>
      </c>
      <c r="Y52" s="131"/>
      <c r="Z52" s="131"/>
      <c r="AA52" s="131"/>
      <c r="AB52" s="131"/>
      <c r="AC52" s="131"/>
      <c r="AD52" s="131"/>
      <c r="AE52" s="131"/>
      <c r="AF52" s="131"/>
      <c r="AG52" s="131"/>
      <c r="AH52" s="131"/>
      <c r="AI52" s="131"/>
      <c r="AJ52" s="131"/>
      <c r="AK52" s="131"/>
      <c r="AL52" s="132"/>
      <c r="AM52" s="37"/>
      <c r="AQ52" s="130" t="s">
        <v>32</v>
      </c>
      <c r="AR52" s="131"/>
      <c r="AS52" s="131"/>
      <c r="AT52" s="131"/>
      <c r="AU52" s="131"/>
      <c r="AV52" s="132"/>
      <c r="AX52" s="130" t="s">
        <v>31</v>
      </c>
      <c r="AY52" s="131"/>
      <c r="AZ52" s="131"/>
      <c r="BA52" s="132"/>
      <c r="BC52" s="47" t="s">
        <v>36</v>
      </c>
      <c r="BD52" s="48"/>
      <c r="BF52" s="36"/>
    </row>
    <row r="53" spans="1:58" ht="32.25" customHeight="1" x14ac:dyDescent="0.3">
      <c r="A53" s="153"/>
      <c r="B53" s="133" t="s">
        <v>30</v>
      </c>
      <c r="C53" s="133" t="s">
        <v>29</v>
      </c>
      <c r="D53" s="116" t="s">
        <v>27</v>
      </c>
      <c r="E53" s="34" t="s">
        <v>26</v>
      </c>
      <c r="F53" s="122" t="s">
        <v>63</v>
      </c>
      <c r="G53" s="123"/>
      <c r="H53" s="122" t="s">
        <v>50</v>
      </c>
      <c r="I53" s="123"/>
      <c r="J53" s="122" t="s">
        <v>146</v>
      </c>
      <c r="K53" s="123"/>
      <c r="L53" s="122" t="s">
        <v>25</v>
      </c>
      <c r="M53" s="123"/>
      <c r="N53" s="106" t="s">
        <v>23</v>
      </c>
      <c r="O53" s="151" t="s">
        <v>137</v>
      </c>
      <c r="P53" s="122" t="s">
        <v>136</v>
      </c>
      <c r="Q53" s="123"/>
      <c r="R53" s="122" t="s">
        <v>143</v>
      </c>
      <c r="S53" s="123"/>
      <c r="T53" s="122" t="s">
        <v>144</v>
      </c>
      <c r="U53" s="123"/>
      <c r="V53" s="159" t="s">
        <v>142</v>
      </c>
      <c r="W53" s="21"/>
      <c r="X53" s="34" t="s">
        <v>21</v>
      </c>
      <c r="Y53" s="34" t="s">
        <v>20</v>
      </c>
      <c r="Z53" s="34" t="s">
        <v>95</v>
      </c>
      <c r="AA53" s="34" t="s">
        <v>19</v>
      </c>
      <c r="AB53" s="34" t="s">
        <v>18</v>
      </c>
      <c r="AC53" s="34" t="s">
        <v>48</v>
      </c>
      <c r="AD53" s="34" t="s">
        <v>49</v>
      </c>
      <c r="AE53" s="34" t="s">
        <v>17</v>
      </c>
      <c r="AF53" s="106" t="s">
        <v>16</v>
      </c>
      <c r="AG53" s="106" t="s">
        <v>15</v>
      </c>
      <c r="AH53" s="106" t="s">
        <v>14</v>
      </c>
      <c r="AI53" s="106" t="s">
        <v>13</v>
      </c>
      <c r="AJ53" s="106" t="s">
        <v>12</v>
      </c>
      <c r="AK53" s="116" t="s">
        <v>11</v>
      </c>
      <c r="AL53" s="118" t="s">
        <v>10</v>
      </c>
      <c r="AM53" s="120" t="s">
        <v>9</v>
      </c>
      <c r="AN53" s="35">
        <f>(1-O55/E55)</f>
        <v>0.16527408818614431</v>
      </c>
      <c r="AO53" s="35">
        <f>1-(AH55+AQ55)/E55</f>
        <v>0.15775606678354748</v>
      </c>
      <c r="AQ53" s="106" t="s">
        <v>8</v>
      </c>
      <c r="AR53" s="106" t="s">
        <v>7</v>
      </c>
      <c r="AS53" s="106" t="s">
        <v>37</v>
      </c>
      <c r="AT53" s="106" t="s">
        <v>38</v>
      </c>
      <c r="AU53" s="106" t="s">
        <v>6</v>
      </c>
      <c r="AV53" s="106" t="s">
        <v>5</v>
      </c>
      <c r="AX53" s="106" t="s">
        <v>4</v>
      </c>
      <c r="AY53" s="106" t="s">
        <v>3</v>
      </c>
      <c r="AZ53" s="106" t="s">
        <v>2</v>
      </c>
      <c r="BA53" s="106" t="s">
        <v>1</v>
      </c>
      <c r="BC53" s="108"/>
      <c r="BD53" s="108"/>
      <c r="BF53" s="106"/>
    </row>
    <row r="54" spans="1:58" ht="27" customHeight="1" x14ac:dyDescent="0.3">
      <c r="A54" s="154" t="s">
        <v>150</v>
      </c>
      <c r="B54" s="134"/>
      <c r="C54" s="134"/>
      <c r="D54" s="117"/>
      <c r="E54" s="31">
        <v>0</v>
      </c>
      <c r="F54" s="33">
        <v>0.09</v>
      </c>
      <c r="G54" s="32">
        <v>1000000</v>
      </c>
      <c r="H54" s="31">
        <v>1</v>
      </c>
      <c r="I54" s="32">
        <v>100000</v>
      </c>
      <c r="J54" s="31">
        <v>1</v>
      </c>
      <c r="K54" s="32">
        <v>300000</v>
      </c>
      <c r="L54" s="31">
        <v>7.0000000000000007E-2</v>
      </c>
      <c r="M54" s="32">
        <v>150000</v>
      </c>
      <c r="N54" s="107"/>
      <c r="O54" s="152"/>
      <c r="P54" s="31">
        <v>0.02</v>
      </c>
      <c r="Q54" s="32">
        <v>1000000</v>
      </c>
      <c r="R54" s="31">
        <v>0.05</v>
      </c>
      <c r="S54" s="32">
        <v>10000</v>
      </c>
      <c r="T54" s="31">
        <v>0.02</v>
      </c>
      <c r="U54" s="32">
        <v>60000</v>
      </c>
      <c r="V54" s="159"/>
      <c r="W54" s="21"/>
      <c r="X54" s="31">
        <f>IF(C55="노트북",7%,IF(C55="저장&amp;주변기기",9%,IF(C55="모니터",7%)))</f>
        <v>7.0000000000000007E-2</v>
      </c>
      <c r="Y54" s="31">
        <v>0</v>
      </c>
      <c r="Z54" s="31">
        <v>0.03</v>
      </c>
      <c r="AA54" s="31">
        <f>IF(F54=0%,20%,0%)</f>
        <v>0</v>
      </c>
      <c r="AB54" s="30">
        <v>0</v>
      </c>
      <c r="AC54" s="30">
        <v>1</v>
      </c>
      <c r="AD54" s="53">
        <v>0.83333299999999999</v>
      </c>
      <c r="AE54" s="29">
        <v>0.5</v>
      </c>
      <c r="AF54" s="107"/>
      <c r="AG54" s="107"/>
      <c r="AH54" s="107"/>
      <c r="AI54" s="107"/>
      <c r="AJ54" s="107"/>
      <c r="AK54" s="117"/>
      <c r="AL54" s="119"/>
      <c r="AM54" s="121"/>
      <c r="AN54" s="55" t="s">
        <v>52</v>
      </c>
      <c r="AO54" s="56">
        <f>AN53-AO53</f>
        <v>7.5180214025968306E-3</v>
      </c>
      <c r="AQ54" s="107"/>
      <c r="AR54" s="107"/>
      <c r="AS54" s="107"/>
      <c r="AT54" s="107"/>
      <c r="AU54" s="107"/>
      <c r="AV54" s="107"/>
      <c r="AW54" s="39"/>
      <c r="AX54" s="107"/>
      <c r="AY54" s="117"/>
      <c r="AZ54" s="107"/>
      <c r="BA54" s="107"/>
      <c r="BC54" s="109"/>
      <c r="BD54" s="109"/>
      <c r="BF54" s="107"/>
    </row>
    <row r="55" spans="1:58" ht="27" customHeight="1" x14ac:dyDescent="0.3">
      <c r="A55" s="28">
        <v>4660417885</v>
      </c>
      <c r="B55" s="38" t="s">
        <v>35</v>
      </c>
      <c r="C55" s="27" t="s">
        <v>0</v>
      </c>
      <c r="D55" s="25">
        <v>7306590</v>
      </c>
      <c r="E55" s="24">
        <f>ROUNDDOWN(D55/(1-E54),-1)</f>
        <v>7306590</v>
      </c>
      <c r="F55" s="110">
        <f>ROUNDDOWN(IF(E55*F54&gt;G54,G54,E55*F54),-1)</f>
        <v>657590</v>
      </c>
      <c r="G55" s="111"/>
      <c r="H55" s="112">
        <f>ROUNDDOWN(IF(E55*H54&gt;I54,I54,E55*H54),-1)</f>
        <v>100000</v>
      </c>
      <c r="I55" s="113"/>
      <c r="J55" s="112">
        <f>ROUNDDOWN(IF(E55*J54&gt;K54,K54,E55*J54),-1)</f>
        <v>300000</v>
      </c>
      <c r="K55" s="113"/>
      <c r="L55" s="110">
        <f>ROUNDDOWN(IF(N55*L54&gt;M54,M54,N55*L54),-1)</f>
        <v>150000</v>
      </c>
      <c r="M55" s="111"/>
      <c r="N55" s="23">
        <f>E55-F55-H55-J55</f>
        <v>6249000</v>
      </c>
      <c r="O55" s="22">
        <f>E55-F55-H55-J55-L55</f>
        <v>6099000</v>
      </c>
      <c r="P55" s="110">
        <f>ROUNDDOWN(IF(N55*P54&gt;Q54,Q54,N55*P54),-1)</f>
        <v>124980</v>
      </c>
      <c r="Q55" s="111"/>
      <c r="R55" s="110">
        <f>ROUNDDOWN(IF(N55*R54&gt;S54,S54,N55*R54),-1)</f>
        <v>10000</v>
      </c>
      <c r="S55" s="111"/>
      <c r="T55" s="110">
        <f>ROUNDDOWN(IF(N55*T54&gt;U54,U54,N55*T54),-1)</f>
        <v>60000</v>
      </c>
      <c r="U55" s="111"/>
      <c r="V55" s="158">
        <f>O55-P55-R55-T55</f>
        <v>5904020</v>
      </c>
      <c r="W55" s="21"/>
      <c r="X55" s="20">
        <f>E55*X54</f>
        <v>511461.30000000005</v>
      </c>
      <c r="Y55" s="20">
        <f>E55*Y54</f>
        <v>0</v>
      </c>
      <c r="Z55" s="20">
        <f>(E55-H55)*Z54</f>
        <v>216197.69999999998</v>
      </c>
      <c r="AA55" s="19">
        <f>(E55*E54)*AA54</f>
        <v>0</v>
      </c>
      <c r="AB55" s="19">
        <f>F55*AB54</f>
        <v>0</v>
      </c>
      <c r="AC55" s="19">
        <f>H55*AC54</f>
        <v>100000</v>
      </c>
      <c r="AD55" s="19">
        <f>J55*AD54</f>
        <v>249999.9</v>
      </c>
      <c r="AE55" s="19">
        <f>L55*AE54</f>
        <v>75000</v>
      </c>
      <c r="AF55" s="19">
        <v>0</v>
      </c>
      <c r="AG55" s="16">
        <v>15000</v>
      </c>
      <c r="AH55" s="18">
        <f>E55-X55-Y55-Z55-AA55-AE55-AB55-AC55-AD55-AF55</f>
        <v>6153931.0999999996</v>
      </c>
      <c r="AI55" s="18">
        <f>E55-X55-Y55-Z55-AA55-AB55-AC55-AD55-AE55-AF55-AG55</f>
        <v>6138931.0999999996</v>
      </c>
      <c r="AJ55" s="17">
        <f>AI55-AK55</f>
        <v>1884931.0999999996</v>
      </c>
      <c r="AK55" s="16">
        <v>4254000</v>
      </c>
      <c r="AL55" s="15">
        <f>AJ55/AK55</f>
        <v>0.44309616831217669</v>
      </c>
      <c r="AM55" s="14">
        <f>1-O55/(AK55-AQ55-AR55-AS55)</f>
        <v>-0.43370944992947824</v>
      </c>
      <c r="AN55" s="114">
        <f>(1-O55/E55)-(1-(AH55)/E55)</f>
        <v>7.5180214025968306E-3</v>
      </c>
      <c r="AO55" s="115"/>
      <c r="AQ55" s="13">
        <v>0</v>
      </c>
      <c r="AR55" s="12">
        <f>AB55*AR54</f>
        <v>0</v>
      </c>
      <c r="AS55" s="12">
        <v>0</v>
      </c>
      <c r="AT55" s="12"/>
      <c r="AU55" s="11">
        <f>AI55-(AK55-AQ55-AR55-AS55-AT55)</f>
        <v>1884931.0999999996</v>
      </c>
      <c r="AV55" s="8">
        <f>AU55/AK55</f>
        <v>0.44309616831217669</v>
      </c>
      <c r="AX55" s="10">
        <v>0</v>
      </c>
      <c r="AY55" s="10">
        <v>0</v>
      </c>
      <c r="AZ55" s="9">
        <f>AU55-AX55-AY55</f>
        <v>1884931.0999999996</v>
      </c>
      <c r="BA55" s="8">
        <f>AZ55/AK55</f>
        <v>0.44309616831217669</v>
      </c>
      <c r="BC55" s="49"/>
      <c r="BD55" s="50"/>
      <c r="BF55" s="6"/>
    </row>
    <row r="56" spans="1:58" x14ac:dyDescent="0.3">
      <c r="D56" s="5">
        <v>6299000</v>
      </c>
      <c r="E56" s="4">
        <f>ROUNDDOWN(D56/(1-E54),-1)</f>
        <v>6299000</v>
      </c>
      <c r="F56" s="138">
        <f>E55-F55</f>
        <v>6649000</v>
      </c>
      <c r="G56" s="138"/>
      <c r="H56" s="157">
        <f>E55-F55-H55</f>
        <v>6549000</v>
      </c>
      <c r="I56" s="157"/>
      <c r="O56" s="4"/>
      <c r="P56" s="162">
        <f>SUM(P55:U55)</f>
        <v>194980</v>
      </c>
      <c r="Q56" s="163"/>
      <c r="R56" s="163"/>
      <c r="S56" s="163"/>
      <c r="T56" s="163"/>
      <c r="U56" s="164"/>
      <c r="V56" s="4"/>
      <c r="AB56" s="3">
        <f>F56*AB54</f>
        <v>0</v>
      </c>
      <c r="AC56" s="3"/>
      <c r="AD56" s="3"/>
    </row>
    <row r="57" spans="1:58" x14ac:dyDescent="0.3">
      <c r="D57" s="5"/>
      <c r="E57" s="4"/>
      <c r="F57" s="42"/>
      <c r="G57" s="42"/>
      <c r="I57" s="54"/>
      <c r="O57" s="4"/>
      <c r="P57" s="4"/>
      <c r="Q57" s="4"/>
      <c r="R57" s="4"/>
      <c r="S57" s="4"/>
      <c r="T57" s="4"/>
      <c r="U57" s="4"/>
      <c r="V57" s="4"/>
      <c r="AB57" s="3"/>
      <c r="AC57" s="3"/>
      <c r="AD57" s="3"/>
    </row>
    <row r="58" spans="1:58" x14ac:dyDescent="0.3">
      <c r="D58" s="5"/>
      <c r="E58" s="4"/>
      <c r="F58" s="42"/>
      <c r="G58" s="42"/>
      <c r="I58" s="54"/>
      <c r="O58" s="4"/>
      <c r="P58" s="4"/>
      <c r="Q58" s="4"/>
      <c r="R58" s="4"/>
      <c r="S58" s="4"/>
      <c r="T58" s="4"/>
      <c r="U58" s="4"/>
      <c r="V58" s="4"/>
      <c r="AB58" s="3"/>
      <c r="AC58" s="3"/>
      <c r="AD58" s="3"/>
    </row>
    <row r="59" spans="1:58" x14ac:dyDescent="0.3">
      <c r="D59" s="5"/>
      <c r="E59" s="4"/>
      <c r="F59" s="42"/>
      <c r="G59" s="42"/>
      <c r="I59" s="54"/>
      <c r="O59" s="4"/>
      <c r="P59" s="4"/>
      <c r="Q59" s="4"/>
      <c r="R59" s="4"/>
      <c r="S59" s="4"/>
      <c r="T59" s="4"/>
      <c r="U59" s="4"/>
      <c r="V59" s="4"/>
      <c r="AB59" s="3"/>
      <c r="AC59" s="3"/>
      <c r="AD59" s="3"/>
    </row>
    <row r="60" spans="1:58" s="96" customFormat="1" ht="30" customHeight="1" x14ac:dyDescent="0.3">
      <c r="A60" s="95" t="s">
        <v>122</v>
      </c>
      <c r="D60" s="98"/>
      <c r="E60" s="99"/>
      <c r="F60" s="99"/>
      <c r="Y60" s="100"/>
      <c r="AH60" s="101"/>
      <c r="AI60" s="101"/>
      <c r="AJ60" s="101"/>
      <c r="AK60" s="101"/>
      <c r="AZ60" s="102"/>
      <c r="BA60" s="102"/>
      <c r="BB60" s="102"/>
      <c r="BC60" s="102"/>
      <c r="BD60" s="102"/>
    </row>
    <row r="61" spans="1:58" x14ac:dyDescent="0.3">
      <c r="D61" s="5"/>
      <c r="E61" s="4"/>
      <c r="F61" s="42"/>
      <c r="G61" s="42"/>
      <c r="I61" s="54"/>
      <c r="O61" s="4"/>
      <c r="P61" s="4"/>
      <c r="Q61" s="4"/>
      <c r="R61" s="4"/>
      <c r="S61" s="4"/>
      <c r="T61" s="4"/>
      <c r="U61" s="4"/>
      <c r="V61" s="4"/>
      <c r="AB61" s="3"/>
      <c r="AC61" s="3"/>
      <c r="AD61" s="3"/>
    </row>
    <row r="62" spans="1:58" ht="27" customHeight="1" x14ac:dyDescent="0.3">
      <c r="A62" s="153" t="s">
        <v>34</v>
      </c>
      <c r="B62" s="127" t="s">
        <v>130</v>
      </c>
      <c r="C62" s="128"/>
      <c r="D62" s="128"/>
      <c r="E62" s="128"/>
      <c r="F62" s="128"/>
      <c r="G62" s="128"/>
      <c r="H62" s="128"/>
      <c r="I62" s="128"/>
      <c r="J62" s="128"/>
      <c r="K62" s="128"/>
      <c r="L62" s="128"/>
      <c r="M62" s="156"/>
      <c r="N62" s="127" t="s">
        <v>141</v>
      </c>
      <c r="O62" s="156"/>
      <c r="P62" s="127" t="s">
        <v>167</v>
      </c>
      <c r="Q62" s="128"/>
      <c r="R62" s="128"/>
      <c r="S62" s="128"/>
      <c r="T62" s="128"/>
      <c r="U62" s="128"/>
      <c r="V62" s="156"/>
      <c r="X62" s="130" t="s">
        <v>33</v>
      </c>
      <c r="Y62" s="131"/>
      <c r="Z62" s="131"/>
      <c r="AA62" s="131"/>
      <c r="AB62" s="131"/>
      <c r="AC62" s="131"/>
      <c r="AD62" s="131"/>
      <c r="AE62" s="131"/>
      <c r="AF62" s="131"/>
      <c r="AG62" s="131"/>
      <c r="AH62" s="131"/>
      <c r="AI62" s="131"/>
      <c r="AJ62" s="131"/>
      <c r="AK62" s="131"/>
      <c r="AL62" s="132"/>
      <c r="AM62" s="37"/>
      <c r="AQ62" s="130" t="s">
        <v>32</v>
      </c>
      <c r="AR62" s="131"/>
      <c r="AS62" s="131"/>
      <c r="AT62" s="131"/>
      <c r="AU62" s="131"/>
      <c r="AV62" s="132"/>
      <c r="AX62" s="130" t="s">
        <v>31</v>
      </c>
      <c r="AY62" s="131"/>
      <c r="AZ62" s="131"/>
      <c r="BA62" s="132"/>
      <c r="BC62" s="47" t="s">
        <v>36</v>
      </c>
      <c r="BD62" s="48"/>
      <c r="BF62" s="36"/>
    </row>
    <row r="63" spans="1:58" ht="32.25" customHeight="1" x14ac:dyDescent="0.3">
      <c r="A63" s="153"/>
      <c r="B63" s="133" t="s">
        <v>30</v>
      </c>
      <c r="C63" s="133" t="s">
        <v>29</v>
      </c>
      <c r="D63" s="116" t="s">
        <v>27</v>
      </c>
      <c r="E63" s="34" t="s">
        <v>26</v>
      </c>
      <c r="F63" s="122" t="s">
        <v>63</v>
      </c>
      <c r="G63" s="123"/>
      <c r="H63" s="122" t="s">
        <v>50</v>
      </c>
      <c r="I63" s="123"/>
      <c r="J63" s="122" t="s">
        <v>146</v>
      </c>
      <c r="K63" s="123"/>
      <c r="L63" s="122" t="s">
        <v>25</v>
      </c>
      <c r="M63" s="123"/>
      <c r="N63" s="106" t="s">
        <v>23</v>
      </c>
      <c r="O63" s="151" t="s">
        <v>137</v>
      </c>
      <c r="P63" s="122" t="s">
        <v>136</v>
      </c>
      <c r="Q63" s="123"/>
      <c r="R63" s="122" t="s">
        <v>143</v>
      </c>
      <c r="S63" s="123"/>
      <c r="T63" s="122" t="s">
        <v>144</v>
      </c>
      <c r="U63" s="123"/>
      <c r="V63" s="159" t="s">
        <v>142</v>
      </c>
      <c r="W63" s="21"/>
      <c r="X63" s="34" t="s">
        <v>21</v>
      </c>
      <c r="Y63" s="34" t="s">
        <v>20</v>
      </c>
      <c r="Z63" s="34" t="s">
        <v>95</v>
      </c>
      <c r="AA63" s="34" t="s">
        <v>19</v>
      </c>
      <c r="AB63" s="34" t="s">
        <v>18</v>
      </c>
      <c r="AC63" s="34" t="s">
        <v>48</v>
      </c>
      <c r="AD63" s="34" t="s">
        <v>49</v>
      </c>
      <c r="AE63" s="34" t="s">
        <v>17</v>
      </c>
      <c r="AF63" s="106" t="s">
        <v>16</v>
      </c>
      <c r="AG63" s="106" t="s">
        <v>15</v>
      </c>
      <c r="AH63" s="106" t="s">
        <v>14</v>
      </c>
      <c r="AI63" s="106" t="s">
        <v>13</v>
      </c>
      <c r="AJ63" s="106" t="s">
        <v>12</v>
      </c>
      <c r="AK63" s="116" t="s">
        <v>11</v>
      </c>
      <c r="AL63" s="118" t="s">
        <v>10</v>
      </c>
      <c r="AM63" s="120" t="s">
        <v>9</v>
      </c>
      <c r="AN63" s="35">
        <f>(1-O65/E65)</f>
        <v>0.26567351058528921</v>
      </c>
      <c r="AO63" s="35">
        <f>1-(AH65+AQ65)/E65</f>
        <v>0.18687986303645121</v>
      </c>
      <c r="AQ63" s="106" t="s">
        <v>8</v>
      </c>
      <c r="AR63" s="106" t="s">
        <v>7</v>
      </c>
      <c r="AS63" s="106" t="s">
        <v>37</v>
      </c>
      <c r="AT63" s="106" t="s">
        <v>38</v>
      </c>
      <c r="AU63" s="106" t="s">
        <v>6</v>
      </c>
      <c r="AV63" s="106" t="s">
        <v>5</v>
      </c>
      <c r="AX63" s="106" t="s">
        <v>4</v>
      </c>
      <c r="AY63" s="106" t="s">
        <v>3</v>
      </c>
      <c r="AZ63" s="106" t="s">
        <v>2</v>
      </c>
      <c r="BA63" s="106" t="s">
        <v>1</v>
      </c>
      <c r="BC63" s="108"/>
      <c r="BD63" s="108"/>
      <c r="BF63" s="106"/>
    </row>
    <row r="64" spans="1:58" ht="27" customHeight="1" x14ac:dyDescent="0.3">
      <c r="A64" s="154" t="s">
        <v>151</v>
      </c>
      <c r="B64" s="134"/>
      <c r="C64" s="134"/>
      <c r="D64" s="117"/>
      <c r="E64" s="31">
        <v>0</v>
      </c>
      <c r="F64" s="33">
        <v>0.09</v>
      </c>
      <c r="G64" s="32">
        <v>1000000</v>
      </c>
      <c r="H64" s="31">
        <v>1</v>
      </c>
      <c r="I64" s="32">
        <v>100000</v>
      </c>
      <c r="J64" s="31">
        <v>1</v>
      </c>
      <c r="K64" s="32">
        <v>300000</v>
      </c>
      <c r="L64" s="31">
        <v>7.0000000000000007E-2</v>
      </c>
      <c r="M64" s="32">
        <v>150000</v>
      </c>
      <c r="N64" s="107"/>
      <c r="O64" s="152"/>
      <c r="P64" s="31">
        <v>0.02</v>
      </c>
      <c r="Q64" s="32">
        <v>1000000</v>
      </c>
      <c r="R64" s="31">
        <v>0.05</v>
      </c>
      <c r="S64" s="32">
        <v>10000</v>
      </c>
      <c r="T64" s="31">
        <v>0.02</v>
      </c>
      <c r="U64" s="32">
        <v>60000</v>
      </c>
      <c r="V64" s="159"/>
      <c r="W64" s="21"/>
      <c r="X64" s="31">
        <f>IF(C65="노트북",7%,IF(C65="저장&amp;주변기기",9%,IF(C65="모니터",7%)))</f>
        <v>7.0000000000000007E-2</v>
      </c>
      <c r="Y64" s="31">
        <v>0</v>
      </c>
      <c r="Z64" s="31">
        <v>0.03</v>
      </c>
      <c r="AA64" s="31">
        <v>0</v>
      </c>
      <c r="AB64" s="30">
        <v>0</v>
      </c>
      <c r="AC64" s="30">
        <v>1</v>
      </c>
      <c r="AD64" s="53">
        <v>1</v>
      </c>
      <c r="AE64" s="29">
        <v>0.5</v>
      </c>
      <c r="AF64" s="107"/>
      <c r="AG64" s="107"/>
      <c r="AH64" s="107"/>
      <c r="AI64" s="107"/>
      <c r="AJ64" s="107"/>
      <c r="AK64" s="117"/>
      <c r="AL64" s="119"/>
      <c r="AM64" s="121"/>
      <c r="AN64" s="55" t="s">
        <v>52</v>
      </c>
      <c r="AO64" s="56">
        <f>AN63-AO63</f>
        <v>7.8793647548837997E-2</v>
      </c>
      <c r="AQ64" s="107"/>
      <c r="AR64" s="107"/>
      <c r="AS64" s="107"/>
      <c r="AT64" s="107"/>
      <c r="AU64" s="107"/>
      <c r="AV64" s="107"/>
      <c r="AW64" s="39"/>
      <c r="AX64" s="107"/>
      <c r="AY64" s="117"/>
      <c r="AZ64" s="107"/>
      <c r="BA64" s="107"/>
      <c r="BC64" s="109"/>
      <c r="BD64" s="109"/>
      <c r="BF64" s="107"/>
    </row>
    <row r="65" spans="1:58" ht="27" customHeight="1" x14ac:dyDescent="0.3">
      <c r="A65" s="28">
        <v>4714573992</v>
      </c>
      <c r="B65" s="38" t="s">
        <v>35</v>
      </c>
      <c r="C65" s="27" t="s">
        <v>0</v>
      </c>
      <c r="D65" s="25">
        <v>3130760</v>
      </c>
      <c r="E65" s="24">
        <f>ROUNDDOWN(D65/(1-E64),-1)</f>
        <v>3130760</v>
      </c>
      <c r="F65" s="110">
        <f>ROUNDDOWN(IF(E65*F64&gt;G64,G64,E65*F64),-1)</f>
        <v>281760</v>
      </c>
      <c r="G65" s="111"/>
      <c r="H65" s="112">
        <f>ROUNDDOWN(IF(E65*H64&gt;I64,I64,E65*H64),-1)</f>
        <v>100000</v>
      </c>
      <c r="I65" s="113"/>
      <c r="J65" s="112">
        <f>ROUNDDOWN(IF(E65*J64&gt;K64,K64,E65*J64),-1)</f>
        <v>300000</v>
      </c>
      <c r="K65" s="113"/>
      <c r="L65" s="110">
        <f>ROUNDDOWN(IF(N65*L64&gt;M64,M64,N65*L64),-1)</f>
        <v>150000</v>
      </c>
      <c r="M65" s="111"/>
      <c r="N65" s="23">
        <f>E65-F65-H65-J65</f>
        <v>2449000</v>
      </c>
      <c r="O65" s="22">
        <f>E65-F65-H65-J65-L65</f>
        <v>2299000</v>
      </c>
      <c r="P65" s="110">
        <f>ROUNDDOWN(IF(N65*P64&gt;Q64,Q64,N65*P64),-1)</f>
        <v>48980</v>
      </c>
      <c r="Q65" s="111"/>
      <c r="R65" s="110">
        <f>ROUNDDOWN(IF(N65*R64&gt;S64,S64,N65*R64),-1)</f>
        <v>10000</v>
      </c>
      <c r="S65" s="111"/>
      <c r="T65" s="110">
        <f>ROUNDDOWN(IF(N65*T64&gt;U64,U64,N65*T64),-1)</f>
        <v>48980</v>
      </c>
      <c r="U65" s="111"/>
      <c r="V65" s="158">
        <f>O65-P65-R65-T65</f>
        <v>2191040</v>
      </c>
      <c r="W65" s="21"/>
      <c r="X65" s="20">
        <f>E65*X64</f>
        <v>219153.2</v>
      </c>
      <c r="Y65" s="20">
        <f>E65*Y64</f>
        <v>0</v>
      </c>
      <c r="Z65" s="20">
        <f>(E65-H65)*Z64</f>
        <v>90922.8</v>
      </c>
      <c r="AA65" s="19">
        <f>(E65*E64)*AA64</f>
        <v>0</v>
      </c>
      <c r="AB65" s="19">
        <f>F65*AB64</f>
        <v>0</v>
      </c>
      <c r="AC65" s="19">
        <f>H65*AC64</f>
        <v>100000</v>
      </c>
      <c r="AD65" s="19">
        <f>J65*AD64</f>
        <v>300000</v>
      </c>
      <c r="AE65" s="19">
        <f>L65*AE64</f>
        <v>75000</v>
      </c>
      <c r="AF65" s="19">
        <v>0</v>
      </c>
      <c r="AG65" s="16">
        <v>8000</v>
      </c>
      <c r="AH65" s="18">
        <f>E65-X65-Y65-Z65-AA65-AE65-AB65-AC65-AD65-AF65</f>
        <v>2345684</v>
      </c>
      <c r="AI65" s="18">
        <f>E65-X65-Y65-Z65-AA65-AB65-AC65-AD65-AE65-AF65-AG65</f>
        <v>2337684</v>
      </c>
      <c r="AJ65" s="17">
        <f>AI65-AK65</f>
        <v>-11316</v>
      </c>
      <c r="AK65" s="16">
        <v>2349000</v>
      </c>
      <c r="AL65" s="15">
        <f>AJ65/AK65</f>
        <v>-4.8173690932311625E-3</v>
      </c>
      <c r="AM65" s="14">
        <f>1-O65/(AK65-AQ65-AR65-AS65)</f>
        <v>-6.979990693345739E-2</v>
      </c>
      <c r="AN65" s="114">
        <f>(1-O65/E65)-(1-(AH65)/E65)</f>
        <v>1.4911395316153264E-2</v>
      </c>
      <c r="AO65" s="115"/>
      <c r="AQ65" s="13">
        <v>200000</v>
      </c>
      <c r="AR65" s="12"/>
      <c r="AS65" s="12">
        <v>0</v>
      </c>
      <c r="AT65" s="12"/>
      <c r="AU65" s="11">
        <f>AI65-(AK65-AQ65-AR65-AS65-AT65)</f>
        <v>188684</v>
      </c>
      <c r="AV65" s="8">
        <f>AU65/AK65</f>
        <v>8.0325244785014904E-2</v>
      </c>
      <c r="AX65" s="10">
        <v>0</v>
      </c>
      <c r="AY65" s="10">
        <v>0</v>
      </c>
      <c r="AZ65" s="9">
        <f>AU65-AX65-AY65</f>
        <v>188684</v>
      </c>
      <c r="BA65" s="8">
        <f>AZ65/AK65</f>
        <v>8.0325244785014904E-2</v>
      </c>
      <c r="BC65" s="49"/>
      <c r="BD65" s="50"/>
      <c r="BF65" s="6"/>
    </row>
    <row r="66" spans="1:58" x14ac:dyDescent="0.3">
      <c r="D66" s="5">
        <v>2499000</v>
      </c>
      <c r="E66" s="4">
        <f>ROUNDDOWN(D66/(1-E64),-1)</f>
        <v>2499000</v>
      </c>
      <c r="F66" s="138">
        <f>E65-F65</f>
        <v>2849000</v>
      </c>
      <c r="G66" s="138"/>
      <c r="H66" s="157">
        <f>E65-F65-H65</f>
        <v>2749000</v>
      </c>
      <c r="I66" s="157"/>
      <c r="O66" s="4"/>
      <c r="P66" s="162">
        <f>SUM(P65:U65)</f>
        <v>107960</v>
      </c>
      <c r="Q66" s="163"/>
      <c r="R66" s="163"/>
      <c r="S66" s="163"/>
      <c r="T66" s="163"/>
      <c r="U66" s="164"/>
      <c r="V66" s="4"/>
      <c r="AB66" s="3">
        <f>F66*AB64</f>
        <v>0</v>
      </c>
      <c r="AC66" s="3"/>
      <c r="AD66" s="3"/>
    </row>
    <row r="67" spans="1:58" x14ac:dyDescent="0.3">
      <c r="D67" s="5">
        <v>2599000</v>
      </c>
      <c r="E67" s="4"/>
      <c r="F67" s="42"/>
      <c r="G67" s="42"/>
      <c r="I67" s="54"/>
      <c r="O67" s="4"/>
      <c r="P67" s="4"/>
      <c r="Q67" s="4"/>
      <c r="R67" s="4"/>
      <c r="S67" s="4"/>
      <c r="T67" s="4"/>
      <c r="U67" s="4"/>
      <c r="V67" s="4"/>
      <c r="AB67" s="3"/>
      <c r="AC67" s="3"/>
      <c r="AD67" s="3"/>
    </row>
    <row r="68" spans="1:58" x14ac:dyDescent="0.3">
      <c r="D68" s="5"/>
      <c r="E68" s="4"/>
      <c r="F68" s="42"/>
      <c r="G68" s="42"/>
      <c r="I68" s="54"/>
      <c r="O68" s="4"/>
      <c r="P68" s="4"/>
      <c r="Q68" s="4"/>
      <c r="R68" s="4"/>
      <c r="S68" s="4"/>
      <c r="T68" s="4"/>
      <c r="U68" s="4"/>
      <c r="V68" s="4"/>
      <c r="AB68" s="3"/>
      <c r="AC68" s="3"/>
      <c r="AD68" s="3"/>
    </row>
    <row r="69" spans="1:58" x14ac:dyDescent="0.3">
      <c r="D69" s="5"/>
      <c r="E69" s="4"/>
      <c r="F69" s="42"/>
      <c r="G69" s="42"/>
      <c r="I69" s="54"/>
      <c r="AB69" s="3"/>
      <c r="AC69" s="3"/>
      <c r="AD69" s="3"/>
    </row>
    <row r="70" spans="1:58" x14ac:dyDescent="0.3">
      <c r="A70" s="43"/>
      <c r="B70" s="43"/>
      <c r="C70" s="43"/>
      <c r="D70" s="5"/>
    </row>
    <row r="71" spans="1:58" s="77" customFormat="1" ht="30" customHeight="1" x14ac:dyDescent="0.3">
      <c r="A71" s="76" t="s">
        <v>78</v>
      </c>
      <c r="D71" s="79"/>
      <c r="E71" s="80"/>
      <c r="F71" s="80"/>
      <c r="Y71" s="81"/>
      <c r="AH71" s="82"/>
      <c r="AI71" s="82"/>
      <c r="AJ71" s="82"/>
      <c r="AK71" s="82"/>
      <c r="AZ71" s="83"/>
      <c r="BA71" s="83"/>
      <c r="BB71" s="83"/>
      <c r="BC71" s="83"/>
      <c r="BD71" s="83"/>
    </row>
    <row r="72" spans="1:58" x14ac:dyDescent="0.3">
      <c r="A72" s="43"/>
      <c r="B72" s="43"/>
      <c r="C72" s="43"/>
      <c r="D72" s="5"/>
    </row>
    <row r="73" spans="1:58" ht="27" customHeight="1" x14ac:dyDescent="0.3">
      <c r="A73" s="153" t="s">
        <v>34</v>
      </c>
      <c r="B73" s="127" t="s">
        <v>130</v>
      </c>
      <c r="C73" s="128"/>
      <c r="D73" s="128"/>
      <c r="E73" s="128"/>
      <c r="F73" s="128"/>
      <c r="G73" s="128"/>
      <c r="H73" s="128"/>
      <c r="I73" s="128"/>
      <c r="J73" s="128"/>
      <c r="K73" s="128"/>
      <c r="L73" s="128"/>
      <c r="M73" s="156"/>
      <c r="N73" s="127" t="s">
        <v>141</v>
      </c>
      <c r="O73" s="156"/>
      <c r="P73" s="127" t="s">
        <v>167</v>
      </c>
      <c r="Q73" s="128"/>
      <c r="R73" s="128"/>
      <c r="S73" s="128"/>
      <c r="T73" s="128"/>
      <c r="U73" s="128"/>
      <c r="V73" s="156"/>
      <c r="X73" s="130" t="s">
        <v>33</v>
      </c>
      <c r="Y73" s="131"/>
      <c r="Z73" s="131"/>
      <c r="AA73" s="131"/>
      <c r="AB73" s="131"/>
      <c r="AC73" s="131"/>
      <c r="AD73" s="131"/>
      <c r="AE73" s="131"/>
      <c r="AF73" s="131"/>
      <c r="AG73" s="131"/>
      <c r="AH73" s="131"/>
      <c r="AI73" s="131"/>
      <c r="AJ73" s="131"/>
      <c r="AK73" s="131"/>
      <c r="AL73" s="132"/>
      <c r="AM73" s="37"/>
      <c r="AQ73" s="130" t="s">
        <v>32</v>
      </c>
      <c r="AR73" s="131"/>
      <c r="AS73" s="131"/>
      <c r="AT73" s="131"/>
      <c r="AU73" s="131"/>
      <c r="AV73" s="132"/>
      <c r="AX73" s="130" t="s">
        <v>31</v>
      </c>
      <c r="AY73" s="131"/>
      <c r="AZ73" s="131"/>
      <c r="BA73" s="132"/>
      <c r="BC73" s="47" t="s">
        <v>36</v>
      </c>
      <c r="BD73" s="48"/>
      <c r="BF73" s="36"/>
    </row>
    <row r="74" spans="1:58" ht="32.25" customHeight="1" x14ac:dyDescent="0.3">
      <c r="A74" s="153"/>
      <c r="B74" s="133" t="s">
        <v>30</v>
      </c>
      <c r="C74" s="133" t="s">
        <v>29</v>
      </c>
      <c r="D74" s="116" t="s">
        <v>27</v>
      </c>
      <c r="E74" s="34" t="s">
        <v>26</v>
      </c>
      <c r="F74" s="122" t="s">
        <v>63</v>
      </c>
      <c r="G74" s="123"/>
      <c r="H74" s="122" t="s">
        <v>50</v>
      </c>
      <c r="I74" s="123"/>
      <c r="J74" s="122" t="s">
        <v>146</v>
      </c>
      <c r="K74" s="123"/>
      <c r="L74" s="122" t="s">
        <v>25</v>
      </c>
      <c r="M74" s="123"/>
      <c r="N74" s="106" t="s">
        <v>23</v>
      </c>
      <c r="O74" s="151" t="s">
        <v>137</v>
      </c>
      <c r="P74" s="122" t="s">
        <v>136</v>
      </c>
      <c r="Q74" s="123"/>
      <c r="R74" s="122" t="s">
        <v>143</v>
      </c>
      <c r="S74" s="123"/>
      <c r="T74" s="122" t="s">
        <v>144</v>
      </c>
      <c r="U74" s="123"/>
      <c r="V74" s="159" t="s">
        <v>142</v>
      </c>
      <c r="W74" s="21"/>
      <c r="X74" s="34" t="s">
        <v>21</v>
      </c>
      <c r="Y74" s="34" t="s">
        <v>20</v>
      </c>
      <c r="Z74" s="34" t="s">
        <v>95</v>
      </c>
      <c r="AA74" s="34" t="s">
        <v>19</v>
      </c>
      <c r="AB74" s="34" t="s">
        <v>18</v>
      </c>
      <c r="AC74" s="34" t="s">
        <v>48</v>
      </c>
      <c r="AD74" s="34" t="s">
        <v>49</v>
      </c>
      <c r="AE74" s="34" t="s">
        <v>17</v>
      </c>
      <c r="AF74" s="106" t="s">
        <v>16</v>
      </c>
      <c r="AG74" s="106" t="s">
        <v>15</v>
      </c>
      <c r="AH74" s="106" t="s">
        <v>14</v>
      </c>
      <c r="AI74" s="106" t="s">
        <v>13</v>
      </c>
      <c r="AJ74" s="106" t="s">
        <v>12</v>
      </c>
      <c r="AK74" s="116" t="s">
        <v>11</v>
      </c>
      <c r="AL74" s="118" t="s">
        <v>10</v>
      </c>
      <c r="AM74" s="120" t="s">
        <v>9</v>
      </c>
      <c r="AN74" s="35">
        <f>(1-O76/E76)</f>
        <v>0.34651420802524158</v>
      </c>
      <c r="AO74" s="35">
        <f>1-(AH76+AQ76)/E76</f>
        <v>0.20523750585187228</v>
      </c>
      <c r="AQ74" s="106" t="s">
        <v>8</v>
      </c>
      <c r="AR74" s="106" t="s">
        <v>7</v>
      </c>
      <c r="AS74" s="106" t="s">
        <v>37</v>
      </c>
      <c r="AT74" s="106" t="s">
        <v>38</v>
      </c>
      <c r="AU74" s="106" t="s">
        <v>6</v>
      </c>
      <c r="AV74" s="106" t="s">
        <v>5</v>
      </c>
      <c r="AX74" s="106" t="s">
        <v>4</v>
      </c>
      <c r="AY74" s="106" t="s">
        <v>3</v>
      </c>
      <c r="AZ74" s="106" t="s">
        <v>2</v>
      </c>
      <c r="BA74" s="106" t="s">
        <v>1</v>
      </c>
      <c r="BC74" s="108"/>
      <c r="BD74" s="108"/>
      <c r="BF74" s="106"/>
    </row>
    <row r="75" spans="1:58" ht="27" customHeight="1" x14ac:dyDescent="0.3">
      <c r="A75" s="154" t="s">
        <v>152</v>
      </c>
      <c r="B75" s="134"/>
      <c r="C75" s="134"/>
      <c r="D75" s="117"/>
      <c r="E75" s="31">
        <v>0</v>
      </c>
      <c r="F75" s="33">
        <v>0.09</v>
      </c>
      <c r="G75" s="32">
        <v>1000000</v>
      </c>
      <c r="H75" s="31">
        <v>1</v>
      </c>
      <c r="I75" s="32">
        <v>30000</v>
      </c>
      <c r="J75" s="31">
        <v>1</v>
      </c>
      <c r="K75" s="32">
        <v>300000</v>
      </c>
      <c r="L75" s="31">
        <v>7.0000000000000007E-2</v>
      </c>
      <c r="M75" s="32">
        <v>70000</v>
      </c>
      <c r="N75" s="107"/>
      <c r="O75" s="152"/>
      <c r="P75" s="31">
        <v>0.02</v>
      </c>
      <c r="Q75" s="32">
        <v>1000000</v>
      </c>
      <c r="R75" s="31">
        <v>0.05</v>
      </c>
      <c r="S75" s="32">
        <v>10000</v>
      </c>
      <c r="T75" s="31">
        <v>0.02</v>
      </c>
      <c r="U75" s="32">
        <v>60000</v>
      </c>
      <c r="V75" s="159"/>
      <c r="W75" s="21"/>
      <c r="X75" s="31">
        <f>IF(C76="노트북",7%,IF(C76="저장&amp;주변기기",9%,IF(C76="모니터",7%)))</f>
        <v>7.0000000000000007E-2</v>
      </c>
      <c r="Y75" s="31">
        <v>0</v>
      </c>
      <c r="Z75" s="31">
        <v>0.03</v>
      </c>
      <c r="AA75" s="31">
        <v>0</v>
      </c>
      <c r="AB75" s="30">
        <v>0</v>
      </c>
      <c r="AC75" s="30">
        <v>1</v>
      </c>
      <c r="AD75" s="53">
        <v>1</v>
      </c>
      <c r="AE75" s="29">
        <v>0.5</v>
      </c>
      <c r="AF75" s="107"/>
      <c r="AG75" s="107"/>
      <c r="AH75" s="107"/>
      <c r="AI75" s="107"/>
      <c r="AJ75" s="107"/>
      <c r="AK75" s="117"/>
      <c r="AL75" s="119"/>
      <c r="AM75" s="121"/>
      <c r="AN75" s="55" t="s">
        <v>52</v>
      </c>
      <c r="AO75" s="56">
        <f>AN74-AO74</f>
        <v>0.1412767021733693</v>
      </c>
      <c r="AQ75" s="107"/>
      <c r="AR75" s="107"/>
      <c r="AS75" s="107"/>
      <c r="AT75" s="107"/>
      <c r="AU75" s="107"/>
      <c r="AV75" s="107"/>
      <c r="AW75" s="39"/>
      <c r="AX75" s="107"/>
      <c r="AY75" s="117"/>
      <c r="AZ75" s="107"/>
      <c r="BA75" s="107"/>
      <c r="BC75" s="109"/>
      <c r="BD75" s="109"/>
      <c r="BF75" s="107"/>
    </row>
    <row r="76" spans="1:58" ht="27" customHeight="1" x14ac:dyDescent="0.3">
      <c r="A76" s="28">
        <v>4514791229</v>
      </c>
      <c r="B76" s="38" t="s">
        <v>35</v>
      </c>
      <c r="C76" s="27" t="s">
        <v>0</v>
      </c>
      <c r="D76" s="25">
        <v>1559330</v>
      </c>
      <c r="E76" s="24">
        <f>ROUNDDOWN(D76/(1-E75),-1)</f>
        <v>1559330</v>
      </c>
      <c r="F76" s="110">
        <f>ROUNDDOWN(IF(E76*F75&gt;G75,G75,E76*F75),-1)</f>
        <v>140330</v>
      </c>
      <c r="G76" s="111"/>
      <c r="H76" s="112">
        <f>ROUNDDOWN(IF(E76*H75&gt;I75,I75,E76*H75),-1)</f>
        <v>30000</v>
      </c>
      <c r="I76" s="113"/>
      <c r="J76" s="112">
        <f>ROUNDDOWN(IF(E76*J75&gt;K75,K75,E76*J75),-1)</f>
        <v>300000</v>
      </c>
      <c r="K76" s="113"/>
      <c r="L76" s="110">
        <f>ROUNDDOWN(IF(N76*L75&gt;M75,M75,N76*L75),-1)</f>
        <v>70000</v>
      </c>
      <c r="M76" s="111"/>
      <c r="N76" s="23">
        <f>E76-F76-H76-J76</f>
        <v>1089000</v>
      </c>
      <c r="O76" s="22">
        <f>E76-F76-H76-J76-L76</f>
        <v>1019000</v>
      </c>
      <c r="P76" s="110">
        <f>ROUNDDOWN(IF(N76*P75&gt;Q75,Q75,N76*P75),-1)</f>
        <v>21780</v>
      </c>
      <c r="Q76" s="111"/>
      <c r="R76" s="110">
        <f>ROUNDDOWN(IF(N76*R75&gt;S75,S75,N76*R75),-1)</f>
        <v>10000</v>
      </c>
      <c r="S76" s="111"/>
      <c r="T76" s="110">
        <f>ROUNDDOWN(IF(N76*T75&gt;U75,U75,N76*T75),-1)</f>
        <v>21780</v>
      </c>
      <c r="U76" s="111"/>
      <c r="V76" s="158">
        <f>O76-P76-R76-T76</f>
        <v>965440</v>
      </c>
      <c r="W76" s="21"/>
      <c r="X76" s="20">
        <f>E76*X75</f>
        <v>109153.1</v>
      </c>
      <c r="Y76" s="20">
        <f>E76*Y75</f>
        <v>0</v>
      </c>
      <c r="Z76" s="20">
        <f>(E76-H76)*Z75</f>
        <v>45879.9</v>
      </c>
      <c r="AA76" s="19">
        <f>(E76*E75)*AA75</f>
        <v>0</v>
      </c>
      <c r="AB76" s="19">
        <f>F76*AB75</f>
        <v>0</v>
      </c>
      <c r="AC76" s="19">
        <f>H76*AC75</f>
        <v>30000</v>
      </c>
      <c r="AD76" s="19">
        <f>J76*AD75</f>
        <v>300000</v>
      </c>
      <c r="AE76" s="19">
        <f>L76*AE75</f>
        <v>35000</v>
      </c>
      <c r="AF76" s="19">
        <v>0</v>
      </c>
      <c r="AG76" s="16">
        <v>8000</v>
      </c>
      <c r="AH76" s="18">
        <f>E76-X76-Y76-Z76-AA76-AE76-AB76-AC76-AD76-AF76</f>
        <v>1039297</v>
      </c>
      <c r="AI76" s="18">
        <f>E76-X76-Y76-Z76-AA76-AB76-AC76-AD76-AE76-AF76-AG76</f>
        <v>1031297</v>
      </c>
      <c r="AJ76" s="17">
        <f>AI76-AK76</f>
        <v>-176703</v>
      </c>
      <c r="AK76" s="16">
        <v>1208000</v>
      </c>
      <c r="AL76" s="15">
        <f>AJ76/AK76</f>
        <v>-0.1462773178807947</v>
      </c>
      <c r="AM76" s="14">
        <f>1-O76/(AK76-AQ76-AR76-AS76)</f>
        <v>-1.0912698412698374E-2</v>
      </c>
      <c r="AN76" s="114">
        <f>(1-O76/E76)-(1-(AH76)/E76)</f>
        <v>1.3016487850551206E-2</v>
      </c>
      <c r="AO76" s="115"/>
      <c r="AQ76" s="13">
        <v>200000</v>
      </c>
      <c r="AR76" s="12"/>
      <c r="AS76" s="12">
        <v>0</v>
      </c>
      <c r="AT76" s="12"/>
      <c r="AU76" s="11">
        <f>AI76-(AK76-AQ76-AR76-AS76-AT76)</f>
        <v>23297</v>
      </c>
      <c r="AV76" s="8">
        <f>AU76/AK76</f>
        <v>1.9285596026490066E-2</v>
      </c>
      <c r="AX76" s="10">
        <v>0</v>
      </c>
      <c r="AY76" s="10">
        <v>0</v>
      </c>
      <c r="AZ76" s="9">
        <f>AU76-AX76-AY76</f>
        <v>23297</v>
      </c>
      <c r="BA76" s="8">
        <f>AZ76/AK76</f>
        <v>1.9285596026490066E-2</v>
      </c>
      <c r="BC76" s="49"/>
      <c r="BD76" s="50"/>
      <c r="BF76" s="6"/>
    </row>
    <row r="77" spans="1:58" x14ac:dyDescent="0.3">
      <c r="D77" s="5">
        <v>1299000</v>
      </c>
      <c r="E77" s="4">
        <f>ROUNDDOWN(D77/(1-E75),-1)</f>
        <v>1299000</v>
      </c>
      <c r="F77" s="138">
        <f>E76-F76</f>
        <v>1419000</v>
      </c>
      <c r="G77" s="138"/>
      <c r="H77" s="157">
        <f>E76-F76-H76</f>
        <v>1389000</v>
      </c>
      <c r="I77" s="157"/>
      <c r="O77" s="4"/>
      <c r="P77" s="162">
        <f>SUM(P76:U76)</f>
        <v>53560</v>
      </c>
      <c r="Q77" s="163"/>
      <c r="R77" s="163"/>
      <c r="S77" s="163"/>
      <c r="T77" s="163"/>
      <c r="U77" s="164"/>
      <c r="V77" s="4"/>
      <c r="AB77" s="3">
        <f>F77*AB75</f>
        <v>0</v>
      </c>
      <c r="AC77" s="3"/>
      <c r="AD77" s="3"/>
    </row>
    <row r="78" spans="1:58" x14ac:dyDescent="0.3">
      <c r="A78" s="43"/>
      <c r="B78" s="43"/>
      <c r="C78" s="43"/>
      <c r="D78" s="5"/>
    </row>
    <row r="79" spans="1:58" x14ac:dyDescent="0.3">
      <c r="A79" s="43"/>
      <c r="B79" s="43"/>
      <c r="C79" s="43"/>
      <c r="D79" s="5"/>
    </row>
    <row r="80" spans="1:58" ht="27" customHeight="1" x14ac:dyDescent="0.3">
      <c r="A80" s="153" t="s">
        <v>34</v>
      </c>
      <c r="B80" s="127" t="s">
        <v>130</v>
      </c>
      <c r="C80" s="128"/>
      <c r="D80" s="128"/>
      <c r="E80" s="128"/>
      <c r="F80" s="128"/>
      <c r="G80" s="128"/>
      <c r="H80" s="128"/>
      <c r="I80" s="128"/>
      <c r="J80" s="128"/>
      <c r="K80" s="128"/>
      <c r="L80" s="128"/>
      <c r="M80" s="156"/>
      <c r="N80" s="127" t="s">
        <v>141</v>
      </c>
      <c r="O80" s="156"/>
      <c r="P80" s="127" t="s">
        <v>167</v>
      </c>
      <c r="Q80" s="128"/>
      <c r="R80" s="128"/>
      <c r="S80" s="128"/>
      <c r="T80" s="128"/>
      <c r="U80" s="128"/>
      <c r="V80" s="156"/>
      <c r="X80" s="130" t="s">
        <v>33</v>
      </c>
      <c r="Y80" s="131"/>
      <c r="Z80" s="131"/>
      <c r="AA80" s="131"/>
      <c r="AB80" s="131"/>
      <c r="AC80" s="131"/>
      <c r="AD80" s="131"/>
      <c r="AE80" s="131"/>
      <c r="AF80" s="131"/>
      <c r="AG80" s="131"/>
      <c r="AH80" s="131"/>
      <c r="AI80" s="131"/>
      <c r="AJ80" s="131"/>
      <c r="AK80" s="131"/>
      <c r="AL80" s="132"/>
      <c r="AM80" s="37"/>
      <c r="AQ80" s="130" t="s">
        <v>32</v>
      </c>
      <c r="AR80" s="131"/>
      <c r="AS80" s="131"/>
      <c r="AT80" s="131"/>
      <c r="AU80" s="131"/>
      <c r="AV80" s="132"/>
      <c r="AX80" s="130" t="s">
        <v>31</v>
      </c>
      <c r="AY80" s="131"/>
      <c r="AZ80" s="131"/>
      <c r="BA80" s="132"/>
      <c r="BC80" s="47" t="s">
        <v>36</v>
      </c>
      <c r="BD80" s="48"/>
      <c r="BF80" s="36"/>
    </row>
    <row r="81" spans="1:58" ht="32.25" customHeight="1" x14ac:dyDescent="0.3">
      <c r="A81" s="153"/>
      <c r="B81" s="133" t="s">
        <v>30</v>
      </c>
      <c r="C81" s="133" t="s">
        <v>29</v>
      </c>
      <c r="D81" s="116" t="s">
        <v>27</v>
      </c>
      <c r="E81" s="34" t="s">
        <v>26</v>
      </c>
      <c r="F81" s="122" t="s">
        <v>63</v>
      </c>
      <c r="G81" s="123"/>
      <c r="H81" s="122" t="s">
        <v>50</v>
      </c>
      <c r="I81" s="123"/>
      <c r="J81" s="122" t="s">
        <v>146</v>
      </c>
      <c r="K81" s="123"/>
      <c r="L81" s="122" t="s">
        <v>25</v>
      </c>
      <c r="M81" s="123"/>
      <c r="N81" s="106" t="s">
        <v>23</v>
      </c>
      <c r="O81" s="151" t="s">
        <v>137</v>
      </c>
      <c r="P81" s="122" t="s">
        <v>136</v>
      </c>
      <c r="Q81" s="123"/>
      <c r="R81" s="122" t="s">
        <v>143</v>
      </c>
      <c r="S81" s="123"/>
      <c r="T81" s="122" t="s">
        <v>144</v>
      </c>
      <c r="U81" s="123"/>
      <c r="V81" s="159" t="s">
        <v>142</v>
      </c>
      <c r="W81" s="21"/>
      <c r="X81" s="34" t="s">
        <v>21</v>
      </c>
      <c r="Y81" s="34" t="s">
        <v>20</v>
      </c>
      <c r="Z81" s="34" t="s">
        <v>95</v>
      </c>
      <c r="AA81" s="34" t="s">
        <v>19</v>
      </c>
      <c r="AB81" s="34" t="s">
        <v>18</v>
      </c>
      <c r="AC81" s="34" t="s">
        <v>48</v>
      </c>
      <c r="AD81" s="34" t="s">
        <v>49</v>
      </c>
      <c r="AE81" s="34" t="s">
        <v>17</v>
      </c>
      <c r="AF81" s="106" t="s">
        <v>16</v>
      </c>
      <c r="AG81" s="106" t="s">
        <v>15</v>
      </c>
      <c r="AH81" s="106" t="s">
        <v>14</v>
      </c>
      <c r="AI81" s="106" t="s">
        <v>13</v>
      </c>
      <c r="AJ81" s="106" t="s">
        <v>12</v>
      </c>
      <c r="AK81" s="116" t="s">
        <v>11</v>
      </c>
      <c r="AL81" s="118" t="s">
        <v>10</v>
      </c>
      <c r="AM81" s="120" t="s">
        <v>9</v>
      </c>
      <c r="AN81" s="35">
        <f>(1-O83/E83)</f>
        <v>0.32052926850482732</v>
      </c>
      <c r="AO81" s="35">
        <f>1-(AH83+AQ83)/E83</f>
        <v>0.27729353309559013</v>
      </c>
      <c r="AQ81" s="106" t="s">
        <v>8</v>
      </c>
      <c r="AR81" s="106" t="s">
        <v>7</v>
      </c>
      <c r="AS81" s="106" t="s">
        <v>37</v>
      </c>
      <c r="AT81" s="106" t="s">
        <v>38</v>
      </c>
      <c r="AU81" s="106" t="s">
        <v>6</v>
      </c>
      <c r="AV81" s="106" t="s">
        <v>5</v>
      </c>
      <c r="AX81" s="106" t="s">
        <v>4</v>
      </c>
      <c r="AY81" s="106" t="s">
        <v>3</v>
      </c>
      <c r="AZ81" s="106" t="s">
        <v>2</v>
      </c>
      <c r="BA81" s="106" t="s">
        <v>1</v>
      </c>
      <c r="BC81" s="108"/>
      <c r="BD81" s="108"/>
      <c r="BF81" s="106"/>
    </row>
    <row r="82" spans="1:58" ht="27" customHeight="1" x14ac:dyDescent="0.3">
      <c r="A82" s="154" t="s">
        <v>153</v>
      </c>
      <c r="B82" s="134"/>
      <c r="C82" s="134"/>
      <c r="D82" s="117"/>
      <c r="E82" s="31">
        <v>0</v>
      </c>
      <c r="F82" s="33">
        <v>0.09</v>
      </c>
      <c r="G82" s="32">
        <v>1000000</v>
      </c>
      <c r="H82" s="31">
        <v>1</v>
      </c>
      <c r="I82" s="32">
        <v>30000</v>
      </c>
      <c r="J82" s="31">
        <v>1</v>
      </c>
      <c r="K82" s="32">
        <v>300000</v>
      </c>
      <c r="L82" s="31">
        <v>7.0000000000000007E-2</v>
      </c>
      <c r="M82" s="32">
        <v>150000</v>
      </c>
      <c r="N82" s="107"/>
      <c r="O82" s="152"/>
      <c r="P82" s="31">
        <v>0.02</v>
      </c>
      <c r="Q82" s="32">
        <v>1000000</v>
      </c>
      <c r="R82" s="31">
        <v>0.05</v>
      </c>
      <c r="S82" s="32">
        <v>10000</v>
      </c>
      <c r="T82" s="31">
        <v>0.02</v>
      </c>
      <c r="U82" s="32">
        <v>60000</v>
      </c>
      <c r="V82" s="159"/>
      <c r="W82" s="21"/>
      <c r="X82" s="31">
        <f>IF(C83="노트북",7%,IF(C83="저장&amp;주변기기",9%,IF(C83="모니터",7%)))</f>
        <v>7.0000000000000007E-2</v>
      </c>
      <c r="Y82" s="31">
        <v>0</v>
      </c>
      <c r="Z82" s="31">
        <v>0.03</v>
      </c>
      <c r="AA82" s="31">
        <v>0</v>
      </c>
      <c r="AB82" s="30">
        <v>0</v>
      </c>
      <c r="AC82" s="30">
        <v>1</v>
      </c>
      <c r="AD82" s="53">
        <v>1</v>
      </c>
      <c r="AE82" s="29">
        <v>0.5</v>
      </c>
      <c r="AF82" s="107"/>
      <c r="AG82" s="107"/>
      <c r="AH82" s="107"/>
      <c r="AI82" s="107"/>
      <c r="AJ82" s="107"/>
      <c r="AK82" s="117"/>
      <c r="AL82" s="119"/>
      <c r="AM82" s="121"/>
      <c r="AN82" s="55" t="s">
        <v>52</v>
      </c>
      <c r="AO82" s="56">
        <f>AN81-AO81</f>
        <v>4.3235735409237197E-2</v>
      </c>
      <c r="AQ82" s="107"/>
      <c r="AR82" s="107"/>
      <c r="AS82" s="107"/>
      <c r="AT82" s="107"/>
      <c r="AU82" s="107"/>
      <c r="AV82" s="107"/>
      <c r="AW82" s="39"/>
      <c r="AX82" s="107"/>
      <c r="AY82" s="117"/>
      <c r="AZ82" s="107"/>
      <c r="BA82" s="107"/>
      <c r="BC82" s="109"/>
      <c r="BD82" s="109"/>
      <c r="BF82" s="107"/>
    </row>
    <row r="83" spans="1:58" ht="27" customHeight="1" x14ac:dyDescent="0.3">
      <c r="A83" s="28">
        <v>4514843899</v>
      </c>
      <c r="B83" s="38" t="s">
        <v>35</v>
      </c>
      <c r="C83" s="27" t="s">
        <v>0</v>
      </c>
      <c r="D83" s="25">
        <v>1839520</v>
      </c>
      <c r="E83" s="24">
        <f>ROUNDDOWN(D83/(1-E82),-1)</f>
        <v>1839520</v>
      </c>
      <c r="F83" s="110">
        <f>ROUNDDOWN(IF(E83*F82&gt;G82,G82,E83*F82),-1)</f>
        <v>165550</v>
      </c>
      <c r="G83" s="111"/>
      <c r="H83" s="112">
        <f>ROUNDDOWN(IF(E83*H82&gt;I82,I82,E83*H82),-1)</f>
        <v>30000</v>
      </c>
      <c r="I83" s="113"/>
      <c r="J83" s="112">
        <f>ROUNDDOWN(IF(E83*J82&gt;K82,K82,E83*J82),-1)</f>
        <v>300000</v>
      </c>
      <c r="K83" s="113"/>
      <c r="L83" s="110">
        <f>ROUNDDOWN(IF(N83*L82&gt;M82,M82,N83*L82),-1)</f>
        <v>94070</v>
      </c>
      <c r="M83" s="111"/>
      <c r="N83" s="23">
        <f>E83-F83-H83-J83</f>
        <v>1343970</v>
      </c>
      <c r="O83" s="22">
        <f>E83-F83-H83-J83-L83</f>
        <v>1249900</v>
      </c>
      <c r="P83" s="110">
        <f>ROUNDDOWN(IF(N83*P82&gt;Q82,Q82,N83*P82),-1)</f>
        <v>26870</v>
      </c>
      <c r="Q83" s="111"/>
      <c r="R83" s="110">
        <f>ROUNDDOWN(IF(N83*R82&gt;S82,S82,N83*R82),-1)</f>
        <v>10000</v>
      </c>
      <c r="S83" s="111"/>
      <c r="T83" s="110">
        <f>ROUNDDOWN(IF(N83*T82&gt;U82,U82,N83*T82),-1)</f>
        <v>26870</v>
      </c>
      <c r="U83" s="111"/>
      <c r="V83" s="158">
        <f>O83-P83-R83-T83</f>
        <v>1186160</v>
      </c>
      <c r="W83" s="21"/>
      <c r="X83" s="20">
        <f>E83*X82</f>
        <v>128766.40000000001</v>
      </c>
      <c r="Y83" s="20">
        <f>E83*Y82</f>
        <v>0</v>
      </c>
      <c r="Z83" s="20">
        <f>(E83-H83)*Z82</f>
        <v>54285.599999999999</v>
      </c>
      <c r="AA83" s="19">
        <f>(E83*E82)*AA82</f>
        <v>0</v>
      </c>
      <c r="AB83" s="19">
        <f>F83*AB82</f>
        <v>0</v>
      </c>
      <c r="AC83" s="19">
        <f>H83*AC82</f>
        <v>30000</v>
      </c>
      <c r="AD83" s="19">
        <f>J83*AD82</f>
        <v>300000</v>
      </c>
      <c r="AE83" s="19">
        <f>L83*AE82</f>
        <v>47035</v>
      </c>
      <c r="AF83" s="19">
        <v>0</v>
      </c>
      <c r="AG83" s="16">
        <v>8000</v>
      </c>
      <c r="AH83" s="18">
        <f>E83-X83-Y83-Z83-AA83-AE83-AB83-AC83-AD83-AF83</f>
        <v>1279433</v>
      </c>
      <c r="AI83" s="18">
        <f>E83-X83-Y83-Z83-AA83-AB83-AC83-AD83-AE83-AF83-AG83</f>
        <v>1271433</v>
      </c>
      <c r="AJ83" s="17">
        <f>AI83-AK83</f>
        <v>-36567</v>
      </c>
      <c r="AK83" s="16">
        <v>1308000</v>
      </c>
      <c r="AL83" s="15">
        <f>AJ83/AK83</f>
        <v>-2.7956422018348623E-2</v>
      </c>
      <c r="AM83" s="14">
        <f>1-O83/(AK83-AQ83-AR83-AS83)</f>
        <v>6.4387917329093991E-3</v>
      </c>
      <c r="AN83" s="114">
        <f>(1-O83/E83)-(1-(AH83)/E83)</f>
        <v>1.6054731669131073E-2</v>
      </c>
      <c r="AO83" s="115"/>
      <c r="AQ83" s="13">
        <v>50000</v>
      </c>
      <c r="AR83" s="12"/>
      <c r="AS83" s="12">
        <v>0</v>
      </c>
      <c r="AT83" s="12"/>
      <c r="AU83" s="11">
        <f>AI83-(AK83-AQ83-AR83-AS83-AT83)</f>
        <v>13433</v>
      </c>
      <c r="AV83" s="8">
        <f>AU83/AK83</f>
        <v>1.0269877675840979E-2</v>
      </c>
      <c r="AX83" s="10">
        <v>0</v>
      </c>
      <c r="AY83" s="10">
        <v>0</v>
      </c>
      <c r="AZ83" s="9">
        <f>AU83-AX83-AY83</f>
        <v>13433</v>
      </c>
      <c r="BA83" s="8">
        <f>AZ83/AK83</f>
        <v>1.0269877675840979E-2</v>
      </c>
      <c r="BC83" s="49"/>
      <c r="BD83" s="50"/>
      <c r="BF83" s="6"/>
    </row>
    <row r="84" spans="1:58" x14ac:dyDescent="0.3">
      <c r="D84" s="5">
        <v>1399000</v>
      </c>
      <c r="E84" s="4">
        <f>ROUNDDOWN(D84/(1-E82),-1)</f>
        <v>1399000</v>
      </c>
      <c r="F84" s="138">
        <f>E83-F83</f>
        <v>1673970</v>
      </c>
      <c r="G84" s="138"/>
      <c r="H84" s="157">
        <f>E83-F83-H83</f>
        <v>1643970</v>
      </c>
      <c r="I84" s="157"/>
      <c r="O84" s="4"/>
      <c r="P84" s="162">
        <f>SUM(P83:U83)</f>
        <v>63740</v>
      </c>
      <c r="Q84" s="163"/>
      <c r="R84" s="163"/>
      <c r="S84" s="163"/>
      <c r="T84" s="163"/>
      <c r="U84" s="164"/>
      <c r="V84" s="4"/>
      <c r="AB84" s="3">
        <f>F84*AB82</f>
        <v>0</v>
      </c>
      <c r="AC84" s="3"/>
      <c r="AD84" s="3"/>
    </row>
    <row r="86" spans="1:58" x14ac:dyDescent="0.3">
      <c r="A86" s="43"/>
      <c r="B86" s="43"/>
      <c r="C86" s="43"/>
      <c r="D86" s="5"/>
    </row>
    <row r="87" spans="1:58" ht="27" customHeight="1" x14ac:dyDescent="0.3">
      <c r="A87" s="153" t="s">
        <v>34</v>
      </c>
      <c r="B87" s="127" t="s">
        <v>130</v>
      </c>
      <c r="C87" s="128"/>
      <c r="D87" s="128"/>
      <c r="E87" s="128"/>
      <c r="F87" s="128"/>
      <c r="G87" s="128"/>
      <c r="H87" s="128"/>
      <c r="I87" s="128"/>
      <c r="J87" s="128"/>
      <c r="K87" s="128"/>
      <c r="L87" s="128"/>
      <c r="M87" s="156"/>
      <c r="N87" s="127" t="s">
        <v>141</v>
      </c>
      <c r="O87" s="156"/>
      <c r="P87" s="127" t="s">
        <v>167</v>
      </c>
      <c r="Q87" s="128"/>
      <c r="R87" s="128"/>
      <c r="S87" s="128"/>
      <c r="T87" s="128"/>
      <c r="U87" s="128"/>
      <c r="V87" s="156"/>
      <c r="X87" s="130" t="s">
        <v>33</v>
      </c>
      <c r="Y87" s="131"/>
      <c r="Z87" s="131"/>
      <c r="AA87" s="131"/>
      <c r="AB87" s="131"/>
      <c r="AC87" s="131"/>
      <c r="AD87" s="131"/>
      <c r="AE87" s="131"/>
      <c r="AF87" s="131"/>
      <c r="AG87" s="131"/>
      <c r="AH87" s="131"/>
      <c r="AI87" s="131"/>
      <c r="AJ87" s="131"/>
      <c r="AK87" s="131"/>
      <c r="AL87" s="132"/>
      <c r="AM87" s="37"/>
      <c r="AQ87" s="130" t="s">
        <v>32</v>
      </c>
      <c r="AR87" s="131"/>
      <c r="AS87" s="131"/>
      <c r="AT87" s="131"/>
      <c r="AU87" s="131"/>
      <c r="AV87" s="132"/>
      <c r="AX87" s="130" t="s">
        <v>31</v>
      </c>
      <c r="AY87" s="131"/>
      <c r="AZ87" s="131"/>
      <c r="BA87" s="132"/>
      <c r="BC87" s="47" t="s">
        <v>36</v>
      </c>
      <c r="BD87" s="48"/>
      <c r="BF87" s="36"/>
    </row>
    <row r="88" spans="1:58" ht="32.25" customHeight="1" x14ac:dyDescent="0.3">
      <c r="A88" s="153"/>
      <c r="B88" s="133" t="s">
        <v>30</v>
      </c>
      <c r="C88" s="133" t="s">
        <v>29</v>
      </c>
      <c r="D88" s="116" t="s">
        <v>27</v>
      </c>
      <c r="E88" s="34" t="s">
        <v>26</v>
      </c>
      <c r="F88" s="122" t="s">
        <v>63</v>
      </c>
      <c r="G88" s="123"/>
      <c r="H88" s="122" t="s">
        <v>50</v>
      </c>
      <c r="I88" s="123"/>
      <c r="J88" s="122" t="s">
        <v>146</v>
      </c>
      <c r="K88" s="123"/>
      <c r="L88" s="122" t="s">
        <v>25</v>
      </c>
      <c r="M88" s="123"/>
      <c r="N88" s="106" t="s">
        <v>23</v>
      </c>
      <c r="O88" s="151" t="s">
        <v>137</v>
      </c>
      <c r="P88" s="122" t="s">
        <v>136</v>
      </c>
      <c r="Q88" s="123"/>
      <c r="R88" s="122" t="s">
        <v>143</v>
      </c>
      <c r="S88" s="123"/>
      <c r="T88" s="122" t="s">
        <v>144</v>
      </c>
      <c r="U88" s="123"/>
      <c r="V88" s="159" t="s">
        <v>142</v>
      </c>
      <c r="W88" s="21"/>
      <c r="X88" s="34" t="s">
        <v>21</v>
      </c>
      <c r="Y88" s="34" t="s">
        <v>20</v>
      </c>
      <c r="Z88" s="34" t="s">
        <v>95</v>
      </c>
      <c r="AA88" s="34" t="s">
        <v>19</v>
      </c>
      <c r="AB88" s="34" t="s">
        <v>18</v>
      </c>
      <c r="AC88" s="34" t="s">
        <v>48</v>
      </c>
      <c r="AD88" s="34" t="s">
        <v>49</v>
      </c>
      <c r="AE88" s="34" t="s">
        <v>17</v>
      </c>
      <c r="AF88" s="106" t="s">
        <v>16</v>
      </c>
      <c r="AG88" s="106" t="s">
        <v>15</v>
      </c>
      <c r="AH88" s="106" t="s">
        <v>14</v>
      </c>
      <c r="AI88" s="106" t="s">
        <v>13</v>
      </c>
      <c r="AJ88" s="106" t="s">
        <v>12</v>
      </c>
      <c r="AK88" s="116" t="s">
        <v>11</v>
      </c>
      <c r="AL88" s="118" t="s">
        <v>10</v>
      </c>
      <c r="AM88" s="120" t="s">
        <v>9</v>
      </c>
      <c r="AN88" s="35">
        <f>(1-O90/E90)</f>
        <v>0.32611235955056184</v>
      </c>
      <c r="AO88" s="35">
        <f>1-(AH90+AQ90)/E90</f>
        <v>0.19788764044943818</v>
      </c>
      <c r="AQ88" s="106" t="s">
        <v>8</v>
      </c>
      <c r="AR88" s="106" t="s">
        <v>7</v>
      </c>
      <c r="AS88" s="106" t="s">
        <v>37</v>
      </c>
      <c r="AT88" s="106" t="s">
        <v>38</v>
      </c>
      <c r="AU88" s="106" t="s">
        <v>6</v>
      </c>
      <c r="AV88" s="106" t="s">
        <v>5</v>
      </c>
      <c r="AX88" s="106" t="s">
        <v>4</v>
      </c>
      <c r="AY88" s="106" t="s">
        <v>3</v>
      </c>
      <c r="AZ88" s="106" t="s">
        <v>2</v>
      </c>
      <c r="BA88" s="106" t="s">
        <v>1</v>
      </c>
      <c r="BC88" s="108"/>
      <c r="BD88" s="108"/>
      <c r="BF88" s="106"/>
    </row>
    <row r="89" spans="1:58" ht="27" customHeight="1" x14ac:dyDescent="0.3">
      <c r="A89" s="154" t="s">
        <v>154</v>
      </c>
      <c r="B89" s="134"/>
      <c r="C89" s="134"/>
      <c r="D89" s="117"/>
      <c r="E89" s="31">
        <v>0</v>
      </c>
      <c r="F89" s="33">
        <v>0.09</v>
      </c>
      <c r="G89" s="32">
        <v>1000000</v>
      </c>
      <c r="H89" s="31">
        <v>1</v>
      </c>
      <c r="I89" s="32">
        <v>30000</v>
      </c>
      <c r="J89" s="31">
        <v>1</v>
      </c>
      <c r="K89" s="32">
        <v>300000</v>
      </c>
      <c r="L89" s="31">
        <v>7.0000000000000007E-2</v>
      </c>
      <c r="M89" s="32">
        <v>150000</v>
      </c>
      <c r="N89" s="107"/>
      <c r="O89" s="152"/>
      <c r="P89" s="31">
        <v>0.02</v>
      </c>
      <c r="Q89" s="32">
        <v>1000000</v>
      </c>
      <c r="R89" s="31">
        <v>0.05</v>
      </c>
      <c r="S89" s="32">
        <v>10000</v>
      </c>
      <c r="T89" s="31">
        <v>0.02</v>
      </c>
      <c r="U89" s="32">
        <v>60000</v>
      </c>
      <c r="V89" s="159"/>
      <c r="W89" s="21"/>
      <c r="X89" s="31">
        <f>IF(C90="노트북",7%,IF(C90="저장&amp;주변기기",9%,IF(C90="모니터",7%)))</f>
        <v>7.0000000000000007E-2</v>
      </c>
      <c r="Y89" s="31">
        <v>0</v>
      </c>
      <c r="Z89" s="31">
        <v>0.03</v>
      </c>
      <c r="AA89" s="31">
        <f>IF(F89=0%,20%,0%)</f>
        <v>0</v>
      </c>
      <c r="AB89" s="30">
        <v>0</v>
      </c>
      <c r="AC89" s="30">
        <v>1</v>
      </c>
      <c r="AD89" s="53">
        <v>1</v>
      </c>
      <c r="AE89" s="29">
        <v>0.5</v>
      </c>
      <c r="AF89" s="107"/>
      <c r="AG89" s="107"/>
      <c r="AH89" s="107"/>
      <c r="AI89" s="107"/>
      <c r="AJ89" s="107"/>
      <c r="AK89" s="117"/>
      <c r="AL89" s="119"/>
      <c r="AM89" s="121"/>
      <c r="AN89" s="55" t="s">
        <v>52</v>
      </c>
      <c r="AO89" s="56">
        <f>AN88-AO88</f>
        <v>0.12822471910112365</v>
      </c>
      <c r="AQ89" s="107"/>
      <c r="AR89" s="107"/>
      <c r="AS89" s="107"/>
      <c r="AT89" s="107"/>
      <c r="AU89" s="107"/>
      <c r="AV89" s="107"/>
      <c r="AW89" s="39"/>
      <c r="AX89" s="107"/>
      <c r="AY89" s="117"/>
      <c r="AZ89" s="107"/>
      <c r="BA89" s="107"/>
      <c r="BC89" s="109"/>
      <c r="BD89" s="109"/>
      <c r="BF89" s="107"/>
    </row>
    <row r="90" spans="1:58" ht="27" customHeight="1" x14ac:dyDescent="0.3">
      <c r="A90" s="28">
        <v>4514865274</v>
      </c>
      <c r="B90" s="38" t="s">
        <v>35</v>
      </c>
      <c r="C90" s="27" t="s">
        <v>0</v>
      </c>
      <c r="D90" s="25">
        <v>1780000</v>
      </c>
      <c r="E90" s="24">
        <f>ROUNDDOWN(D90/(1-E89),-1)</f>
        <v>1780000</v>
      </c>
      <c r="F90" s="110">
        <f>ROUNDDOWN(IF(E90*F89&gt;G89,G89,E90*F89),-1)</f>
        <v>160200</v>
      </c>
      <c r="G90" s="111"/>
      <c r="H90" s="112">
        <f>ROUNDDOWN(IF(E90*H89&gt;I89,I89,E90*H89),-1)</f>
        <v>30000</v>
      </c>
      <c r="I90" s="113"/>
      <c r="J90" s="112">
        <f>ROUNDDOWN(IF(E90*J89&gt;K89,K89,E90*J89),-1)</f>
        <v>300000</v>
      </c>
      <c r="K90" s="113"/>
      <c r="L90" s="110">
        <f>ROUNDDOWN(IF(N90*L89&gt;M89,M89,N90*L89),-1)</f>
        <v>90280</v>
      </c>
      <c r="M90" s="111"/>
      <c r="N90" s="23">
        <f>E90-F90-H90-J90</f>
        <v>1289800</v>
      </c>
      <c r="O90" s="22">
        <f>E90-F90-H90-J90-L90</f>
        <v>1199520</v>
      </c>
      <c r="P90" s="110">
        <f>ROUNDDOWN(IF(N90*P89&gt;Q89,Q89,N90*P89),-1)</f>
        <v>25790</v>
      </c>
      <c r="Q90" s="111"/>
      <c r="R90" s="110">
        <f>ROUNDDOWN(IF(N90*R89&gt;S89,S89,N90*R89),-1)</f>
        <v>10000</v>
      </c>
      <c r="S90" s="111"/>
      <c r="T90" s="110">
        <f>ROUNDDOWN(IF(N90*T89&gt;U89,U89,N90*T89),-1)</f>
        <v>25790</v>
      </c>
      <c r="U90" s="111"/>
      <c r="V90" s="158">
        <f>O90-P90-R90-T90</f>
        <v>1137940</v>
      </c>
      <c r="W90" s="21"/>
      <c r="X90" s="20">
        <f>E90*X89</f>
        <v>124600.00000000001</v>
      </c>
      <c r="Y90" s="20">
        <f>E90*Y89</f>
        <v>0</v>
      </c>
      <c r="Z90" s="20">
        <f>(E90-H90)*Z89</f>
        <v>52500</v>
      </c>
      <c r="AA90" s="19">
        <f>(E90*E89)*AA89</f>
        <v>0</v>
      </c>
      <c r="AB90" s="19">
        <f>F90*AB89</f>
        <v>0</v>
      </c>
      <c r="AC90" s="19">
        <f>H90*AC89</f>
        <v>30000</v>
      </c>
      <c r="AD90" s="19">
        <f>J90*AD89</f>
        <v>300000</v>
      </c>
      <c r="AE90" s="19">
        <f>L90*AE89</f>
        <v>45140</v>
      </c>
      <c r="AF90" s="19">
        <v>0</v>
      </c>
      <c r="AG90" s="16">
        <v>8000</v>
      </c>
      <c r="AH90" s="18">
        <f>E90-X90-Y90-Z90-AA90-AE90-AB90-AC90-AD90-AF90</f>
        <v>1227760</v>
      </c>
      <c r="AI90" s="18">
        <f>E90-X90-Y90-Z90-AA90-AB90-AC90-AD90-AE90-AF90-AG90</f>
        <v>1219760</v>
      </c>
      <c r="AJ90" s="17">
        <f>AI90-AK90</f>
        <v>-190240</v>
      </c>
      <c r="AK90" s="16">
        <v>1410000</v>
      </c>
      <c r="AL90" s="15">
        <f>AJ90/AK90</f>
        <v>-0.13492198581560283</v>
      </c>
      <c r="AM90" s="14">
        <f>1-O90/(AK90-AQ90-AR90-AS90)</f>
        <v>8.66115702479342E-3</v>
      </c>
      <c r="AN90" s="114">
        <f>(1-O90/E90)-(1-(AH90)/E90)</f>
        <v>1.5865168539325847E-2</v>
      </c>
      <c r="AO90" s="115"/>
      <c r="AQ90" s="13">
        <v>200000</v>
      </c>
      <c r="AR90" s="12"/>
      <c r="AS90" s="12">
        <v>0</v>
      </c>
      <c r="AT90" s="12"/>
      <c r="AU90" s="11">
        <f>AI90-(AK90-AQ90-AR90-AS90-AT90)</f>
        <v>9760</v>
      </c>
      <c r="AV90" s="8">
        <f>AU90/AK90</f>
        <v>6.9219858156028373E-3</v>
      </c>
      <c r="AX90" s="10">
        <v>0</v>
      </c>
      <c r="AY90" s="10">
        <v>0</v>
      </c>
      <c r="AZ90" s="9">
        <f>AU90-AX90-AY90</f>
        <v>9760</v>
      </c>
      <c r="BA90" s="8">
        <f>AZ90/AK90</f>
        <v>6.9219858156028373E-3</v>
      </c>
      <c r="BC90" s="49"/>
      <c r="BD90" s="50"/>
      <c r="BF90" s="6"/>
    </row>
    <row r="91" spans="1:58" x14ac:dyDescent="0.3">
      <c r="D91" s="5">
        <v>1499000</v>
      </c>
      <c r="E91" s="4">
        <f>ROUNDDOWN(D91/(1-E89),-1)</f>
        <v>1499000</v>
      </c>
      <c r="F91" s="138">
        <f>E90-F90</f>
        <v>1619800</v>
      </c>
      <c r="G91" s="138"/>
      <c r="H91" s="157">
        <f>E90-F90-H90</f>
        <v>1589800</v>
      </c>
      <c r="I91" s="157"/>
      <c r="O91" s="4"/>
      <c r="P91" s="162">
        <f>SUM(P90:U90)</f>
        <v>61580</v>
      </c>
      <c r="Q91" s="163"/>
      <c r="R91" s="163"/>
      <c r="S91" s="163"/>
      <c r="T91" s="163"/>
      <c r="U91" s="164"/>
      <c r="V91" s="4"/>
      <c r="AB91" s="3">
        <f>F91*AB89</f>
        <v>0</v>
      </c>
      <c r="AC91" s="3"/>
      <c r="AD91" s="3"/>
    </row>
    <row r="92" spans="1:58" x14ac:dyDescent="0.3">
      <c r="A92" s="43"/>
      <c r="B92" s="43"/>
      <c r="C92" s="43"/>
      <c r="D92" s="5"/>
    </row>
    <row r="93" spans="1:58" x14ac:dyDescent="0.3">
      <c r="A93" s="43"/>
      <c r="B93" s="43"/>
      <c r="C93" s="43"/>
      <c r="D93" s="5"/>
    </row>
    <row r="94" spans="1:58" ht="27" customHeight="1" x14ac:dyDescent="0.3">
      <c r="A94" s="153" t="s">
        <v>34</v>
      </c>
      <c r="B94" s="127" t="s">
        <v>130</v>
      </c>
      <c r="C94" s="128"/>
      <c r="D94" s="128"/>
      <c r="E94" s="128"/>
      <c r="F94" s="128"/>
      <c r="G94" s="128"/>
      <c r="H94" s="128"/>
      <c r="I94" s="128"/>
      <c r="J94" s="128"/>
      <c r="K94" s="128"/>
      <c r="L94" s="128"/>
      <c r="M94" s="156"/>
      <c r="N94" s="127" t="s">
        <v>141</v>
      </c>
      <c r="O94" s="156"/>
      <c r="P94" s="127" t="s">
        <v>167</v>
      </c>
      <c r="Q94" s="128"/>
      <c r="R94" s="128"/>
      <c r="S94" s="128"/>
      <c r="T94" s="128"/>
      <c r="U94" s="128"/>
      <c r="V94" s="156"/>
      <c r="X94" s="130" t="s">
        <v>33</v>
      </c>
      <c r="Y94" s="131"/>
      <c r="Z94" s="131"/>
      <c r="AA94" s="131"/>
      <c r="AB94" s="131"/>
      <c r="AC94" s="131"/>
      <c r="AD94" s="131"/>
      <c r="AE94" s="131"/>
      <c r="AF94" s="131"/>
      <c r="AG94" s="131"/>
      <c r="AH94" s="131"/>
      <c r="AI94" s="131"/>
      <c r="AJ94" s="131"/>
      <c r="AK94" s="131"/>
      <c r="AL94" s="132"/>
      <c r="AM94" s="37"/>
      <c r="AQ94" s="130" t="s">
        <v>32</v>
      </c>
      <c r="AR94" s="131"/>
      <c r="AS94" s="131"/>
      <c r="AT94" s="131"/>
      <c r="AU94" s="131"/>
      <c r="AV94" s="132"/>
      <c r="AX94" s="130" t="s">
        <v>31</v>
      </c>
      <c r="AY94" s="131"/>
      <c r="AZ94" s="131"/>
      <c r="BA94" s="132"/>
      <c r="BC94" s="47" t="s">
        <v>36</v>
      </c>
      <c r="BD94" s="48"/>
      <c r="BF94" s="36"/>
    </row>
    <row r="95" spans="1:58" ht="32.25" customHeight="1" x14ac:dyDescent="0.3">
      <c r="A95" s="153"/>
      <c r="B95" s="133" t="s">
        <v>30</v>
      </c>
      <c r="C95" s="133" t="s">
        <v>29</v>
      </c>
      <c r="D95" s="116" t="s">
        <v>27</v>
      </c>
      <c r="E95" s="34" t="s">
        <v>26</v>
      </c>
      <c r="F95" s="122" t="s">
        <v>63</v>
      </c>
      <c r="G95" s="123"/>
      <c r="H95" s="122" t="s">
        <v>50</v>
      </c>
      <c r="I95" s="123"/>
      <c r="J95" s="122" t="s">
        <v>146</v>
      </c>
      <c r="K95" s="123"/>
      <c r="L95" s="122" t="s">
        <v>25</v>
      </c>
      <c r="M95" s="123"/>
      <c r="N95" s="106" t="s">
        <v>23</v>
      </c>
      <c r="O95" s="151" t="s">
        <v>137</v>
      </c>
      <c r="P95" s="122" t="s">
        <v>136</v>
      </c>
      <c r="Q95" s="123"/>
      <c r="R95" s="122" t="s">
        <v>143</v>
      </c>
      <c r="S95" s="123"/>
      <c r="T95" s="122" t="s">
        <v>144</v>
      </c>
      <c r="U95" s="123"/>
      <c r="V95" s="159" t="s">
        <v>142</v>
      </c>
      <c r="W95" s="21"/>
      <c r="X95" s="34" t="s">
        <v>21</v>
      </c>
      <c r="Y95" s="34" t="s">
        <v>20</v>
      </c>
      <c r="Z95" s="34" t="s">
        <v>95</v>
      </c>
      <c r="AA95" s="34" t="s">
        <v>19</v>
      </c>
      <c r="AB95" s="34" t="s">
        <v>18</v>
      </c>
      <c r="AC95" s="34" t="s">
        <v>48</v>
      </c>
      <c r="AD95" s="34" t="s">
        <v>49</v>
      </c>
      <c r="AE95" s="34" t="s">
        <v>17</v>
      </c>
      <c r="AF95" s="106" t="s">
        <v>16</v>
      </c>
      <c r="AG95" s="106" t="s">
        <v>15</v>
      </c>
      <c r="AH95" s="106" t="s">
        <v>14</v>
      </c>
      <c r="AI95" s="106" t="s">
        <v>13</v>
      </c>
      <c r="AJ95" s="106" t="s">
        <v>12</v>
      </c>
      <c r="AK95" s="116" t="s">
        <v>11</v>
      </c>
      <c r="AL95" s="118" t="s">
        <v>10</v>
      </c>
      <c r="AM95" s="120" t="s">
        <v>9</v>
      </c>
      <c r="AN95" s="35">
        <f>(1-O97/E97)</f>
        <v>0.31238366080661839</v>
      </c>
      <c r="AO95" s="35">
        <f>1-(AH97+AQ97)/E97</f>
        <v>0.21848241985522232</v>
      </c>
      <c r="AQ95" s="106" t="s">
        <v>8</v>
      </c>
      <c r="AR95" s="106" t="s">
        <v>7</v>
      </c>
      <c r="AS95" s="106" t="s">
        <v>37</v>
      </c>
      <c r="AT95" s="106" t="s">
        <v>38</v>
      </c>
      <c r="AU95" s="106" t="s">
        <v>6</v>
      </c>
      <c r="AV95" s="106" t="s">
        <v>5</v>
      </c>
      <c r="AX95" s="106" t="s">
        <v>4</v>
      </c>
      <c r="AY95" s="106" t="s">
        <v>3</v>
      </c>
      <c r="AZ95" s="106" t="s">
        <v>2</v>
      </c>
      <c r="BA95" s="106" t="s">
        <v>1</v>
      </c>
      <c r="BC95" s="108"/>
      <c r="BD95" s="108"/>
      <c r="BF95" s="106"/>
    </row>
    <row r="96" spans="1:58" ht="27" customHeight="1" x14ac:dyDescent="0.3">
      <c r="A96" s="154" t="s">
        <v>155</v>
      </c>
      <c r="B96" s="134"/>
      <c r="C96" s="134"/>
      <c r="D96" s="117"/>
      <c r="E96" s="31">
        <v>0</v>
      </c>
      <c r="F96" s="33">
        <v>0.09</v>
      </c>
      <c r="G96" s="32">
        <v>1000000</v>
      </c>
      <c r="H96" s="31">
        <v>1</v>
      </c>
      <c r="I96" s="32">
        <v>30000</v>
      </c>
      <c r="J96" s="31">
        <v>1</v>
      </c>
      <c r="K96" s="32">
        <v>300000</v>
      </c>
      <c r="L96" s="31">
        <v>7.0000000000000007E-2</v>
      </c>
      <c r="M96" s="32">
        <v>150000</v>
      </c>
      <c r="N96" s="107"/>
      <c r="O96" s="152"/>
      <c r="P96" s="31">
        <v>0.02</v>
      </c>
      <c r="Q96" s="32">
        <v>1000000</v>
      </c>
      <c r="R96" s="31">
        <v>0.05</v>
      </c>
      <c r="S96" s="32">
        <v>10000</v>
      </c>
      <c r="T96" s="31">
        <v>0.02</v>
      </c>
      <c r="U96" s="32">
        <v>60000</v>
      </c>
      <c r="V96" s="159"/>
      <c r="W96" s="21"/>
      <c r="X96" s="31">
        <f>IF(C97="노트북",7%,IF(C97="저장&amp;주변기기",9%,IF(C97="모니터",7%)))</f>
        <v>7.0000000000000007E-2</v>
      </c>
      <c r="Y96" s="31">
        <v>0</v>
      </c>
      <c r="Z96" s="31">
        <v>0.03</v>
      </c>
      <c r="AA96" s="31">
        <f>IF(F96=0%,20%,0%)</f>
        <v>0</v>
      </c>
      <c r="AB96" s="30">
        <v>0</v>
      </c>
      <c r="AC96" s="30">
        <v>1</v>
      </c>
      <c r="AD96" s="53">
        <v>1</v>
      </c>
      <c r="AE96" s="29">
        <v>0.5</v>
      </c>
      <c r="AF96" s="107"/>
      <c r="AG96" s="107"/>
      <c r="AH96" s="107"/>
      <c r="AI96" s="107"/>
      <c r="AJ96" s="107"/>
      <c r="AK96" s="117"/>
      <c r="AL96" s="119"/>
      <c r="AM96" s="121"/>
      <c r="AN96" s="55" t="s">
        <v>52</v>
      </c>
      <c r="AO96" s="56">
        <f>AN95-AO95</f>
        <v>9.390124095139607E-2</v>
      </c>
      <c r="AQ96" s="107"/>
      <c r="AR96" s="107"/>
      <c r="AS96" s="107"/>
      <c r="AT96" s="107"/>
      <c r="AU96" s="107"/>
      <c r="AV96" s="107"/>
      <c r="AW96" s="39"/>
      <c r="AX96" s="107"/>
      <c r="AY96" s="117"/>
      <c r="AZ96" s="107"/>
      <c r="BA96" s="107"/>
      <c r="BC96" s="109"/>
      <c r="BD96" s="109"/>
      <c r="BF96" s="107"/>
    </row>
    <row r="97" spans="1:58" ht="27" customHeight="1" x14ac:dyDescent="0.3">
      <c r="A97" s="28">
        <v>4742601146</v>
      </c>
      <c r="B97" s="38" t="s">
        <v>35</v>
      </c>
      <c r="C97" s="27" t="s">
        <v>0</v>
      </c>
      <c r="D97" s="25">
        <v>1934000</v>
      </c>
      <c r="E97" s="24">
        <f>ROUNDDOWN(D97/(1-E96),-1)</f>
        <v>1934000</v>
      </c>
      <c r="F97" s="110">
        <f>ROUNDDOWN(IF(E97*F96&gt;G96,G96,E97*F96),-1)</f>
        <v>174060</v>
      </c>
      <c r="G97" s="111"/>
      <c r="H97" s="112">
        <f>ROUNDDOWN(IF(E97*H96&gt;I96,I96,E97*H96),-1)</f>
        <v>30000</v>
      </c>
      <c r="I97" s="113"/>
      <c r="J97" s="112">
        <f>ROUNDDOWN(IF(E97*J96&gt;K96,K96,E97*J96),-1)</f>
        <v>300000</v>
      </c>
      <c r="K97" s="113"/>
      <c r="L97" s="110">
        <f>ROUNDDOWN(IF(N97*L96&gt;M96,M96,N97*L96),-1)</f>
        <v>100090</v>
      </c>
      <c r="M97" s="111"/>
      <c r="N97" s="23">
        <f>E97-F97-H97-J97</f>
        <v>1429940</v>
      </c>
      <c r="O97" s="22">
        <f>E97-F97-H97-J97-L97</f>
        <v>1329850</v>
      </c>
      <c r="P97" s="110">
        <f>ROUNDDOWN(IF(N97*P96&gt;Q96,Q96,N97*P96),-1)</f>
        <v>28590</v>
      </c>
      <c r="Q97" s="111"/>
      <c r="R97" s="110">
        <f>ROUNDDOWN(IF(N97*R96&gt;S96,S96,N97*R96),-1)</f>
        <v>10000</v>
      </c>
      <c r="S97" s="111"/>
      <c r="T97" s="110">
        <f>ROUNDDOWN(IF(N97*T96&gt;U96,U96,N97*T96),-1)</f>
        <v>28590</v>
      </c>
      <c r="U97" s="111"/>
      <c r="V97" s="158">
        <f>O97-P97-R97-T97</f>
        <v>1262670</v>
      </c>
      <c r="W97" s="21"/>
      <c r="X97" s="20">
        <f>E97*X96</f>
        <v>135380</v>
      </c>
      <c r="Y97" s="20">
        <f>E97*Y96</f>
        <v>0</v>
      </c>
      <c r="Z97" s="20">
        <f>(E97-H97)*Z96</f>
        <v>57120</v>
      </c>
      <c r="AA97" s="19">
        <f>(E97*E96)*AA96</f>
        <v>0</v>
      </c>
      <c r="AB97" s="19">
        <f>F97*AB96</f>
        <v>0</v>
      </c>
      <c r="AC97" s="19">
        <f>H97*AC96</f>
        <v>30000</v>
      </c>
      <c r="AD97" s="19">
        <f>J97*AD96</f>
        <v>300000</v>
      </c>
      <c r="AE97" s="19">
        <f>L97*AE96</f>
        <v>50045</v>
      </c>
      <c r="AF97" s="19">
        <v>0</v>
      </c>
      <c r="AG97" s="16">
        <v>8000</v>
      </c>
      <c r="AH97" s="18">
        <f>E97-X97-Y97-Z97-AA97-AE97-AB97-AC97-AD97-AF97</f>
        <v>1361455</v>
      </c>
      <c r="AI97" s="18">
        <f>E97-X97-Y97-Z97-AA97-AB97-AC97-AD97-AE97-AF97-AG97</f>
        <v>1353455</v>
      </c>
      <c r="AJ97" s="17">
        <f>AI97-AK97</f>
        <v>-133545</v>
      </c>
      <c r="AK97" s="16">
        <v>1487000</v>
      </c>
      <c r="AL97" s="15">
        <f>AJ97/AK97</f>
        <v>-8.9808338937457974E-2</v>
      </c>
      <c r="AM97" s="14">
        <f>1-O97/(AK97-AQ97-AR97-AS97)</f>
        <v>5.3477935676888855E-3</v>
      </c>
      <c r="AN97" s="114">
        <f>(1-O97/E97)-(1-(AH97)/E97)</f>
        <v>1.6341778697001041E-2</v>
      </c>
      <c r="AO97" s="115"/>
      <c r="AQ97" s="13">
        <v>150000</v>
      </c>
      <c r="AR97" s="12"/>
      <c r="AS97" s="12">
        <v>0</v>
      </c>
      <c r="AT97" s="12"/>
      <c r="AU97" s="11">
        <f>AI97-(AK97-AQ97-AR97-AS97-AT97)</f>
        <v>16455</v>
      </c>
      <c r="AV97" s="8">
        <f>AU97/AK97</f>
        <v>1.1065904505716206E-2</v>
      </c>
      <c r="AX97" s="10">
        <v>0</v>
      </c>
      <c r="AY97" s="10">
        <v>0</v>
      </c>
      <c r="AZ97" s="9">
        <f>AU97-AX97-AY97</f>
        <v>16455</v>
      </c>
      <c r="BA97" s="8">
        <f>AZ97/AK97</f>
        <v>1.1065904505716206E-2</v>
      </c>
      <c r="BC97" s="49"/>
      <c r="BD97" s="50"/>
      <c r="BF97" s="6"/>
    </row>
    <row r="98" spans="1:58" x14ac:dyDescent="0.3">
      <c r="D98" s="5">
        <v>1599000</v>
      </c>
      <c r="E98" s="4">
        <f>ROUNDDOWN(D98/(1-E96),-1)</f>
        <v>1599000</v>
      </c>
      <c r="F98" s="138">
        <f>E97-F97</f>
        <v>1759940</v>
      </c>
      <c r="G98" s="138"/>
      <c r="H98" s="157">
        <f>E97-F97-H97</f>
        <v>1729940</v>
      </c>
      <c r="I98" s="157"/>
      <c r="O98" s="4"/>
      <c r="P98" s="162">
        <f>SUM(P97:U97)</f>
        <v>67180</v>
      </c>
      <c r="Q98" s="163"/>
      <c r="R98" s="163"/>
      <c r="S98" s="163"/>
      <c r="T98" s="163"/>
      <c r="U98" s="164"/>
      <c r="V98" s="4"/>
      <c r="AB98" s="3">
        <f>F98*AB96</f>
        <v>0</v>
      </c>
      <c r="AC98" s="3"/>
      <c r="AD98" s="3"/>
      <c r="AK98" s="57"/>
    </row>
    <row r="99" spans="1:58" x14ac:dyDescent="0.3">
      <c r="D99" s="5"/>
      <c r="E99" s="4"/>
      <c r="F99" s="89"/>
      <c r="G99" s="89"/>
      <c r="I99" s="54"/>
      <c r="O99" s="4"/>
      <c r="P99" s="4"/>
      <c r="Q99" s="4"/>
      <c r="R99" s="4"/>
      <c r="S99" s="4"/>
      <c r="T99" s="4"/>
      <c r="U99" s="4"/>
      <c r="V99" s="4"/>
      <c r="AB99" s="3"/>
      <c r="AC99" s="3"/>
      <c r="AD99" s="3"/>
      <c r="AK99" s="57"/>
    </row>
    <row r="100" spans="1:58" x14ac:dyDescent="0.3">
      <c r="D100" s="5"/>
      <c r="E100" s="4"/>
      <c r="F100" s="89"/>
      <c r="G100" s="89"/>
      <c r="I100" s="54"/>
      <c r="O100" s="4"/>
      <c r="P100" s="4"/>
      <c r="Q100" s="4"/>
      <c r="R100" s="4"/>
      <c r="S100" s="4"/>
      <c r="T100" s="4"/>
      <c r="U100" s="4"/>
      <c r="V100" s="4"/>
      <c r="AB100" s="3"/>
      <c r="AC100" s="3"/>
      <c r="AD100" s="3"/>
      <c r="AK100" s="57"/>
    </row>
    <row r="101" spans="1:58" ht="27" customHeight="1" x14ac:dyDescent="0.3">
      <c r="A101" s="153" t="s">
        <v>34</v>
      </c>
      <c r="B101" s="127" t="s">
        <v>130</v>
      </c>
      <c r="C101" s="128"/>
      <c r="D101" s="128"/>
      <c r="E101" s="128"/>
      <c r="F101" s="128"/>
      <c r="G101" s="128"/>
      <c r="H101" s="128"/>
      <c r="I101" s="128"/>
      <c r="J101" s="128"/>
      <c r="K101" s="128"/>
      <c r="L101" s="128"/>
      <c r="M101" s="156"/>
      <c r="N101" s="127" t="s">
        <v>141</v>
      </c>
      <c r="O101" s="156"/>
      <c r="P101" s="127" t="s">
        <v>167</v>
      </c>
      <c r="Q101" s="128"/>
      <c r="R101" s="128"/>
      <c r="S101" s="128"/>
      <c r="T101" s="128"/>
      <c r="U101" s="128"/>
      <c r="V101" s="156"/>
      <c r="X101" s="130" t="s">
        <v>33</v>
      </c>
      <c r="Y101" s="131"/>
      <c r="Z101" s="131"/>
      <c r="AA101" s="131"/>
      <c r="AB101" s="131"/>
      <c r="AC101" s="131"/>
      <c r="AD101" s="131"/>
      <c r="AE101" s="131"/>
      <c r="AF101" s="131"/>
      <c r="AG101" s="131"/>
      <c r="AH101" s="131"/>
      <c r="AI101" s="131"/>
      <c r="AJ101" s="131"/>
      <c r="AK101" s="131"/>
      <c r="AL101" s="132"/>
      <c r="AM101" s="37"/>
      <c r="AQ101" s="130" t="s">
        <v>32</v>
      </c>
      <c r="AR101" s="131"/>
      <c r="AS101" s="131"/>
      <c r="AT101" s="131"/>
      <c r="AU101" s="131"/>
      <c r="AV101" s="132"/>
      <c r="AX101" s="130" t="s">
        <v>31</v>
      </c>
      <c r="AY101" s="131"/>
      <c r="AZ101" s="131"/>
      <c r="BA101" s="132"/>
      <c r="BC101" s="47" t="s">
        <v>36</v>
      </c>
      <c r="BD101" s="48"/>
      <c r="BF101" s="36"/>
    </row>
    <row r="102" spans="1:58" ht="32.25" customHeight="1" x14ac:dyDescent="0.3">
      <c r="A102" s="153"/>
      <c r="B102" s="133" t="s">
        <v>30</v>
      </c>
      <c r="C102" s="133" t="s">
        <v>29</v>
      </c>
      <c r="D102" s="116" t="s">
        <v>27</v>
      </c>
      <c r="E102" s="34" t="s">
        <v>26</v>
      </c>
      <c r="F102" s="122" t="s">
        <v>63</v>
      </c>
      <c r="G102" s="123"/>
      <c r="H102" s="122" t="s">
        <v>50</v>
      </c>
      <c r="I102" s="123"/>
      <c r="J102" s="122" t="s">
        <v>146</v>
      </c>
      <c r="K102" s="123"/>
      <c r="L102" s="122" t="s">
        <v>25</v>
      </c>
      <c r="M102" s="123"/>
      <c r="N102" s="106" t="s">
        <v>23</v>
      </c>
      <c r="O102" s="151" t="s">
        <v>137</v>
      </c>
      <c r="P102" s="122" t="s">
        <v>136</v>
      </c>
      <c r="Q102" s="123"/>
      <c r="R102" s="122" t="s">
        <v>143</v>
      </c>
      <c r="S102" s="123"/>
      <c r="T102" s="122" t="s">
        <v>144</v>
      </c>
      <c r="U102" s="123"/>
      <c r="V102" s="159" t="s">
        <v>142</v>
      </c>
      <c r="W102" s="21"/>
      <c r="X102" s="34" t="s">
        <v>21</v>
      </c>
      <c r="Y102" s="34" t="s">
        <v>20</v>
      </c>
      <c r="Z102" s="34" t="s">
        <v>95</v>
      </c>
      <c r="AA102" s="34" t="s">
        <v>19</v>
      </c>
      <c r="AB102" s="34" t="s">
        <v>18</v>
      </c>
      <c r="AC102" s="34" t="s">
        <v>48</v>
      </c>
      <c r="AD102" s="34" t="s">
        <v>49</v>
      </c>
      <c r="AE102" s="34" t="s">
        <v>17</v>
      </c>
      <c r="AF102" s="106" t="s">
        <v>16</v>
      </c>
      <c r="AG102" s="106" t="s">
        <v>15</v>
      </c>
      <c r="AH102" s="106" t="s">
        <v>14</v>
      </c>
      <c r="AI102" s="106" t="s">
        <v>13</v>
      </c>
      <c r="AJ102" s="106" t="s">
        <v>12</v>
      </c>
      <c r="AK102" s="116" t="s">
        <v>11</v>
      </c>
      <c r="AL102" s="118" t="s">
        <v>10</v>
      </c>
      <c r="AM102" s="120" t="s">
        <v>9</v>
      </c>
      <c r="AN102" s="35">
        <f>(1-O104/E104)</f>
        <v>0.28514524101184713</v>
      </c>
      <c r="AO102" s="35">
        <f>1-(AH104+AQ104)/E104</f>
        <v>0.20361325029767774</v>
      </c>
      <c r="AQ102" s="106" t="s">
        <v>8</v>
      </c>
      <c r="AR102" s="106" t="s">
        <v>7</v>
      </c>
      <c r="AS102" s="106" t="s">
        <v>37</v>
      </c>
      <c r="AT102" s="106" t="s">
        <v>38</v>
      </c>
      <c r="AU102" s="106" t="s">
        <v>6</v>
      </c>
      <c r="AV102" s="106" t="s">
        <v>5</v>
      </c>
      <c r="AX102" s="106" t="s">
        <v>4</v>
      </c>
      <c r="AY102" s="106" t="s">
        <v>3</v>
      </c>
      <c r="AZ102" s="106" t="s">
        <v>2</v>
      </c>
      <c r="BA102" s="106" t="s">
        <v>1</v>
      </c>
      <c r="BC102" s="108"/>
      <c r="BD102" s="108"/>
      <c r="BF102" s="106"/>
    </row>
    <row r="103" spans="1:58" ht="27" customHeight="1" x14ac:dyDescent="0.3">
      <c r="A103" s="154" t="s">
        <v>156</v>
      </c>
      <c r="B103" s="134"/>
      <c r="C103" s="134"/>
      <c r="D103" s="117"/>
      <c r="E103" s="31">
        <v>0</v>
      </c>
      <c r="F103" s="33">
        <v>0.09</v>
      </c>
      <c r="G103" s="32">
        <v>1000000</v>
      </c>
      <c r="H103" s="31">
        <v>1</v>
      </c>
      <c r="I103" s="32">
        <v>30000</v>
      </c>
      <c r="J103" s="31">
        <v>1</v>
      </c>
      <c r="K103" s="32">
        <v>300000</v>
      </c>
      <c r="L103" s="31">
        <v>7.0000000000000007E-2</v>
      </c>
      <c r="M103" s="32">
        <v>150000</v>
      </c>
      <c r="N103" s="107"/>
      <c r="O103" s="152"/>
      <c r="P103" s="31">
        <v>0.02</v>
      </c>
      <c r="Q103" s="32">
        <v>1000000</v>
      </c>
      <c r="R103" s="31">
        <v>0.05</v>
      </c>
      <c r="S103" s="32">
        <v>10000</v>
      </c>
      <c r="T103" s="31">
        <v>0.02</v>
      </c>
      <c r="U103" s="32">
        <v>60000</v>
      </c>
      <c r="V103" s="159"/>
      <c r="W103" s="21"/>
      <c r="X103" s="31">
        <f>IF(C104="노트북",7%,IF(C104="저장&amp;주변기기",9%,IF(C104="모니터",7%)))</f>
        <v>7.0000000000000007E-2</v>
      </c>
      <c r="Y103" s="31">
        <v>0</v>
      </c>
      <c r="Z103" s="31">
        <v>0.03</v>
      </c>
      <c r="AA103" s="31">
        <f>IF(F103=0%,20%,0%)</f>
        <v>0</v>
      </c>
      <c r="AB103" s="30">
        <v>0</v>
      </c>
      <c r="AC103" s="30">
        <v>1</v>
      </c>
      <c r="AD103" s="53">
        <v>1</v>
      </c>
      <c r="AE103" s="29">
        <v>0.5</v>
      </c>
      <c r="AF103" s="107"/>
      <c r="AG103" s="107"/>
      <c r="AH103" s="107"/>
      <c r="AI103" s="107"/>
      <c r="AJ103" s="107"/>
      <c r="AK103" s="117"/>
      <c r="AL103" s="119"/>
      <c r="AM103" s="121"/>
      <c r="AN103" s="55" t="s">
        <v>52</v>
      </c>
      <c r="AO103" s="56">
        <f>AN102-AO102</f>
        <v>8.1531990714169389E-2</v>
      </c>
      <c r="AQ103" s="107"/>
      <c r="AR103" s="107"/>
      <c r="AS103" s="107"/>
      <c r="AT103" s="107"/>
      <c r="AU103" s="107"/>
      <c r="AV103" s="107"/>
      <c r="AW103" s="39"/>
      <c r="AX103" s="107"/>
      <c r="AY103" s="107"/>
      <c r="AZ103" s="107"/>
      <c r="BA103" s="107"/>
      <c r="BC103" s="109"/>
      <c r="BD103" s="109"/>
      <c r="BF103" s="107"/>
    </row>
    <row r="104" spans="1:58" ht="27" customHeight="1" x14ac:dyDescent="0.3">
      <c r="A104" s="28">
        <v>4604254115</v>
      </c>
      <c r="B104" s="38" t="s">
        <v>35</v>
      </c>
      <c r="C104" s="27" t="s">
        <v>0</v>
      </c>
      <c r="D104" s="25">
        <v>2334740</v>
      </c>
      <c r="E104" s="24">
        <f>ROUNDDOWN(D104/(1-E103),-1)</f>
        <v>2334740</v>
      </c>
      <c r="F104" s="110">
        <f>ROUNDDOWN(IF(E104*F103&gt;G103,G103,E104*F103),-1)</f>
        <v>210120</v>
      </c>
      <c r="G104" s="111"/>
      <c r="H104" s="112">
        <f>ROUNDDOWN(IF(E104*H103&gt;I103,I103,E104*H103),-1)</f>
        <v>30000</v>
      </c>
      <c r="I104" s="113"/>
      <c r="J104" s="112">
        <f>ROUNDDOWN(IF(E104*J103&gt;K103,K103,E104*J103),-1)</f>
        <v>300000</v>
      </c>
      <c r="K104" s="113"/>
      <c r="L104" s="110">
        <f>ROUNDDOWN(IF(N104*L103&gt;M103,M103,N104*L103),-1)</f>
        <v>125620</v>
      </c>
      <c r="M104" s="111"/>
      <c r="N104" s="23">
        <f>E104-F104-H104-J104</f>
        <v>1794620</v>
      </c>
      <c r="O104" s="22">
        <f>E104-F104-H104-J104-L104</f>
        <v>1669000</v>
      </c>
      <c r="P104" s="110">
        <f>ROUNDDOWN(IF(N104*P103&gt;Q103,Q103,N104*P103),-1)</f>
        <v>35890</v>
      </c>
      <c r="Q104" s="111"/>
      <c r="R104" s="110">
        <f>ROUNDDOWN(IF(N104*R103&gt;S103,S103,N104*R103),-1)</f>
        <v>10000</v>
      </c>
      <c r="S104" s="111"/>
      <c r="T104" s="110">
        <f>ROUNDDOWN(IF(N104*T103&gt;U103,U103,N104*T103),-1)</f>
        <v>35890</v>
      </c>
      <c r="U104" s="111"/>
      <c r="V104" s="158">
        <f>O104-P104-R104-T104</f>
        <v>1587220</v>
      </c>
      <c r="W104" s="21"/>
      <c r="X104" s="20">
        <f>E104*X103</f>
        <v>163431.80000000002</v>
      </c>
      <c r="Y104" s="20">
        <f>E104*Y103</f>
        <v>0</v>
      </c>
      <c r="Z104" s="20">
        <f>(E104-H104)*Z103</f>
        <v>69142.2</v>
      </c>
      <c r="AA104" s="19">
        <f>(E104*E103)*AA103</f>
        <v>0</v>
      </c>
      <c r="AB104" s="19">
        <f>F104*AB103</f>
        <v>0</v>
      </c>
      <c r="AC104" s="19">
        <f>H104*AC103</f>
        <v>30000</v>
      </c>
      <c r="AD104" s="19">
        <f>J104*AD103</f>
        <v>300000</v>
      </c>
      <c r="AE104" s="19">
        <f>L104*AE103</f>
        <v>62810</v>
      </c>
      <c r="AF104" s="19">
        <v>0</v>
      </c>
      <c r="AG104" s="16">
        <v>8000</v>
      </c>
      <c r="AH104" s="18">
        <f>E104-X104-Y104-Z104-AA104-AE104-AB104-AC104-AD104-AF104</f>
        <v>1709356</v>
      </c>
      <c r="AI104" s="18">
        <f>E104-X104-Y104-Z104-AA104-AB104-AC104-AD104-AE104-AF104-AG104</f>
        <v>1701356</v>
      </c>
      <c r="AJ104" s="17">
        <f>AI104-AK104</f>
        <v>-73644</v>
      </c>
      <c r="AK104" s="16">
        <v>1775000</v>
      </c>
      <c r="AL104" s="15">
        <f>AJ104/AK104</f>
        <v>-4.1489577464788735E-2</v>
      </c>
      <c r="AM104" s="14">
        <f>1-O104/(AK104-AQ104-AR104-AS104)</f>
        <v>-2.7076923076922998E-2</v>
      </c>
      <c r="AN104" s="114">
        <f>(1-O104/E104)-(1-(AH104)/E104)</f>
        <v>1.728500818078238E-2</v>
      </c>
      <c r="AO104" s="115"/>
      <c r="AQ104" s="13">
        <v>150000</v>
      </c>
      <c r="AR104" s="12"/>
      <c r="AS104" s="12">
        <v>0</v>
      </c>
      <c r="AT104" s="12"/>
      <c r="AU104" s="11">
        <f>AI104-(AK104-AQ104-AR104-AS104-AT104)</f>
        <v>76356</v>
      </c>
      <c r="AV104" s="8">
        <f>AU104/AK104</f>
        <v>4.3017464788732397E-2</v>
      </c>
      <c r="AX104" s="10">
        <v>0</v>
      </c>
      <c r="AY104" s="10">
        <v>0</v>
      </c>
      <c r="AZ104" s="9">
        <f>AU104-AX104-AY104</f>
        <v>76356</v>
      </c>
      <c r="BA104" s="8">
        <f>AZ104/AK104</f>
        <v>4.3017464788732397E-2</v>
      </c>
      <c r="BC104" s="49"/>
      <c r="BD104" s="50"/>
      <c r="BF104" s="6"/>
    </row>
    <row r="105" spans="1:58" x14ac:dyDescent="0.3">
      <c r="D105" s="5">
        <v>1899000</v>
      </c>
      <c r="E105" s="4">
        <f>ROUNDDOWN(D105/(1-E103),-1)</f>
        <v>1899000</v>
      </c>
      <c r="F105" s="138">
        <f>E104-F104</f>
        <v>2124620</v>
      </c>
      <c r="G105" s="138"/>
      <c r="H105" s="157">
        <f>E104-F104-H104</f>
        <v>2094620</v>
      </c>
      <c r="I105" s="157"/>
      <c r="O105" s="4"/>
      <c r="P105" s="162">
        <f>SUM(P104:U104)</f>
        <v>81780</v>
      </c>
      <c r="Q105" s="163"/>
      <c r="R105" s="163"/>
      <c r="S105" s="163"/>
      <c r="T105" s="163"/>
      <c r="U105" s="164"/>
      <c r="V105" s="4"/>
      <c r="AB105" s="3">
        <f>F105*AB103</f>
        <v>0</v>
      </c>
      <c r="AC105" s="3"/>
      <c r="AD105" s="3"/>
      <c r="AK105" s="57"/>
    </row>
    <row r="106" spans="1:58" x14ac:dyDescent="0.3">
      <c r="D106" s="5"/>
      <c r="E106" s="4"/>
      <c r="F106" s="42"/>
      <c r="G106" s="42"/>
      <c r="I106" s="54"/>
      <c r="O106" s="4"/>
      <c r="P106" s="4"/>
      <c r="Q106" s="4"/>
      <c r="R106" s="4"/>
      <c r="S106" s="4"/>
      <c r="T106" s="4"/>
      <c r="U106" s="4"/>
      <c r="V106" s="4"/>
      <c r="AB106" s="3"/>
      <c r="AC106" s="3"/>
      <c r="AD106" s="3"/>
      <c r="AK106" s="57"/>
    </row>
    <row r="107" spans="1:58" x14ac:dyDescent="0.3">
      <c r="D107" s="5"/>
      <c r="E107" s="4"/>
      <c r="F107" s="42"/>
      <c r="G107" s="42"/>
      <c r="I107" s="54"/>
      <c r="O107" s="4"/>
      <c r="P107" s="4"/>
      <c r="Q107" s="4"/>
      <c r="R107" s="4"/>
      <c r="S107" s="4"/>
      <c r="T107" s="4"/>
      <c r="U107" s="4"/>
      <c r="V107" s="4"/>
      <c r="AB107" s="3"/>
      <c r="AC107" s="3"/>
      <c r="AD107" s="3"/>
      <c r="AK107" s="57"/>
    </row>
    <row r="108" spans="1:58" x14ac:dyDescent="0.3">
      <c r="D108" s="5"/>
      <c r="E108" s="4"/>
      <c r="F108" s="42"/>
      <c r="G108" s="42"/>
      <c r="I108" s="54"/>
      <c r="AB108" s="3"/>
      <c r="AC108" s="3"/>
      <c r="AD108" s="3"/>
    </row>
    <row r="109" spans="1:58" s="87" customFormat="1" ht="30" customHeight="1" x14ac:dyDescent="0.3">
      <c r="A109" s="84" t="s">
        <v>171</v>
      </c>
      <c r="B109" s="85"/>
      <c r="C109" s="85"/>
      <c r="D109" s="86"/>
      <c r="AL109" s="88"/>
      <c r="AM109" s="88"/>
      <c r="AN109" s="88"/>
      <c r="AO109" s="88"/>
    </row>
    <row r="110" spans="1:58" x14ac:dyDescent="0.3">
      <c r="A110" s="43"/>
      <c r="B110" s="43"/>
      <c r="C110" s="43"/>
      <c r="D110" s="5"/>
    </row>
    <row r="111" spans="1:58" ht="27" customHeight="1" x14ac:dyDescent="0.3">
      <c r="A111" s="153" t="s">
        <v>34</v>
      </c>
      <c r="B111" s="127" t="s">
        <v>130</v>
      </c>
      <c r="C111" s="128"/>
      <c r="D111" s="128"/>
      <c r="E111" s="128"/>
      <c r="F111" s="128"/>
      <c r="G111" s="128"/>
      <c r="H111" s="128"/>
      <c r="I111" s="128"/>
      <c r="J111" s="128"/>
      <c r="K111" s="128"/>
      <c r="L111" s="128"/>
      <c r="M111" s="156"/>
      <c r="N111" s="127" t="s">
        <v>141</v>
      </c>
      <c r="O111" s="156"/>
      <c r="P111" s="127" t="s">
        <v>167</v>
      </c>
      <c r="Q111" s="128"/>
      <c r="R111" s="128"/>
      <c r="S111" s="128"/>
      <c r="T111" s="128"/>
      <c r="U111" s="128"/>
      <c r="V111" s="156"/>
      <c r="X111" s="130" t="s">
        <v>33</v>
      </c>
      <c r="Y111" s="131"/>
      <c r="Z111" s="131"/>
      <c r="AA111" s="131"/>
      <c r="AB111" s="131"/>
      <c r="AC111" s="131"/>
      <c r="AD111" s="131"/>
      <c r="AE111" s="131"/>
      <c r="AF111" s="131"/>
      <c r="AG111" s="131"/>
      <c r="AH111" s="131"/>
      <c r="AI111" s="131"/>
      <c r="AJ111" s="131"/>
      <c r="AK111" s="131"/>
      <c r="AL111" s="132"/>
      <c r="AM111" s="37"/>
      <c r="AQ111" s="130" t="s">
        <v>32</v>
      </c>
      <c r="AR111" s="131"/>
      <c r="AS111" s="131"/>
      <c r="AT111" s="131"/>
      <c r="AU111" s="131"/>
      <c r="AV111" s="132"/>
      <c r="AX111" s="130" t="s">
        <v>31</v>
      </c>
      <c r="AY111" s="131"/>
      <c r="AZ111" s="131"/>
      <c r="BA111" s="132"/>
      <c r="BC111" s="47" t="s">
        <v>36</v>
      </c>
      <c r="BD111" s="48"/>
      <c r="BF111" s="36"/>
    </row>
    <row r="112" spans="1:58" ht="32.25" customHeight="1" x14ac:dyDescent="0.3">
      <c r="A112" s="153"/>
      <c r="B112" s="133" t="s">
        <v>30</v>
      </c>
      <c r="C112" s="133" t="s">
        <v>29</v>
      </c>
      <c r="D112" s="116" t="s">
        <v>27</v>
      </c>
      <c r="E112" s="34" t="s">
        <v>26</v>
      </c>
      <c r="F112" s="122" t="s">
        <v>63</v>
      </c>
      <c r="G112" s="123"/>
      <c r="H112" s="122" t="s">
        <v>50</v>
      </c>
      <c r="I112" s="123"/>
      <c r="J112" s="122" t="s">
        <v>146</v>
      </c>
      <c r="K112" s="123"/>
      <c r="L112" s="122" t="s">
        <v>25</v>
      </c>
      <c r="M112" s="123"/>
      <c r="N112" s="106" t="s">
        <v>23</v>
      </c>
      <c r="O112" s="151" t="s">
        <v>137</v>
      </c>
      <c r="P112" s="122" t="s">
        <v>136</v>
      </c>
      <c r="Q112" s="123"/>
      <c r="R112" s="122" t="s">
        <v>143</v>
      </c>
      <c r="S112" s="123"/>
      <c r="T112" s="122" t="s">
        <v>144</v>
      </c>
      <c r="U112" s="123"/>
      <c r="V112" s="159" t="s">
        <v>142</v>
      </c>
      <c r="W112" s="21"/>
      <c r="X112" s="34" t="s">
        <v>21</v>
      </c>
      <c r="Y112" s="34" t="s">
        <v>20</v>
      </c>
      <c r="Z112" s="34" t="s">
        <v>95</v>
      </c>
      <c r="AA112" s="34" t="s">
        <v>19</v>
      </c>
      <c r="AB112" s="34" t="s">
        <v>18</v>
      </c>
      <c r="AC112" s="34" t="s">
        <v>48</v>
      </c>
      <c r="AD112" s="34" t="s">
        <v>49</v>
      </c>
      <c r="AE112" s="34" t="s">
        <v>17</v>
      </c>
      <c r="AF112" s="106" t="s">
        <v>16</v>
      </c>
      <c r="AG112" s="106" t="s">
        <v>15</v>
      </c>
      <c r="AH112" s="106" t="s">
        <v>14</v>
      </c>
      <c r="AI112" s="106" t="s">
        <v>13</v>
      </c>
      <c r="AJ112" s="106" t="s">
        <v>12</v>
      </c>
      <c r="AK112" s="116" t="s">
        <v>11</v>
      </c>
      <c r="AL112" s="118" t="s">
        <v>10</v>
      </c>
      <c r="AM112" s="120" t="s">
        <v>9</v>
      </c>
      <c r="AN112" s="35">
        <f>(1-O114/E114)</f>
        <v>0.16985013223626211</v>
      </c>
      <c r="AO112" s="35">
        <f>1-(AH114+AQ114)/E114</f>
        <v>0.15493873692010884</v>
      </c>
      <c r="AQ112" s="106" t="s">
        <v>8</v>
      </c>
      <c r="AR112" s="106" t="s">
        <v>7</v>
      </c>
      <c r="AS112" s="106" t="s">
        <v>37</v>
      </c>
      <c r="AT112" s="106" t="s">
        <v>38</v>
      </c>
      <c r="AU112" s="106" t="s">
        <v>6</v>
      </c>
      <c r="AV112" s="106" t="s">
        <v>5</v>
      </c>
      <c r="AX112" s="106" t="s">
        <v>4</v>
      </c>
      <c r="AY112" s="106" t="s">
        <v>3</v>
      </c>
      <c r="AZ112" s="106" t="s">
        <v>2</v>
      </c>
      <c r="BA112" s="106" t="s">
        <v>1</v>
      </c>
      <c r="BC112" s="108"/>
      <c r="BD112" s="108"/>
      <c r="BF112" s="106"/>
    </row>
    <row r="113" spans="1:58" ht="27" customHeight="1" x14ac:dyDescent="0.3">
      <c r="A113" s="154" t="s">
        <v>157</v>
      </c>
      <c r="B113" s="134"/>
      <c r="C113" s="134"/>
      <c r="D113" s="117"/>
      <c r="E113" s="31">
        <v>0</v>
      </c>
      <c r="F113" s="33">
        <v>0.09</v>
      </c>
      <c r="G113" s="32">
        <v>1000000</v>
      </c>
      <c r="H113" s="31">
        <v>1</v>
      </c>
      <c r="I113" s="32">
        <v>100000</v>
      </c>
      <c r="J113" s="31">
        <v>1</v>
      </c>
      <c r="K113" s="32">
        <v>0</v>
      </c>
      <c r="L113" s="31">
        <v>7.0000000000000007E-2</v>
      </c>
      <c r="M113" s="32">
        <v>150000</v>
      </c>
      <c r="N113" s="107"/>
      <c r="O113" s="152"/>
      <c r="P113" s="31">
        <v>0.02</v>
      </c>
      <c r="Q113" s="32">
        <v>1000000</v>
      </c>
      <c r="R113" s="31">
        <v>0.05</v>
      </c>
      <c r="S113" s="32">
        <v>10000</v>
      </c>
      <c r="T113" s="31">
        <v>0.02</v>
      </c>
      <c r="U113" s="32">
        <v>60000</v>
      </c>
      <c r="V113" s="159"/>
      <c r="W113" s="21"/>
      <c r="X113" s="31">
        <f>IF(C114="노트북",7%,IF(C114="저장&amp;주변기기",9%,IF(C114="모니터",7%)))</f>
        <v>7.0000000000000007E-2</v>
      </c>
      <c r="Y113" s="31">
        <v>0</v>
      </c>
      <c r="Z113" s="31">
        <v>0.03</v>
      </c>
      <c r="AA113" s="31">
        <f>IF(F113=0%,20%,0%)</f>
        <v>0</v>
      </c>
      <c r="AB113" s="30">
        <v>0</v>
      </c>
      <c r="AC113" s="30">
        <v>1</v>
      </c>
      <c r="AD113" s="53">
        <v>1</v>
      </c>
      <c r="AE113" s="29">
        <v>0.5</v>
      </c>
      <c r="AF113" s="107"/>
      <c r="AG113" s="107"/>
      <c r="AH113" s="107"/>
      <c r="AI113" s="107"/>
      <c r="AJ113" s="107"/>
      <c r="AK113" s="117"/>
      <c r="AL113" s="119"/>
      <c r="AM113" s="121"/>
      <c r="AN113" s="55" t="s">
        <v>52</v>
      </c>
      <c r="AO113" s="56">
        <f>AN112-AO112</f>
        <v>1.4911395316153264E-2</v>
      </c>
      <c r="AQ113" s="107"/>
      <c r="AR113" s="107"/>
      <c r="AS113" s="107"/>
      <c r="AT113" s="107"/>
      <c r="AU113" s="107"/>
      <c r="AV113" s="107"/>
      <c r="AW113" s="39"/>
      <c r="AX113" s="107"/>
      <c r="AY113" s="117"/>
      <c r="AZ113" s="107"/>
      <c r="BA113" s="107"/>
      <c r="BC113" s="109"/>
      <c r="BD113" s="109"/>
      <c r="BF113" s="107"/>
    </row>
    <row r="114" spans="1:58" ht="27" customHeight="1" x14ac:dyDescent="0.3">
      <c r="A114" s="51">
        <v>4627000479</v>
      </c>
      <c r="B114" s="38" t="s">
        <v>35</v>
      </c>
      <c r="C114" s="27" t="s">
        <v>80</v>
      </c>
      <c r="D114" s="25">
        <v>3130760</v>
      </c>
      <c r="E114" s="24">
        <f>ROUNDDOWN(D114/(1-E113),-1)</f>
        <v>3130760</v>
      </c>
      <c r="F114" s="110">
        <f>ROUNDDOWN(IF(E114*F113&gt;G113,G113,E114*F113),-1)</f>
        <v>281760</v>
      </c>
      <c r="G114" s="111"/>
      <c r="H114" s="112">
        <f>ROUNDDOWN(IF(E114*H113&gt;I113,I113,E114*H113),-1)</f>
        <v>100000</v>
      </c>
      <c r="I114" s="113"/>
      <c r="J114" s="112">
        <f>ROUNDDOWN(IF(E114*J113&gt;K113,K113,E114*J113),-1)</f>
        <v>0</v>
      </c>
      <c r="K114" s="113"/>
      <c r="L114" s="110">
        <f>ROUNDDOWN(IF(N114*L113&gt;M113,M113,N114*L113),-1)</f>
        <v>150000</v>
      </c>
      <c r="M114" s="111"/>
      <c r="N114" s="23">
        <f>E114-F114-H114-J114</f>
        <v>2749000</v>
      </c>
      <c r="O114" s="22">
        <f>E114-F114-H114-J114-L114</f>
        <v>2599000</v>
      </c>
      <c r="P114" s="110">
        <f>ROUNDDOWN(IF(N114*P113&gt;Q113,Q113,N114*P113),-1)</f>
        <v>54980</v>
      </c>
      <c r="Q114" s="111"/>
      <c r="R114" s="110">
        <f>ROUNDDOWN(IF(N114*R113&gt;S113,S113,N114*R113),-1)</f>
        <v>10000</v>
      </c>
      <c r="S114" s="111"/>
      <c r="T114" s="110">
        <f>ROUNDDOWN(IF(N114*T113&gt;U113,U113,N114*T113),-1)</f>
        <v>54980</v>
      </c>
      <c r="U114" s="111"/>
      <c r="V114" s="158">
        <f>O114-P114-R114-T114</f>
        <v>2479040</v>
      </c>
      <c r="W114" s="21"/>
      <c r="X114" s="20">
        <f>E114*X113</f>
        <v>219153.2</v>
      </c>
      <c r="Y114" s="20">
        <f>E114*Y113</f>
        <v>0</v>
      </c>
      <c r="Z114" s="20">
        <f>(E114-H114)*Z113</f>
        <v>90922.8</v>
      </c>
      <c r="AA114" s="19">
        <f>(E114*E113)*AA113</f>
        <v>0</v>
      </c>
      <c r="AB114" s="19">
        <f>F114*AB113</f>
        <v>0</v>
      </c>
      <c r="AC114" s="19">
        <f>H114*AC113</f>
        <v>100000</v>
      </c>
      <c r="AD114" s="19">
        <f>J114*AD113</f>
        <v>0</v>
      </c>
      <c r="AE114" s="19">
        <f>L114*AE113</f>
        <v>75000</v>
      </c>
      <c r="AF114" s="19">
        <v>0</v>
      </c>
      <c r="AG114" s="16">
        <v>8000</v>
      </c>
      <c r="AH114" s="18">
        <f>E114-X114-Y114-Z114-AA114-AE114-AB114-AC114-AD114-AF114</f>
        <v>2645684</v>
      </c>
      <c r="AI114" s="18">
        <f>E114-X114-Y114-Z114-AA114-AB114-AC114-AD114-AE114-AF114-AG114</f>
        <v>2637684</v>
      </c>
      <c r="AJ114" s="17">
        <f>AI114-AK114</f>
        <v>758684</v>
      </c>
      <c r="AK114" s="16">
        <v>1879000</v>
      </c>
      <c r="AL114" s="15">
        <f>AJ114/AK114</f>
        <v>0.4037700904736562</v>
      </c>
      <c r="AM114" s="14">
        <f>1-O114/(AK114-AQ114-AR114-AS114)</f>
        <v>-0.38318254390633322</v>
      </c>
      <c r="AN114" s="114">
        <f>(1-O114/E114)-(1-(AH114)/E114)</f>
        <v>1.4911395316153264E-2</v>
      </c>
      <c r="AO114" s="115"/>
      <c r="AQ114" s="13">
        <v>0</v>
      </c>
      <c r="AR114" s="12">
        <f>AB114*AR113</f>
        <v>0</v>
      </c>
      <c r="AS114" s="12">
        <v>0</v>
      </c>
      <c r="AT114" s="12"/>
      <c r="AU114" s="11">
        <f>AI114-(AK114-AQ114-AR114-AS114-AT114)</f>
        <v>758684</v>
      </c>
      <c r="AV114" s="8">
        <f>AU114/AK114</f>
        <v>0.4037700904736562</v>
      </c>
      <c r="AX114" s="10">
        <v>0</v>
      </c>
      <c r="AY114" s="10">
        <v>0</v>
      </c>
      <c r="AZ114" s="9">
        <f>AU114-AX114-AY114</f>
        <v>758684</v>
      </c>
      <c r="BA114" s="8">
        <f>AZ114/AK114</f>
        <v>0.4037700904736562</v>
      </c>
      <c r="BC114" s="49"/>
      <c r="BD114" s="50"/>
      <c r="BF114" s="6"/>
    </row>
    <row r="115" spans="1:58" x14ac:dyDescent="0.3">
      <c r="D115" s="4">
        <v>2099000</v>
      </c>
      <c r="E115" s="4">
        <f>ROUNDDOWN(D115/(1-E113),-1)</f>
        <v>2099000</v>
      </c>
      <c r="F115" s="138">
        <f>E114-F114</f>
        <v>2849000</v>
      </c>
      <c r="G115" s="138"/>
      <c r="H115" s="157">
        <f>E114-F114-H114</f>
        <v>2749000</v>
      </c>
      <c r="I115" s="157"/>
      <c r="O115" s="4"/>
      <c r="P115" s="162">
        <f>SUM(P114:U114)</f>
        <v>119960</v>
      </c>
      <c r="Q115" s="163"/>
      <c r="R115" s="163"/>
      <c r="S115" s="163"/>
      <c r="T115" s="163"/>
      <c r="U115" s="164"/>
      <c r="V115" s="4"/>
      <c r="AB115" s="3">
        <f>F115*AB113</f>
        <v>0</v>
      </c>
      <c r="AC115" s="3"/>
      <c r="AD115" s="3"/>
    </row>
    <row r="116" spans="1:58" ht="27" customHeight="1" x14ac:dyDescent="0.3">
      <c r="A116" s="153" t="s">
        <v>34</v>
      </c>
      <c r="B116" s="127" t="s">
        <v>173</v>
      </c>
      <c r="C116" s="128"/>
      <c r="D116" s="128"/>
      <c r="E116" s="128"/>
      <c r="F116" s="128"/>
      <c r="G116" s="128"/>
      <c r="H116" s="128"/>
      <c r="I116" s="128"/>
      <c r="J116" s="128"/>
      <c r="K116" s="128"/>
      <c r="L116" s="128"/>
      <c r="M116" s="156"/>
      <c r="N116" s="127" t="s">
        <v>141</v>
      </c>
      <c r="O116" s="156"/>
      <c r="P116" s="127" t="s">
        <v>167</v>
      </c>
      <c r="Q116" s="128"/>
      <c r="R116" s="128"/>
      <c r="S116" s="128"/>
      <c r="T116" s="128"/>
      <c r="U116" s="128"/>
      <c r="V116" s="156"/>
      <c r="X116" s="130" t="s">
        <v>33</v>
      </c>
      <c r="Y116" s="131"/>
      <c r="Z116" s="131"/>
      <c r="AA116" s="131"/>
      <c r="AB116" s="131"/>
      <c r="AC116" s="131"/>
      <c r="AD116" s="131"/>
      <c r="AE116" s="131"/>
      <c r="AF116" s="131"/>
      <c r="AG116" s="131"/>
      <c r="AH116" s="131"/>
      <c r="AI116" s="131"/>
      <c r="AJ116" s="131"/>
      <c r="AK116" s="131"/>
      <c r="AL116" s="132"/>
      <c r="AM116" s="37"/>
      <c r="AQ116" s="130" t="s">
        <v>32</v>
      </c>
      <c r="AR116" s="131"/>
      <c r="AS116" s="131"/>
      <c r="AT116" s="131"/>
      <c r="AU116" s="131"/>
      <c r="AV116" s="132"/>
      <c r="AX116" s="130" t="s">
        <v>31</v>
      </c>
      <c r="AY116" s="131"/>
      <c r="AZ116" s="131"/>
      <c r="BA116" s="132"/>
      <c r="BC116" s="47" t="s">
        <v>36</v>
      </c>
      <c r="BD116" s="48"/>
      <c r="BF116" s="36"/>
    </row>
    <row r="117" spans="1:58" ht="32.25" customHeight="1" x14ac:dyDescent="0.3">
      <c r="A117" s="153"/>
      <c r="B117" s="133" t="s">
        <v>30</v>
      </c>
      <c r="C117" s="133" t="s">
        <v>29</v>
      </c>
      <c r="D117" s="116" t="s">
        <v>27</v>
      </c>
      <c r="E117" s="34" t="s">
        <v>26</v>
      </c>
      <c r="F117" s="122" t="s">
        <v>63</v>
      </c>
      <c r="G117" s="123"/>
      <c r="H117" s="122" t="s">
        <v>50</v>
      </c>
      <c r="I117" s="123"/>
      <c r="J117" s="122" t="s">
        <v>146</v>
      </c>
      <c r="K117" s="123"/>
      <c r="L117" s="122" t="s">
        <v>25</v>
      </c>
      <c r="M117" s="123"/>
      <c r="N117" s="106" t="s">
        <v>23</v>
      </c>
      <c r="O117" s="151" t="s">
        <v>137</v>
      </c>
      <c r="P117" s="122" t="s">
        <v>136</v>
      </c>
      <c r="Q117" s="123"/>
      <c r="R117" s="122" t="s">
        <v>143</v>
      </c>
      <c r="S117" s="123"/>
      <c r="T117" s="122" t="s">
        <v>144</v>
      </c>
      <c r="U117" s="123"/>
      <c r="V117" s="159" t="s">
        <v>142</v>
      </c>
      <c r="W117" s="21"/>
      <c r="X117" s="34" t="s">
        <v>21</v>
      </c>
      <c r="Y117" s="34" t="s">
        <v>20</v>
      </c>
      <c r="Z117" s="34" t="s">
        <v>95</v>
      </c>
      <c r="AA117" s="34" t="s">
        <v>19</v>
      </c>
      <c r="AB117" s="34" t="s">
        <v>18</v>
      </c>
      <c r="AC117" s="34" t="s">
        <v>48</v>
      </c>
      <c r="AD117" s="34" t="s">
        <v>49</v>
      </c>
      <c r="AE117" s="34" t="s">
        <v>17</v>
      </c>
      <c r="AF117" s="106" t="s">
        <v>16</v>
      </c>
      <c r="AG117" s="106" t="s">
        <v>15</v>
      </c>
      <c r="AH117" s="106" t="s">
        <v>14</v>
      </c>
      <c r="AI117" s="106" t="s">
        <v>13</v>
      </c>
      <c r="AJ117" s="106" t="s">
        <v>12</v>
      </c>
      <c r="AK117" s="116" t="s">
        <v>11</v>
      </c>
      <c r="AL117" s="118" t="s">
        <v>10</v>
      </c>
      <c r="AM117" s="120" t="s">
        <v>9</v>
      </c>
      <c r="AN117" s="35">
        <f>(1-O119/E119)</f>
        <v>0.17585164835164835</v>
      </c>
      <c r="AO117" s="35">
        <f>1-(AH119+AQ119)/E119</f>
        <v>0.15906593406593406</v>
      </c>
      <c r="AQ117" s="106" t="s">
        <v>8</v>
      </c>
      <c r="AR117" s="106" t="s">
        <v>7</v>
      </c>
      <c r="AS117" s="106" t="s">
        <v>37</v>
      </c>
      <c r="AT117" s="106" t="s">
        <v>38</v>
      </c>
      <c r="AU117" s="106" t="s">
        <v>6</v>
      </c>
      <c r="AV117" s="106" t="s">
        <v>5</v>
      </c>
      <c r="AX117" s="106" t="s">
        <v>4</v>
      </c>
      <c r="AY117" s="106" t="s">
        <v>3</v>
      </c>
      <c r="AZ117" s="106" t="s">
        <v>2</v>
      </c>
      <c r="BA117" s="106" t="s">
        <v>1</v>
      </c>
      <c r="BC117" s="108"/>
      <c r="BD117" s="108"/>
      <c r="BF117" s="106"/>
    </row>
    <row r="118" spans="1:58" ht="27" customHeight="1" x14ac:dyDescent="0.3">
      <c r="A118" s="154" t="s">
        <v>157</v>
      </c>
      <c r="B118" s="134"/>
      <c r="C118" s="134"/>
      <c r="D118" s="117"/>
      <c r="E118" s="31">
        <v>0</v>
      </c>
      <c r="F118" s="33">
        <v>0.09</v>
      </c>
      <c r="G118" s="32">
        <v>1000000</v>
      </c>
      <c r="H118" s="31">
        <v>1</v>
      </c>
      <c r="I118" s="32">
        <v>100000</v>
      </c>
      <c r="J118" s="31">
        <v>1</v>
      </c>
      <c r="K118" s="32">
        <v>0</v>
      </c>
      <c r="L118" s="31">
        <v>7.0000000000000007E-2</v>
      </c>
      <c r="M118" s="32">
        <v>150000</v>
      </c>
      <c r="N118" s="107"/>
      <c r="O118" s="152"/>
      <c r="P118" s="31">
        <v>0.02</v>
      </c>
      <c r="Q118" s="32">
        <v>1000000</v>
      </c>
      <c r="R118" s="31">
        <v>0.05</v>
      </c>
      <c r="S118" s="32">
        <v>10000</v>
      </c>
      <c r="T118" s="31">
        <v>0.02</v>
      </c>
      <c r="U118" s="32">
        <v>60000</v>
      </c>
      <c r="V118" s="159"/>
      <c r="W118" s="21"/>
      <c r="X118" s="31">
        <f>IF(C119="노트북",7%,IF(C119="저장&amp;주변기기",9%,IF(C119="모니터",7%)))</f>
        <v>7.0000000000000007E-2</v>
      </c>
      <c r="Y118" s="31">
        <v>0</v>
      </c>
      <c r="Z118" s="31">
        <v>0.03</v>
      </c>
      <c r="AA118" s="31">
        <f>IF(F118=0%,20%,0%)</f>
        <v>0</v>
      </c>
      <c r="AB118" s="30">
        <v>0</v>
      </c>
      <c r="AC118" s="30">
        <v>1</v>
      </c>
      <c r="AD118" s="53">
        <v>1</v>
      </c>
      <c r="AE118" s="29">
        <v>0.5</v>
      </c>
      <c r="AF118" s="107"/>
      <c r="AG118" s="107"/>
      <c r="AH118" s="107"/>
      <c r="AI118" s="107"/>
      <c r="AJ118" s="107"/>
      <c r="AK118" s="117"/>
      <c r="AL118" s="119"/>
      <c r="AM118" s="121"/>
      <c r="AN118" s="55" t="s">
        <v>52</v>
      </c>
      <c r="AO118" s="56">
        <f>AN117-AO117</f>
        <v>1.6785714285714293E-2</v>
      </c>
      <c r="AQ118" s="107"/>
      <c r="AR118" s="107"/>
      <c r="AS118" s="107"/>
      <c r="AT118" s="107"/>
      <c r="AU118" s="107"/>
      <c r="AV118" s="107"/>
      <c r="AW118" s="39"/>
      <c r="AX118" s="107"/>
      <c r="AY118" s="117"/>
      <c r="AZ118" s="107"/>
      <c r="BA118" s="107"/>
      <c r="BC118" s="109"/>
      <c r="BD118" s="109"/>
      <c r="BF118" s="107"/>
    </row>
    <row r="119" spans="1:58" ht="27" customHeight="1" x14ac:dyDescent="0.3">
      <c r="A119" s="51">
        <v>4627000479</v>
      </c>
      <c r="B119" s="38" t="s">
        <v>35</v>
      </c>
      <c r="C119" s="27" t="s">
        <v>80</v>
      </c>
      <c r="D119" s="25">
        <v>2912000</v>
      </c>
      <c r="E119" s="24">
        <f>ROUNDDOWN(D119/(1-E118),-1)</f>
        <v>2912000</v>
      </c>
      <c r="F119" s="110">
        <f>ROUNDDOWN(IF(E119*F118&gt;G118,G118,E119*F118),-1)</f>
        <v>262080</v>
      </c>
      <c r="G119" s="111"/>
      <c r="H119" s="112">
        <f>ROUNDDOWN(IF(E119*H118&gt;I118,I118,E119*H118),-1)</f>
        <v>100000</v>
      </c>
      <c r="I119" s="113"/>
      <c r="J119" s="112">
        <f>ROUNDDOWN(IF(E119*J118&gt;K118,K118,E119*J118),-1)</f>
        <v>0</v>
      </c>
      <c r="K119" s="113"/>
      <c r="L119" s="110">
        <f>ROUNDDOWN(IF(N119*L118&gt;M118,M118,N119*L118),-1)</f>
        <v>150000</v>
      </c>
      <c r="M119" s="111"/>
      <c r="N119" s="23">
        <f>E119-F119-H119-J119</f>
        <v>2549920</v>
      </c>
      <c r="O119" s="22">
        <f>E119-F119-H119-J119-L119</f>
        <v>2399920</v>
      </c>
      <c r="P119" s="110">
        <f>ROUNDDOWN(IF(N119*P118&gt;Q118,Q118,N119*P118),-1)</f>
        <v>50990</v>
      </c>
      <c r="Q119" s="111"/>
      <c r="R119" s="110">
        <f>ROUNDDOWN(IF(N119*R118&gt;S118,S118,N119*R118),-1)</f>
        <v>10000</v>
      </c>
      <c r="S119" s="111"/>
      <c r="T119" s="110">
        <f>ROUNDDOWN(IF(N119*T118&gt;U118,U118,N119*T118),-1)</f>
        <v>50990</v>
      </c>
      <c r="U119" s="111"/>
      <c r="V119" s="158">
        <f>O119-P119-R119-T119</f>
        <v>2287940</v>
      </c>
      <c r="W119" s="21"/>
      <c r="X119" s="20">
        <f>E119*X118</f>
        <v>203840.00000000003</v>
      </c>
      <c r="Y119" s="20">
        <f>E119*Y118</f>
        <v>0</v>
      </c>
      <c r="Z119" s="20">
        <f>(E119-H119)*Z118</f>
        <v>84360</v>
      </c>
      <c r="AA119" s="19">
        <f>(E119*E118)*AA118</f>
        <v>0</v>
      </c>
      <c r="AB119" s="19">
        <f>F119*AB118</f>
        <v>0</v>
      </c>
      <c r="AC119" s="19">
        <f>H119*AC118</f>
        <v>100000</v>
      </c>
      <c r="AD119" s="19">
        <f>J119*AD118</f>
        <v>0</v>
      </c>
      <c r="AE119" s="19">
        <f>L119*AE118</f>
        <v>75000</v>
      </c>
      <c r="AF119" s="19">
        <v>0</v>
      </c>
      <c r="AG119" s="16">
        <v>8000</v>
      </c>
      <c r="AH119" s="18">
        <f>E119-X119-Y119-Z119-AA119-AE119-AB119-AC119-AD119-AF119</f>
        <v>2448800</v>
      </c>
      <c r="AI119" s="18">
        <f>E119-X119-Y119-Z119-AA119-AB119-AC119-AD119-AE119-AF119-AG119</f>
        <v>2440800</v>
      </c>
      <c r="AJ119" s="17">
        <f>AI119-AK119</f>
        <v>561800</v>
      </c>
      <c r="AK119" s="16">
        <v>1879000</v>
      </c>
      <c r="AL119" s="15">
        <f>AJ119/AK119</f>
        <v>0.29898882384246939</v>
      </c>
      <c r="AM119" s="14">
        <f>1-O119/(AK119-AQ119-AR119-AS119)</f>
        <v>-0.27723257051623196</v>
      </c>
      <c r="AN119" s="114">
        <f>(1-O119/E119)-(1-(AH119)/E119)</f>
        <v>1.6785714285714293E-2</v>
      </c>
      <c r="AO119" s="115"/>
      <c r="AQ119" s="13">
        <v>0</v>
      </c>
      <c r="AR119" s="12">
        <f>AB119*AR118</f>
        <v>0</v>
      </c>
      <c r="AS119" s="12">
        <v>0</v>
      </c>
      <c r="AT119" s="12"/>
      <c r="AU119" s="11">
        <f>AI119-(AK119-AQ119-AR119-AS119-AT119)</f>
        <v>561800</v>
      </c>
      <c r="AV119" s="8">
        <f>AU119/AK119</f>
        <v>0.29898882384246939</v>
      </c>
      <c r="AX119" s="10">
        <v>0</v>
      </c>
      <c r="AY119" s="10">
        <v>0</v>
      </c>
      <c r="AZ119" s="9">
        <f>AU119-AX119-AY119</f>
        <v>561800</v>
      </c>
      <c r="BA119" s="8">
        <f>AZ119/AK119</f>
        <v>0.29898882384246939</v>
      </c>
      <c r="BC119" s="49"/>
      <c r="BD119" s="50"/>
      <c r="BF119" s="6"/>
    </row>
    <row r="120" spans="1:58" x14ac:dyDescent="0.3">
      <c r="D120" s="4">
        <v>2099000</v>
      </c>
      <c r="E120" s="4">
        <f>ROUNDDOWN(D120/(1-E118),-1)</f>
        <v>2099000</v>
      </c>
      <c r="F120" s="138">
        <f>E119-F119</f>
        <v>2649920</v>
      </c>
      <c r="G120" s="138"/>
      <c r="H120" s="157">
        <f>E119-F119-H119</f>
        <v>2549920</v>
      </c>
      <c r="I120" s="157"/>
      <c r="O120" s="4"/>
      <c r="P120" s="162">
        <f>SUM(P119:U119)</f>
        <v>111980</v>
      </c>
      <c r="Q120" s="163"/>
      <c r="R120" s="163"/>
      <c r="S120" s="163"/>
      <c r="T120" s="163"/>
      <c r="U120" s="164"/>
      <c r="V120" s="4"/>
      <c r="AB120" s="3">
        <f>F120*AB118</f>
        <v>0</v>
      </c>
      <c r="AC120" s="3"/>
      <c r="AD120" s="3"/>
    </row>
    <row r="121" spans="1:58" x14ac:dyDescent="0.3">
      <c r="D121" s="4"/>
      <c r="E121" s="4"/>
      <c r="F121" s="42"/>
      <c r="G121" s="42"/>
      <c r="H121" s="160"/>
      <c r="I121" s="160"/>
      <c r="O121" s="4"/>
      <c r="P121" s="155"/>
      <c r="Q121" s="155"/>
      <c r="R121" s="155"/>
      <c r="S121" s="155"/>
      <c r="T121" s="155"/>
      <c r="U121" s="155"/>
      <c r="V121" s="4"/>
      <c r="AB121" s="3"/>
      <c r="AC121" s="3"/>
      <c r="AD121" s="3"/>
    </row>
    <row r="122" spans="1:58" x14ac:dyDescent="0.3">
      <c r="A122" s="43"/>
      <c r="B122" s="43"/>
      <c r="C122" s="43"/>
      <c r="D122" s="5"/>
    </row>
    <row r="124" spans="1:58" s="59" customFormat="1" ht="30" customHeight="1" x14ac:dyDescent="0.3">
      <c r="A124" s="58" t="s">
        <v>172</v>
      </c>
      <c r="AL124" s="60"/>
      <c r="AM124" s="60"/>
      <c r="AN124" s="60"/>
      <c r="AO124" s="60"/>
    </row>
    <row r="126" spans="1:58" ht="27" customHeight="1" x14ac:dyDescent="0.3">
      <c r="A126" s="153" t="s">
        <v>34</v>
      </c>
      <c r="B126" s="127" t="s">
        <v>130</v>
      </c>
      <c r="C126" s="128"/>
      <c r="D126" s="128"/>
      <c r="E126" s="128"/>
      <c r="F126" s="128"/>
      <c r="G126" s="128"/>
      <c r="H126" s="128"/>
      <c r="I126" s="128"/>
      <c r="J126" s="128"/>
      <c r="K126" s="128"/>
      <c r="L126" s="128"/>
      <c r="M126" s="156"/>
      <c r="N126" s="127" t="s">
        <v>141</v>
      </c>
      <c r="O126" s="156"/>
      <c r="P126" s="127" t="s">
        <v>167</v>
      </c>
      <c r="Q126" s="128"/>
      <c r="R126" s="128"/>
      <c r="S126" s="128"/>
      <c r="T126" s="128"/>
      <c r="U126" s="128"/>
      <c r="V126" s="156"/>
      <c r="X126" s="130" t="s">
        <v>33</v>
      </c>
      <c r="Y126" s="131"/>
      <c r="Z126" s="131"/>
      <c r="AA126" s="131"/>
      <c r="AB126" s="131"/>
      <c r="AC126" s="131"/>
      <c r="AD126" s="131"/>
      <c r="AE126" s="131"/>
      <c r="AF126" s="131"/>
      <c r="AG126" s="131"/>
      <c r="AH126" s="131"/>
      <c r="AI126" s="131"/>
      <c r="AJ126" s="131"/>
      <c r="AK126" s="131"/>
      <c r="AL126" s="132"/>
      <c r="AM126" s="37"/>
      <c r="AQ126" s="130" t="s">
        <v>32</v>
      </c>
      <c r="AR126" s="131"/>
      <c r="AS126" s="131"/>
      <c r="AT126" s="131"/>
      <c r="AU126" s="131"/>
      <c r="AV126" s="132"/>
      <c r="AX126" s="130" t="s">
        <v>31</v>
      </c>
      <c r="AY126" s="131"/>
      <c r="AZ126" s="131"/>
      <c r="BA126" s="132"/>
      <c r="BC126" s="36" t="s">
        <v>36</v>
      </c>
      <c r="BD126" s="48"/>
      <c r="BE126" s="52"/>
      <c r="BF126" s="36"/>
    </row>
    <row r="127" spans="1:58" ht="32.25" customHeight="1" x14ac:dyDescent="0.3">
      <c r="A127" s="153"/>
      <c r="B127" s="133" t="s">
        <v>30</v>
      </c>
      <c r="C127" s="133" t="s">
        <v>29</v>
      </c>
      <c r="D127" s="116" t="s">
        <v>27</v>
      </c>
      <c r="E127" s="34" t="s">
        <v>26</v>
      </c>
      <c r="F127" s="122" t="s">
        <v>63</v>
      </c>
      <c r="G127" s="123"/>
      <c r="H127" s="122" t="s">
        <v>50</v>
      </c>
      <c r="I127" s="123"/>
      <c r="J127" s="122" t="s">
        <v>146</v>
      </c>
      <c r="K127" s="123"/>
      <c r="L127" s="122" t="s">
        <v>25</v>
      </c>
      <c r="M127" s="123"/>
      <c r="N127" s="106" t="s">
        <v>23</v>
      </c>
      <c r="O127" s="151" t="s">
        <v>137</v>
      </c>
      <c r="P127" s="122" t="s">
        <v>136</v>
      </c>
      <c r="Q127" s="123"/>
      <c r="R127" s="122" t="s">
        <v>143</v>
      </c>
      <c r="S127" s="123"/>
      <c r="T127" s="122" t="s">
        <v>144</v>
      </c>
      <c r="U127" s="123"/>
      <c r="V127" s="159" t="s">
        <v>142</v>
      </c>
      <c r="W127" s="21"/>
      <c r="X127" s="34" t="s">
        <v>21</v>
      </c>
      <c r="Y127" s="34" t="s">
        <v>20</v>
      </c>
      <c r="Z127" s="34" t="s">
        <v>95</v>
      </c>
      <c r="AA127" s="34" t="s">
        <v>19</v>
      </c>
      <c r="AB127" s="34" t="s">
        <v>18</v>
      </c>
      <c r="AC127" s="34" t="s">
        <v>48</v>
      </c>
      <c r="AD127" s="34" t="s">
        <v>49</v>
      </c>
      <c r="AE127" s="34" t="s">
        <v>17</v>
      </c>
      <c r="AF127" s="106" t="s">
        <v>16</v>
      </c>
      <c r="AG127" s="106" t="s">
        <v>15</v>
      </c>
      <c r="AH127" s="106" t="s">
        <v>14</v>
      </c>
      <c r="AI127" s="106" t="s">
        <v>13</v>
      </c>
      <c r="AJ127" s="106" t="s">
        <v>12</v>
      </c>
      <c r="AK127" s="116" t="s">
        <v>11</v>
      </c>
      <c r="AL127" s="118" t="s">
        <v>10</v>
      </c>
      <c r="AM127" s="120" t="s">
        <v>9</v>
      </c>
      <c r="AN127" s="35">
        <f>(1-O129/E129)</f>
        <v>0.29581604222752544</v>
      </c>
      <c r="AO127" s="35">
        <f>1-(AH129+AQ129)/E129</f>
        <v>0.19703382199075981</v>
      </c>
      <c r="AQ127" s="106" t="s">
        <v>8</v>
      </c>
      <c r="AR127" s="106" t="s">
        <v>7</v>
      </c>
      <c r="AS127" s="106" t="s">
        <v>37</v>
      </c>
      <c r="AT127" s="106" t="s">
        <v>38</v>
      </c>
      <c r="AU127" s="106" t="s">
        <v>6</v>
      </c>
      <c r="AV127" s="106" t="s">
        <v>5</v>
      </c>
      <c r="AX127" s="106" t="s">
        <v>4</v>
      </c>
      <c r="AY127" s="106" t="s">
        <v>3</v>
      </c>
      <c r="AZ127" s="106" t="s">
        <v>2</v>
      </c>
      <c r="BA127" s="106" t="s">
        <v>1</v>
      </c>
      <c r="BC127" s="106"/>
      <c r="BD127" s="108"/>
      <c r="BE127" s="52"/>
      <c r="BF127" s="106"/>
    </row>
    <row r="128" spans="1:58" ht="27" customHeight="1" x14ac:dyDescent="0.3">
      <c r="A128" s="154" t="s">
        <v>158</v>
      </c>
      <c r="B128" s="134"/>
      <c r="C128" s="134"/>
      <c r="D128" s="117"/>
      <c r="E128" s="31">
        <v>0</v>
      </c>
      <c r="F128" s="33">
        <v>0.09</v>
      </c>
      <c r="G128" s="32">
        <v>1000000</v>
      </c>
      <c r="H128" s="31">
        <v>1</v>
      </c>
      <c r="I128" s="32">
        <v>0</v>
      </c>
      <c r="J128" s="31">
        <v>1</v>
      </c>
      <c r="K128" s="32">
        <v>130000</v>
      </c>
      <c r="L128" s="31">
        <v>7.0000000000000007E-2</v>
      </c>
      <c r="M128" s="32">
        <v>70000</v>
      </c>
      <c r="N128" s="107"/>
      <c r="O128" s="152"/>
      <c r="P128" s="31">
        <v>0.02</v>
      </c>
      <c r="Q128" s="32">
        <v>1000000</v>
      </c>
      <c r="R128" s="31">
        <v>0.05</v>
      </c>
      <c r="S128" s="32">
        <v>10000</v>
      </c>
      <c r="T128" s="31">
        <v>0.02</v>
      </c>
      <c r="U128" s="32">
        <v>60000</v>
      </c>
      <c r="V128" s="159"/>
      <c r="W128" s="21"/>
      <c r="X128" s="31">
        <f>IF(C129="노트북",7%,IF(C129="저장&amp;주변기기",9%,IF(C129="모니터",7%)))</f>
        <v>7.0000000000000007E-2</v>
      </c>
      <c r="Y128" s="31">
        <v>0</v>
      </c>
      <c r="Z128" s="31">
        <v>0.03</v>
      </c>
      <c r="AA128" s="31">
        <f>IF(F128=0%,20%,0%)</f>
        <v>0</v>
      </c>
      <c r="AB128" s="30">
        <v>0</v>
      </c>
      <c r="AC128" s="30">
        <v>1</v>
      </c>
      <c r="AD128" s="53">
        <v>0.92307600000000001</v>
      </c>
      <c r="AE128" s="29">
        <v>0.5</v>
      </c>
      <c r="AF128" s="107"/>
      <c r="AG128" s="107"/>
      <c r="AH128" s="107"/>
      <c r="AI128" s="107"/>
      <c r="AJ128" s="107"/>
      <c r="AK128" s="117"/>
      <c r="AL128" s="119"/>
      <c r="AM128" s="121"/>
      <c r="AN128" s="55" t="s">
        <v>52</v>
      </c>
      <c r="AO128" s="56">
        <f>AN127-AO127</f>
        <v>9.8782220236765639E-2</v>
      </c>
      <c r="AQ128" s="107"/>
      <c r="AR128" s="107"/>
      <c r="AS128" s="107"/>
      <c r="AT128" s="107"/>
      <c r="AU128" s="107"/>
      <c r="AV128" s="107"/>
      <c r="AW128" s="39"/>
      <c r="AX128" s="107"/>
      <c r="AY128" s="107"/>
      <c r="AZ128" s="107"/>
      <c r="BA128" s="107"/>
      <c r="BC128" s="107"/>
      <c r="BD128" s="109"/>
      <c r="BE128" s="52"/>
      <c r="BF128" s="107"/>
    </row>
    <row r="129" spans="1:58" ht="27" customHeight="1" x14ac:dyDescent="0.3">
      <c r="A129" s="51">
        <v>4608884708</v>
      </c>
      <c r="B129" s="38" t="s">
        <v>35</v>
      </c>
      <c r="C129" s="27" t="s">
        <v>0</v>
      </c>
      <c r="D129" s="25">
        <v>850630</v>
      </c>
      <c r="E129" s="24">
        <f>ROUNDDOWN(D129/(1-E128),-1)</f>
        <v>850630</v>
      </c>
      <c r="F129" s="110">
        <f>ROUNDDOWN(IF(E129*F128&gt;G128,G128,E129*F128),-1)</f>
        <v>76550</v>
      </c>
      <c r="G129" s="111"/>
      <c r="H129" s="112">
        <f>ROUNDDOWN(IF(E129*H128&gt;I128,I128,E129*H128),-1)</f>
        <v>0</v>
      </c>
      <c r="I129" s="113"/>
      <c r="J129" s="112">
        <f>ROUNDDOWN(IF(E129*J128&gt;K128,K128,E129*J128),-1)</f>
        <v>130000</v>
      </c>
      <c r="K129" s="113"/>
      <c r="L129" s="110">
        <f>ROUNDDOWN(IF(N129*L128&gt;M128,M128,N129*L128),-1)</f>
        <v>45080</v>
      </c>
      <c r="M129" s="111"/>
      <c r="N129" s="23">
        <f>E129-F129-H129-J129</f>
        <v>644080</v>
      </c>
      <c r="O129" s="22">
        <f>E129-F129-H129-J129-L129</f>
        <v>599000</v>
      </c>
      <c r="P129" s="110">
        <f>ROUNDDOWN(IF(N129*P128&gt;Q128,Q128,N129*P128),-1)</f>
        <v>12880</v>
      </c>
      <c r="Q129" s="111"/>
      <c r="R129" s="110">
        <f>ROUNDDOWN(IF(N129*R128&gt;S128,S128,N129*R128),-1)</f>
        <v>10000</v>
      </c>
      <c r="S129" s="111"/>
      <c r="T129" s="110">
        <f>ROUNDDOWN(IF(N129*T128&gt;U128,U128,N129*T128),-1)</f>
        <v>12880</v>
      </c>
      <c r="U129" s="111"/>
      <c r="V129" s="158">
        <f>O129-P129-R129-T129</f>
        <v>563240</v>
      </c>
      <c r="W129" s="21"/>
      <c r="X129" s="20">
        <f>E129*X128</f>
        <v>59544.100000000006</v>
      </c>
      <c r="Y129" s="20">
        <f>E129*Y128</f>
        <v>0</v>
      </c>
      <c r="Z129" s="20">
        <f>(E129-H129)*Z128</f>
        <v>25518.899999999998</v>
      </c>
      <c r="AA129" s="19">
        <f>(E129*E128)*AA128</f>
        <v>0</v>
      </c>
      <c r="AB129" s="19">
        <f>F129*AB128</f>
        <v>0</v>
      </c>
      <c r="AC129" s="19">
        <f>H129*AC128</f>
        <v>0</v>
      </c>
      <c r="AD129" s="19">
        <f>J129*AD128</f>
        <v>119999.88</v>
      </c>
      <c r="AE129" s="19">
        <f>L129*AE128</f>
        <v>22540</v>
      </c>
      <c r="AF129" s="19">
        <v>0</v>
      </c>
      <c r="AG129" s="16">
        <v>6000</v>
      </c>
      <c r="AH129" s="18">
        <f>E129-X129-Y129-Z129-AA129-AE129-AB129-AC129-AD129-AF129</f>
        <v>623027.12</v>
      </c>
      <c r="AI129" s="18">
        <f>E129-X129-Y129-Z129-AA129-AB129-AC129-AD129-AE129-AF129-AG129</f>
        <v>617027.12</v>
      </c>
      <c r="AJ129" s="17">
        <f>AI129-AK129</f>
        <v>-29972.880000000005</v>
      </c>
      <c r="AK129" s="16">
        <v>647000</v>
      </c>
      <c r="AL129" s="15">
        <f>AJ129/AK129</f>
        <v>-4.6325935085007736E-2</v>
      </c>
      <c r="AM129" s="14">
        <f>1-O129/(AK129-AQ129-AR129-AS129)</f>
        <v>-2.0442930153321992E-2</v>
      </c>
      <c r="AN129" s="114">
        <f>(1-O129/E129)-(1-(AH129)/E129)</f>
        <v>2.8246264533345777E-2</v>
      </c>
      <c r="AO129" s="115"/>
      <c r="AQ129" s="13">
        <v>60000</v>
      </c>
      <c r="AR129" s="12">
        <v>0</v>
      </c>
      <c r="AS129" s="12"/>
      <c r="AT129" s="12"/>
      <c r="AU129" s="11">
        <f>AI129-(AK129-AQ129-AR129-AS129-AT129)</f>
        <v>30027.119999999995</v>
      </c>
      <c r="AV129" s="8">
        <f>AU129/AK129</f>
        <v>4.6409768160741875E-2</v>
      </c>
      <c r="AX129" s="10">
        <v>0</v>
      </c>
      <c r="AY129" s="10">
        <v>0</v>
      </c>
      <c r="AZ129" s="9">
        <f>AU129-AX129-AY129</f>
        <v>30027.119999999995</v>
      </c>
      <c r="BA129" s="8">
        <f>AZ129/AK129</f>
        <v>4.6409768160741875E-2</v>
      </c>
      <c r="BC129" s="7"/>
      <c r="BD129" s="50"/>
      <c r="BE129" s="52"/>
      <c r="BF129" s="7"/>
    </row>
    <row r="130" spans="1:58" ht="16.5" customHeight="1" x14ac:dyDescent="0.3">
      <c r="C130" s="57"/>
      <c r="D130" s="5">
        <v>699000</v>
      </c>
      <c r="E130" s="4">
        <f>ROUNDDOWN(D130/(1-E128),-1)</f>
        <v>699000</v>
      </c>
      <c r="F130" s="138">
        <f>E129-F129</f>
        <v>774080</v>
      </c>
      <c r="G130" s="138"/>
      <c r="H130" s="157">
        <f>E129-F129-H129</f>
        <v>774080</v>
      </c>
      <c r="I130" s="157"/>
      <c r="O130" s="4"/>
      <c r="P130" s="162">
        <f>SUM(P129:U129)</f>
        <v>35760</v>
      </c>
      <c r="Q130" s="163"/>
      <c r="R130" s="163"/>
      <c r="S130" s="163"/>
      <c r="T130" s="163"/>
      <c r="U130" s="164"/>
      <c r="V130" s="4"/>
      <c r="AB130" s="3">
        <f>F130*AB128</f>
        <v>0</v>
      </c>
      <c r="AC130" s="3"/>
      <c r="AD130" s="3"/>
      <c r="AK130" s="4"/>
    </row>
    <row r="131" spans="1:58" ht="16.5" customHeight="1" x14ac:dyDescent="0.3">
      <c r="C131" s="57"/>
      <c r="D131" s="5">
        <v>849000</v>
      </c>
      <c r="E131" s="4"/>
      <c r="F131" s="74"/>
      <c r="G131" s="74"/>
      <c r="I131" s="54"/>
      <c r="O131" s="4"/>
      <c r="P131" s="4"/>
      <c r="Q131" s="4"/>
      <c r="R131" s="4"/>
      <c r="S131" s="4"/>
      <c r="T131" s="4"/>
      <c r="U131" s="4"/>
      <c r="V131" s="4"/>
      <c r="AB131" s="3"/>
      <c r="AC131" s="3"/>
      <c r="AD131" s="3"/>
      <c r="AK131" s="4"/>
    </row>
    <row r="132" spans="1:58" ht="16.5" customHeight="1" x14ac:dyDescent="0.3">
      <c r="C132" s="57"/>
      <c r="D132" s="5"/>
      <c r="E132" s="4"/>
      <c r="F132" s="42"/>
      <c r="G132" s="42"/>
      <c r="I132" s="54"/>
      <c r="O132" s="4"/>
      <c r="P132" s="4"/>
      <c r="Q132" s="4"/>
      <c r="R132" s="4"/>
      <c r="S132" s="4"/>
      <c r="T132" s="4"/>
      <c r="U132" s="4"/>
      <c r="V132" s="4"/>
      <c r="AB132" s="3"/>
      <c r="AC132" s="3"/>
      <c r="AD132" s="3"/>
      <c r="AK132" s="4"/>
    </row>
    <row r="133" spans="1:58" x14ac:dyDescent="0.3">
      <c r="A133" s="43"/>
      <c r="B133" s="43"/>
      <c r="C133" s="43"/>
      <c r="D133" s="5"/>
    </row>
    <row r="134" spans="1:58" ht="27" customHeight="1" x14ac:dyDescent="0.3">
      <c r="A134" s="153" t="s">
        <v>34</v>
      </c>
      <c r="B134" s="127" t="s">
        <v>130</v>
      </c>
      <c r="C134" s="128"/>
      <c r="D134" s="128"/>
      <c r="E134" s="128"/>
      <c r="F134" s="128"/>
      <c r="G134" s="128"/>
      <c r="H134" s="128"/>
      <c r="I134" s="128"/>
      <c r="J134" s="128"/>
      <c r="K134" s="128"/>
      <c r="L134" s="128"/>
      <c r="M134" s="156"/>
      <c r="N134" s="127" t="s">
        <v>141</v>
      </c>
      <c r="O134" s="156"/>
      <c r="P134" s="127" t="s">
        <v>167</v>
      </c>
      <c r="Q134" s="128"/>
      <c r="R134" s="128"/>
      <c r="S134" s="128"/>
      <c r="T134" s="128"/>
      <c r="U134" s="128"/>
      <c r="V134" s="156"/>
      <c r="X134" s="130" t="s">
        <v>33</v>
      </c>
      <c r="Y134" s="131"/>
      <c r="Z134" s="131"/>
      <c r="AA134" s="131"/>
      <c r="AB134" s="131"/>
      <c r="AC134" s="131"/>
      <c r="AD134" s="131"/>
      <c r="AE134" s="131"/>
      <c r="AF134" s="131"/>
      <c r="AG134" s="131"/>
      <c r="AH134" s="131"/>
      <c r="AI134" s="131"/>
      <c r="AJ134" s="131"/>
      <c r="AK134" s="131"/>
      <c r="AL134" s="132"/>
      <c r="AM134" s="37"/>
      <c r="AQ134" s="130" t="s">
        <v>32</v>
      </c>
      <c r="AR134" s="131"/>
      <c r="AS134" s="131"/>
      <c r="AT134" s="131"/>
      <c r="AU134" s="131"/>
      <c r="AV134" s="132"/>
      <c r="AX134" s="130" t="s">
        <v>31</v>
      </c>
      <c r="AY134" s="131"/>
      <c r="AZ134" s="131"/>
      <c r="BA134" s="132"/>
      <c r="BC134" s="36" t="s">
        <v>36</v>
      </c>
      <c r="BD134" s="48"/>
      <c r="BE134" s="52"/>
      <c r="BF134" s="36"/>
    </row>
    <row r="135" spans="1:58" ht="32.25" customHeight="1" x14ac:dyDescent="0.3">
      <c r="A135" s="153"/>
      <c r="B135" s="133" t="s">
        <v>30</v>
      </c>
      <c r="C135" s="133" t="s">
        <v>29</v>
      </c>
      <c r="D135" s="116" t="s">
        <v>27</v>
      </c>
      <c r="E135" s="34" t="s">
        <v>26</v>
      </c>
      <c r="F135" s="122" t="s">
        <v>63</v>
      </c>
      <c r="G135" s="123"/>
      <c r="H135" s="122" t="s">
        <v>50</v>
      </c>
      <c r="I135" s="123"/>
      <c r="J135" s="122" t="s">
        <v>146</v>
      </c>
      <c r="K135" s="123"/>
      <c r="L135" s="122" t="s">
        <v>25</v>
      </c>
      <c r="M135" s="123"/>
      <c r="N135" s="106" t="s">
        <v>23</v>
      </c>
      <c r="O135" s="151" t="s">
        <v>137</v>
      </c>
      <c r="P135" s="122" t="s">
        <v>136</v>
      </c>
      <c r="Q135" s="123"/>
      <c r="R135" s="122" t="s">
        <v>143</v>
      </c>
      <c r="S135" s="123"/>
      <c r="T135" s="122" t="s">
        <v>144</v>
      </c>
      <c r="U135" s="123"/>
      <c r="V135" s="159" t="s">
        <v>142</v>
      </c>
      <c r="W135" s="21"/>
      <c r="X135" s="34" t="s">
        <v>21</v>
      </c>
      <c r="Y135" s="34" t="s">
        <v>20</v>
      </c>
      <c r="Z135" s="34" t="s">
        <v>95</v>
      </c>
      <c r="AA135" s="34" t="s">
        <v>19</v>
      </c>
      <c r="AB135" s="34" t="s">
        <v>18</v>
      </c>
      <c r="AC135" s="34" t="s">
        <v>48</v>
      </c>
      <c r="AD135" s="34" t="s">
        <v>49</v>
      </c>
      <c r="AE135" s="34" t="s">
        <v>17</v>
      </c>
      <c r="AF135" s="106" t="s">
        <v>16</v>
      </c>
      <c r="AG135" s="106" t="s">
        <v>15</v>
      </c>
      <c r="AH135" s="106" t="s">
        <v>14</v>
      </c>
      <c r="AI135" s="106" t="s">
        <v>13</v>
      </c>
      <c r="AJ135" s="106" t="s">
        <v>12</v>
      </c>
      <c r="AK135" s="116" t="s">
        <v>11</v>
      </c>
      <c r="AL135" s="118" t="s">
        <v>10</v>
      </c>
      <c r="AM135" s="120" t="s">
        <v>9</v>
      </c>
      <c r="AN135" s="35">
        <f>(1-O137/E137)</f>
        <v>0.29581604222752544</v>
      </c>
      <c r="AO135" s="35">
        <f>1-(AH137+AQ137)/E137</f>
        <v>0.19703382199075981</v>
      </c>
      <c r="AQ135" s="106" t="s">
        <v>8</v>
      </c>
      <c r="AR135" s="106" t="s">
        <v>7</v>
      </c>
      <c r="AS135" s="106" t="s">
        <v>37</v>
      </c>
      <c r="AT135" s="106" t="s">
        <v>38</v>
      </c>
      <c r="AU135" s="106" t="s">
        <v>6</v>
      </c>
      <c r="AV135" s="106" t="s">
        <v>5</v>
      </c>
      <c r="AX135" s="106" t="s">
        <v>4</v>
      </c>
      <c r="AY135" s="106" t="s">
        <v>3</v>
      </c>
      <c r="AZ135" s="106" t="s">
        <v>2</v>
      </c>
      <c r="BA135" s="106" t="s">
        <v>1</v>
      </c>
      <c r="BC135" s="106"/>
      <c r="BD135" s="108"/>
      <c r="BE135" s="52"/>
      <c r="BF135" s="106"/>
    </row>
    <row r="136" spans="1:58" ht="27" customHeight="1" x14ac:dyDescent="0.3">
      <c r="A136" s="154" t="s">
        <v>159</v>
      </c>
      <c r="B136" s="134"/>
      <c r="C136" s="134"/>
      <c r="D136" s="117"/>
      <c r="E136" s="31">
        <v>0</v>
      </c>
      <c r="F136" s="33">
        <v>0.09</v>
      </c>
      <c r="G136" s="32">
        <v>1000000</v>
      </c>
      <c r="H136" s="31">
        <v>0</v>
      </c>
      <c r="I136" s="32">
        <v>0</v>
      </c>
      <c r="J136" s="31">
        <v>1</v>
      </c>
      <c r="K136" s="32">
        <v>130000</v>
      </c>
      <c r="L136" s="31">
        <v>7.0000000000000007E-2</v>
      </c>
      <c r="M136" s="32">
        <v>70000</v>
      </c>
      <c r="N136" s="107"/>
      <c r="O136" s="152"/>
      <c r="P136" s="31">
        <v>0.02</v>
      </c>
      <c r="Q136" s="32">
        <v>1000000</v>
      </c>
      <c r="R136" s="31">
        <v>0.05</v>
      </c>
      <c r="S136" s="32">
        <v>10000</v>
      </c>
      <c r="T136" s="31">
        <v>0.02</v>
      </c>
      <c r="U136" s="32">
        <v>60000</v>
      </c>
      <c r="V136" s="159"/>
      <c r="W136" s="21"/>
      <c r="X136" s="31">
        <f>IF(C137="노트북",7%,IF(C137="저장&amp;주변기기",9%,IF(C137="모니터",7%)))</f>
        <v>7.0000000000000007E-2</v>
      </c>
      <c r="Y136" s="31">
        <v>0</v>
      </c>
      <c r="Z136" s="31">
        <v>0.03</v>
      </c>
      <c r="AA136" s="31">
        <f>IF(F136=0%,20%,0%)</f>
        <v>0</v>
      </c>
      <c r="AB136" s="30">
        <v>0</v>
      </c>
      <c r="AC136" s="30">
        <v>1</v>
      </c>
      <c r="AD136" s="53">
        <v>0.92307600000000001</v>
      </c>
      <c r="AE136" s="29">
        <v>0.5</v>
      </c>
      <c r="AF136" s="107"/>
      <c r="AG136" s="107"/>
      <c r="AH136" s="107"/>
      <c r="AI136" s="107"/>
      <c r="AJ136" s="107"/>
      <c r="AK136" s="117"/>
      <c r="AL136" s="119"/>
      <c r="AM136" s="121"/>
      <c r="AN136" s="55" t="s">
        <v>52</v>
      </c>
      <c r="AO136" s="56">
        <f>AN135-AO135</f>
        <v>9.8782220236765639E-2</v>
      </c>
      <c r="AQ136" s="107"/>
      <c r="AR136" s="107"/>
      <c r="AS136" s="107"/>
      <c r="AT136" s="107"/>
      <c r="AU136" s="107"/>
      <c r="AV136" s="107"/>
      <c r="AW136" s="39"/>
      <c r="AX136" s="107"/>
      <c r="AY136" s="107"/>
      <c r="AZ136" s="107"/>
      <c r="BA136" s="107"/>
      <c r="BC136" s="107"/>
      <c r="BD136" s="109"/>
      <c r="BE136" s="52"/>
      <c r="BF136" s="107"/>
    </row>
    <row r="137" spans="1:58" ht="27" customHeight="1" x14ac:dyDescent="0.3">
      <c r="A137" s="51">
        <v>4363376144</v>
      </c>
      <c r="B137" s="38" t="s">
        <v>35</v>
      </c>
      <c r="C137" s="27" t="s">
        <v>0</v>
      </c>
      <c r="D137" s="25">
        <v>850630</v>
      </c>
      <c r="E137" s="24">
        <f>ROUNDDOWN(D137/(1-E136),-1)</f>
        <v>850630</v>
      </c>
      <c r="F137" s="110">
        <f>ROUNDDOWN(IF(E137*F136&gt;G136,G136,E137*F136),-1)</f>
        <v>76550</v>
      </c>
      <c r="G137" s="111"/>
      <c r="H137" s="112">
        <f>ROUNDDOWN(IF(E137*H136&gt;I136,I136,E137*H136),-1)</f>
        <v>0</v>
      </c>
      <c r="I137" s="113"/>
      <c r="J137" s="112">
        <f>ROUNDDOWN(IF(E137*J136&gt;K136,K136,E137*J136),-1)</f>
        <v>130000</v>
      </c>
      <c r="K137" s="113"/>
      <c r="L137" s="110">
        <f>ROUNDDOWN(IF(N137*L136&gt;M136,M136,N137*L136),-1)</f>
        <v>45080</v>
      </c>
      <c r="M137" s="111"/>
      <c r="N137" s="23">
        <f>E137-F137-H137-J137</f>
        <v>644080</v>
      </c>
      <c r="O137" s="22">
        <f>E137-F137-H137-J137-L137</f>
        <v>599000</v>
      </c>
      <c r="P137" s="110">
        <f>ROUNDDOWN(IF(N137*P136&gt;Q136,Q136,N137*P136),-1)</f>
        <v>12880</v>
      </c>
      <c r="Q137" s="111"/>
      <c r="R137" s="110">
        <f>ROUNDDOWN(IF(N137*R136&gt;S136,S136,N137*R136),-1)</f>
        <v>10000</v>
      </c>
      <c r="S137" s="111"/>
      <c r="T137" s="110">
        <f>ROUNDDOWN(IF(N137*T136&gt;U136,U136,N137*T136),-1)</f>
        <v>12880</v>
      </c>
      <c r="U137" s="111"/>
      <c r="V137" s="158">
        <f>O137-P137-R137-T137</f>
        <v>563240</v>
      </c>
      <c r="W137" s="21"/>
      <c r="X137" s="20">
        <f>E137*X136</f>
        <v>59544.100000000006</v>
      </c>
      <c r="Y137" s="20">
        <f>E137*Y136</f>
        <v>0</v>
      </c>
      <c r="Z137" s="20">
        <f>(E137-H137)*Z136</f>
        <v>25518.899999999998</v>
      </c>
      <c r="AA137" s="19">
        <f>(E137*E136)*AA136</f>
        <v>0</v>
      </c>
      <c r="AB137" s="19">
        <f>F137*AB136</f>
        <v>0</v>
      </c>
      <c r="AC137" s="19">
        <f>H137*AC136</f>
        <v>0</v>
      </c>
      <c r="AD137" s="19">
        <f>J137*AD136</f>
        <v>119999.88</v>
      </c>
      <c r="AE137" s="19">
        <f>L137*AE136</f>
        <v>22540</v>
      </c>
      <c r="AF137" s="19">
        <v>0</v>
      </c>
      <c r="AG137" s="16">
        <v>6000</v>
      </c>
      <c r="AH137" s="18">
        <f>E137-X137-Y137-Z137-AA137-AE137-AB137-AC137-AD137-AF137</f>
        <v>623027.12</v>
      </c>
      <c r="AI137" s="18">
        <f>E137-X137-Y137-Z137-AA137-AB137-AC137-AD137-AE137-AF137-AG137</f>
        <v>617027.12</v>
      </c>
      <c r="AJ137" s="17">
        <f>AI137-AK137</f>
        <v>-29972.880000000005</v>
      </c>
      <c r="AK137" s="16">
        <v>647000</v>
      </c>
      <c r="AL137" s="15">
        <f>AJ137/AK137</f>
        <v>-4.6325935085007736E-2</v>
      </c>
      <c r="AM137" s="14">
        <f>1-O137/(AK137-AQ137-AR137-AS137)</f>
        <v>-2.0442930153321992E-2</v>
      </c>
      <c r="AN137" s="114">
        <f>(1-O137/E137)-(1-(AH137)/E137)</f>
        <v>2.8246264533345777E-2</v>
      </c>
      <c r="AO137" s="115"/>
      <c r="AQ137" s="13">
        <v>60000</v>
      </c>
      <c r="AR137" s="12">
        <v>0</v>
      </c>
      <c r="AS137" s="12"/>
      <c r="AT137" s="12"/>
      <c r="AU137" s="11">
        <f>AI137-(AK137-AQ137-AR137-AS137-AT137)</f>
        <v>30027.119999999995</v>
      </c>
      <c r="AV137" s="8">
        <f>AU137/AK137</f>
        <v>4.6409768160741875E-2</v>
      </c>
      <c r="AX137" s="10">
        <v>0</v>
      </c>
      <c r="AY137" s="10">
        <v>0</v>
      </c>
      <c r="AZ137" s="9">
        <f>AU137-AX137-AY137</f>
        <v>30027.119999999995</v>
      </c>
      <c r="BA137" s="8">
        <f>AZ137/AK137</f>
        <v>4.6409768160741875E-2</v>
      </c>
      <c r="BC137" s="7"/>
      <c r="BD137" s="50"/>
      <c r="BE137" s="52"/>
      <c r="BF137" s="7"/>
    </row>
    <row r="138" spans="1:58" ht="16.5" customHeight="1" x14ac:dyDescent="0.3">
      <c r="A138" s="21">
        <v>4583391989</v>
      </c>
      <c r="C138" s="57"/>
      <c r="D138" s="5">
        <v>679000</v>
      </c>
      <c r="E138" s="4">
        <f>ROUNDDOWN(D138/(1-E136),-1)</f>
        <v>679000</v>
      </c>
      <c r="F138" s="138">
        <f>E137-F137</f>
        <v>774080</v>
      </c>
      <c r="G138" s="138"/>
      <c r="H138" s="157">
        <f>E137-F137-H137</f>
        <v>774080</v>
      </c>
      <c r="I138" s="157"/>
      <c r="O138" s="4"/>
      <c r="P138" s="162">
        <f>SUM(P137:U137)</f>
        <v>35760</v>
      </c>
      <c r="Q138" s="163"/>
      <c r="R138" s="163"/>
      <c r="S138" s="163"/>
      <c r="T138" s="163"/>
      <c r="U138" s="164"/>
      <c r="V138" s="4"/>
      <c r="AB138" s="3">
        <f>F138*AB136</f>
        <v>0</v>
      </c>
      <c r="AC138" s="3"/>
      <c r="AD138" s="3"/>
      <c r="AK138" s="4">
        <v>625000</v>
      </c>
    </row>
    <row r="139" spans="1:58" ht="16.5" customHeight="1" x14ac:dyDescent="0.3">
      <c r="C139" s="57"/>
      <c r="D139" s="5"/>
      <c r="E139" s="4"/>
      <c r="F139" s="74"/>
      <c r="G139" s="74"/>
      <c r="I139" s="54"/>
      <c r="O139" s="4"/>
      <c r="P139" s="4"/>
      <c r="Q139" s="4"/>
      <c r="R139" s="4"/>
      <c r="S139" s="4"/>
      <c r="T139" s="4"/>
      <c r="U139" s="4"/>
      <c r="V139" s="4"/>
      <c r="AB139" s="3"/>
      <c r="AC139" s="3"/>
      <c r="AD139" s="3"/>
      <c r="AK139" s="4"/>
    </row>
    <row r="140" spans="1:58" ht="16.5" customHeight="1" x14ac:dyDescent="0.3">
      <c r="C140" s="57"/>
      <c r="D140" s="5"/>
      <c r="E140" s="4"/>
      <c r="F140" s="74"/>
      <c r="G140" s="74"/>
      <c r="I140" s="54"/>
      <c r="O140" s="4"/>
      <c r="P140" s="4"/>
      <c r="Q140" s="4"/>
      <c r="R140" s="4"/>
      <c r="S140" s="4"/>
      <c r="T140" s="4"/>
      <c r="U140" s="4"/>
      <c r="V140" s="4"/>
      <c r="AB140" s="3"/>
      <c r="AC140" s="3"/>
      <c r="AD140" s="3"/>
      <c r="AK140" s="4"/>
    </row>
    <row r="141" spans="1:58" ht="27" customHeight="1" x14ac:dyDescent="0.3">
      <c r="A141" s="153" t="s">
        <v>34</v>
      </c>
      <c r="B141" s="127" t="s">
        <v>130</v>
      </c>
      <c r="C141" s="128"/>
      <c r="D141" s="128"/>
      <c r="E141" s="128"/>
      <c r="F141" s="128"/>
      <c r="G141" s="128"/>
      <c r="H141" s="128"/>
      <c r="I141" s="128"/>
      <c r="J141" s="128"/>
      <c r="K141" s="128"/>
      <c r="L141" s="128"/>
      <c r="M141" s="156"/>
      <c r="N141" s="127" t="s">
        <v>141</v>
      </c>
      <c r="O141" s="156"/>
      <c r="P141" s="127" t="s">
        <v>167</v>
      </c>
      <c r="Q141" s="128"/>
      <c r="R141" s="128"/>
      <c r="S141" s="128"/>
      <c r="T141" s="128"/>
      <c r="U141" s="128"/>
      <c r="V141" s="156"/>
      <c r="X141" s="130" t="s">
        <v>33</v>
      </c>
      <c r="Y141" s="131"/>
      <c r="Z141" s="131"/>
      <c r="AA141" s="131"/>
      <c r="AB141" s="131"/>
      <c r="AC141" s="131"/>
      <c r="AD141" s="131"/>
      <c r="AE141" s="131"/>
      <c r="AF141" s="131"/>
      <c r="AG141" s="131"/>
      <c r="AH141" s="131"/>
      <c r="AI141" s="131"/>
      <c r="AJ141" s="131"/>
      <c r="AK141" s="131"/>
      <c r="AL141" s="132"/>
      <c r="AM141" s="37"/>
      <c r="AQ141" s="130" t="s">
        <v>32</v>
      </c>
      <c r="AR141" s="131"/>
      <c r="AS141" s="131"/>
      <c r="AT141" s="131"/>
      <c r="AU141" s="131"/>
      <c r="AV141" s="132"/>
      <c r="AX141" s="130" t="s">
        <v>31</v>
      </c>
      <c r="AY141" s="131"/>
      <c r="AZ141" s="131"/>
      <c r="BA141" s="132"/>
      <c r="BC141" s="36" t="s">
        <v>36</v>
      </c>
      <c r="BD141" s="48"/>
      <c r="BE141" s="52"/>
      <c r="BF141" s="36"/>
    </row>
    <row r="142" spans="1:58" ht="32.25" customHeight="1" x14ac:dyDescent="0.3">
      <c r="A142" s="153"/>
      <c r="B142" s="133" t="s">
        <v>30</v>
      </c>
      <c r="C142" s="133" t="s">
        <v>29</v>
      </c>
      <c r="D142" s="116" t="s">
        <v>27</v>
      </c>
      <c r="E142" s="34" t="s">
        <v>26</v>
      </c>
      <c r="F142" s="122" t="s">
        <v>63</v>
      </c>
      <c r="G142" s="123"/>
      <c r="H142" s="122" t="s">
        <v>50</v>
      </c>
      <c r="I142" s="123"/>
      <c r="J142" s="122" t="s">
        <v>146</v>
      </c>
      <c r="K142" s="123"/>
      <c r="L142" s="122" t="s">
        <v>25</v>
      </c>
      <c r="M142" s="123"/>
      <c r="N142" s="106" t="s">
        <v>23</v>
      </c>
      <c r="O142" s="151" t="s">
        <v>137</v>
      </c>
      <c r="P142" s="122" t="s">
        <v>136</v>
      </c>
      <c r="Q142" s="123"/>
      <c r="R142" s="122" t="s">
        <v>143</v>
      </c>
      <c r="S142" s="123"/>
      <c r="T142" s="122" t="s">
        <v>144</v>
      </c>
      <c r="U142" s="123"/>
      <c r="V142" s="159" t="s">
        <v>142</v>
      </c>
      <c r="W142" s="21"/>
      <c r="X142" s="34" t="s">
        <v>21</v>
      </c>
      <c r="Y142" s="34" t="s">
        <v>20</v>
      </c>
      <c r="Z142" s="34" t="s">
        <v>95</v>
      </c>
      <c r="AA142" s="34" t="s">
        <v>19</v>
      </c>
      <c r="AB142" s="34" t="s">
        <v>18</v>
      </c>
      <c r="AC142" s="34" t="s">
        <v>48</v>
      </c>
      <c r="AD142" s="34" t="s">
        <v>49</v>
      </c>
      <c r="AE142" s="34" t="s">
        <v>17</v>
      </c>
      <c r="AF142" s="106" t="s">
        <v>16</v>
      </c>
      <c r="AG142" s="106" t="s">
        <v>15</v>
      </c>
      <c r="AH142" s="106" t="s">
        <v>14</v>
      </c>
      <c r="AI142" s="106" t="s">
        <v>13</v>
      </c>
      <c r="AJ142" s="106" t="s">
        <v>12</v>
      </c>
      <c r="AK142" s="116" t="s">
        <v>11</v>
      </c>
      <c r="AL142" s="118" t="s">
        <v>10</v>
      </c>
      <c r="AM142" s="120" t="s">
        <v>9</v>
      </c>
      <c r="AN142" s="35">
        <f>(1-O144/E144)</f>
        <v>0.25394693200663354</v>
      </c>
      <c r="AO142" s="35">
        <f>1-(AH144+AQ144)/E144</f>
        <v>0.1861193034825871</v>
      </c>
      <c r="AQ142" s="106" t="s">
        <v>8</v>
      </c>
      <c r="AR142" s="106" t="s">
        <v>7</v>
      </c>
      <c r="AS142" s="106" t="s">
        <v>37</v>
      </c>
      <c r="AT142" s="106" t="s">
        <v>38</v>
      </c>
      <c r="AU142" s="106" t="s">
        <v>6</v>
      </c>
      <c r="AV142" s="106" t="s">
        <v>5</v>
      </c>
      <c r="AX142" s="106" t="s">
        <v>4</v>
      </c>
      <c r="AY142" s="106" t="s">
        <v>3</v>
      </c>
      <c r="AZ142" s="106" t="s">
        <v>2</v>
      </c>
      <c r="BA142" s="106" t="s">
        <v>1</v>
      </c>
      <c r="BC142" s="106"/>
      <c r="BD142" s="108"/>
      <c r="BE142" s="52"/>
      <c r="BF142" s="106"/>
    </row>
    <row r="143" spans="1:58" ht="27" customHeight="1" x14ac:dyDescent="0.3">
      <c r="A143" s="154" t="s">
        <v>160</v>
      </c>
      <c r="B143" s="134"/>
      <c r="C143" s="134"/>
      <c r="D143" s="117"/>
      <c r="E143" s="31">
        <v>0</v>
      </c>
      <c r="F143" s="33">
        <v>0.09</v>
      </c>
      <c r="G143" s="32">
        <v>1000000</v>
      </c>
      <c r="H143" s="31">
        <v>0</v>
      </c>
      <c r="I143" s="32">
        <v>0</v>
      </c>
      <c r="J143" s="31">
        <v>1</v>
      </c>
      <c r="K143" s="32">
        <v>130000</v>
      </c>
      <c r="L143" s="31">
        <v>7.0000000000000007E-2</v>
      </c>
      <c r="M143" s="32">
        <v>70000</v>
      </c>
      <c r="N143" s="107"/>
      <c r="O143" s="152"/>
      <c r="P143" s="31">
        <v>0.02</v>
      </c>
      <c r="Q143" s="32">
        <v>1000000</v>
      </c>
      <c r="R143" s="31">
        <v>0.05</v>
      </c>
      <c r="S143" s="32">
        <v>10000</v>
      </c>
      <c r="T143" s="31">
        <v>0.02</v>
      </c>
      <c r="U143" s="32">
        <v>60000</v>
      </c>
      <c r="V143" s="159"/>
      <c r="W143" s="21"/>
      <c r="X143" s="31">
        <f>IF(C144="노트북",7%,IF(C144="저장&amp;주변기기",9%,IF(C144="모니터",7%)))</f>
        <v>7.0000000000000007E-2</v>
      </c>
      <c r="Y143" s="31">
        <v>0</v>
      </c>
      <c r="Z143" s="31">
        <v>0.03</v>
      </c>
      <c r="AA143" s="31">
        <f>IF(F143=0%,20%,0%)</f>
        <v>0</v>
      </c>
      <c r="AB143" s="30">
        <v>0</v>
      </c>
      <c r="AC143" s="30">
        <v>1</v>
      </c>
      <c r="AD143" s="53">
        <v>0.92307600000000001</v>
      </c>
      <c r="AE143" s="29">
        <v>0.5</v>
      </c>
      <c r="AF143" s="107"/>
      <c r="AG143" s="107"/>
      <c r="AH143" s="107"/>
      <c r="AI143" s="107"/>
      <c r="AJ143" s="107"/>
      <c r="AK143" s="117"/>
      <c r="AL143" s="119"/>
      <c r="AM143" s="121"/>
      <c r="AN143" s="55" t="s">
        <v>52</v>
      </c>
      <c r="AO143" s="56">
        <f>AN142-AO142</f>
        <v>6.7827628524046446E-2</v>
      </c>
      <c r="AQ143" s="107"/>
      <c r="AR143" s="107"/>
      <c r="AS143" s="107"/>
      <c r="AT143" s="107"/>
      <c r="AU143" s="107"/>
      <c r="AV143" s="107"/>
      <c r="AW143" s="39"/>
      <c r="AX143" s="107"/>
      <c r="AY143" s="107"/>
      <c r="AZ143" s="107"/>
      <c r="BA143" s="107"/>
      <c r="BC143" s="107"/>
      <c r="BD143" s="109"/>
      <c r="BE143" s="52"/>
      <c r="BF143" s="107"/>
    </row>
    <row r="144" spans="1:58" ht="27" customHeight="1" x14ac:dyDescent="0.3">
      <c r="A144" s="51">
        <v>4602770526</v>
      </c>
      <c r="B144" s="38" t="s">
        <v>35</v>
      </c>
      <c r="C144" s="27" t="s">
        <v>0</v>
      </c>
      <c r="D144" s="25">
        <v>1206000</v>
      </c>
      <c r="E144" s="24">
        <f>ROUNDDOWN(D144/(1-E143),-1)</f>
        <v>1206000</v>
      </c>
      <c r="F144" s="110">
        <f>ROUNDDOWN(IF(E144*F143&gt;G143,G143,E144*F143),-1)</f>
        <v>108540</v>
      </c>
      <c r="G144" s="111"/>
      <c r="H144" s="112">
        <f>ROUNDDOWN(IF(E144*H143&gt;I143,I143,E144*H143),-1)</f>
        <v>0</v>
      </c>
      <c r="I144" s="113"/>
      <c r="J144" s="112">
        <f>ROUNDDOWN(IF(E144*J143&gt;K143,K143,E144*J143),-1)</f>
        <v>130000</v>
      </c>
      <c r="K144" s="113"/>
      <c r="L144" s="110">
        <f>ROUNDDOWN(IF(N144*L143&gt;M143,M143,N144*L143),-1)</f>
        <v>67720</v>
      </c>
      <c r="M144" s="111"/>
      <c r="N144" s="23">
        <f>E144-F144-H144-J144</f>
        <v>967460</v>
      </c>
      <c r="O144" s="22">
        <f>E144-F144-H144-J144-L144</f>
        <v>899740</v>
      </c>
      <c r="P144" s="110">
        <f>ROUNDDOWN(IF(N144*P143&gt;Q143,Q143,N144*P143),-1)</f>
        <v>19340</v>
      </c>
      <c r="Q144" s="111"/>
      <c r="R144" s="110">
        <f>ROUNDDOWN(IF(N144*R143&gt;S143,S143,N144*R143),-1)</f>
        <v>10000</v>
      </c>
      <c r="S144" s="111"/>
      <c r="T144" s="110">
        <f>ROUNDDOWN(IF(N144*T143&gt;U143,U143,N144*T143),-1)</f>
        <v>19340</v>
      </c>
      <c r="U144" s="111"/>
      <c r="V144" s="158">
        <f>O144-P144-R144-T144</f>
        <v>851060</v>
      </c>
      <c r="W144" s="21"/>
      <c r="X144" s="20">
        <f>E144*X143</f>
        <v>84420.000000000015</v>
      </c>
      <c r="Y144" s="20">
        <f>E144*Y143</f>
        <v>0</v>
      </c>
      <c r="Z144" s="20">
        <f>(E144-H144)*Z143</f>
        <v>36180</v>
      </c>
      <c r="AA144" s="19">
        <f>(E144*E143)*AA143</f>
        <v>0</v>
      </c>
      <c r="AB144" s="19">
        <f>F144*AB143</f>
        <v>0</v>
      </c>
      <c r="AC144" s="19">
        <f>H144*AC143</f>
        <v>0</v>
      </c>
      <c r="AD144" s="19">
        <f>J144*AD143</f>
        <v>119999.88</v>
      </c>
      <c r="AE144" s="19">
        <f>L144*AE143</f>
        <v>33860</v>
      </c>
      <c r="AF144" s="19">
        <v>0</v>
      </c>
      <c r="AG144" s="16">
        <v>6000</v>
      </c>
      <c r="AH144" s="18">
        <f>E144-X144-Y144-Z144-AA144-AE144-AB144-AC144-AD144-AF144</f>
        <v>931540.12</v>
      </c>
      <c r="AI144" s="18">
        <f>E144-X144-Y144-Z144-AA144-AB144-AC144-AD144-AE144-AF144-AG144</f>
        <v>925540.12</v>
      </c>
      <c r="AJ144" s="17">
        <f>AI144-AK144</f>
        <v>1540.1199999999953</v>
      </c>
      <c r="AK144" s="16">
        <v>924000</v>
      </c>
      <c r="AL144" s="15">
        <f>AJ144/AK144</f>
        <v>1.6667965367965318E-3</v>
      </c>
      <c r="AM144" s="14">
        <f>1-O144/(AK144-AQ144-AR144-AS144)</f>
        <v>-2.945080091533181E-2</v>
      </c>
      <c r="AN144" s="114">
        <f>(1-O144/E144)-(1-(AH144)/E144)</f>
        <v>2.6368258706467751E-2</v>
      </c>
      <c r="AO144" s="115"/>
      <c r="AQ144" s="13">
        <v>50000</v>
      </c>
      <c r="AR144" s="12">
        <v>0</v>
      </c>
      <c r="AS144" s="12"/>
      <c r="AT144" s="12"/>
      <c r="AU144" s="11">
        <f>AI144-(AK144-AQ144-AR144-AS144-AT144)</f>
        <v>51540.119999999995</v>
      </c>
      <c r="AV144" s="8">
        <f>AU144/AK144</f>
        <v>5.5779350649350641E-2</v>
      </c>
      <c r="AX144" s="10">
        <v>0</v>
      </c>
      <c r="AY144" s="10">
        <v>0</v>
      </c>
      <c r="AZ144" s="9">
        <f>AU144-AX144-AY144</f>
        <v>51540.119999999995</v>
      </c>
      <c r="BA144" s="8">
        <f>AZ144/AK144</f>
        <v>5.5779350649350641E-2</v>
      </c>
      <c r="BC144" s="7"/>
      <c r="BD144" s="50"/>
      <c r="BE144" s="52"/>
      <c r="BF144" s="7"/>
    </row>
    <row r="145" spans="1:58" ht="16.5" customHeight="1" x14ac:dyDescent="0.3">
      <c r="A145" s="21">
        <v>4583391989</v>
      </c>
      <c r="C145" s="57"/>
      <c r="D145" s="5">
        <v>999000</v>
      </c>
      <c r="E145" s="4">
        <f>ROUNDDOWN(D145/(1-E143),-1)</f>
        <v>999000</v>
      </c>
      <c r="F145" s="138">
        <f>E144-F144</f>
        <v>1097460</v>
      </c>
      <c r="G145" s="138"/>
      <c r="H145" s="157">
        <f>E144-F144-H144</f>
        <v>1097460</v>
      </c>
      <c r="I145" s="157"/>
      <c r="O145" s="4"/>
      <c r="P145" s="162">
        <f>SUM(P144:U144)</f>
        <v>48680</v>
      </c>
      <c r="Q145" s="163"/>
      <c r="R145" s="163"/>
      <c r="S145" s="163"/>
      <c r="T145" s="163"/>
      <c r="U145" s="164"/>
      <c r="V145" s="4"/>
      <c r="AB145" s="3">
        <f>F145*AB143</f>
        <v>0</v>
      </c>
      <c r="AC145" s="3"/>
      <c r="AD145" s="3"/>
      <c r="AK145" s="4">
        <v>625000</v>
      </c>
    </row>
    <row r="146" spans="1:58" ht="16.5" customHeight="1" x14ac:dyDescent="0.3">
      <c r="A146" s="21"/>
      <c r="C146" s="57"/>
      <c r="D146" s="5"/>
      <c r="E146" s="4"/>
      <c r="F146" s="42"/>
      <c r="G146" s="42"/>
      <c r="H146" s="160"/>
      <c r="I146" s="160"/>
      <c r="O146" s="4"/>
      <c r="P146" s="4"/>
      <c r="Q146" s="4"/>
      <c r="R146" s="4"/>
      <c r="S146" s="4"/>
      <c r="T146" s="4"/>
      <c r="U146" s="4"/>
      <c r="V146" s="4"/>
      <c r="AB146" s="3"/>
      <c r="AC146" s="3"/>
      <c r="AD146" s="3"/>
      <c r="AK146" s="4"/>
    </row>
    <row r="147" spans="1:58" ht="16.5" customHeight="1" x14ac:dyDescent="0.3">
      <c r="C147" s="57"/>
      <c r="D147" s="5"/>
      <c r="E147" s="4"/>
      <c r="F147" s="42"/>
      <c r="G147" s="42"/>
      <c r="I147" s="54"/>
      <c r="O147" s="4"/>
      <c r="P147" s="4"/>
      <c r="Q147" s="4"/>
      <c r="R147" s="4"/>
      <c r="S147" s="4"/>
      <c r="T147" s="4"/>
      <c r="U147" s="4"/>
      <c r="V147" s="4"/>
      <c r="AB147" s="3"/>
      <c r="AC147" s="3"/>
      <c r="AD147" s="3"/>
      <c r="AK147" s="4"/>
    </row>
    <row r="148" spans="1:58" ht="27" customHeight="1" x14ac:dyDescent="0.3">
      <c r="A148" s="153" t="s">
        <v>34</v>
      </c>
      <c r="B148" s="127" t="s">
        <v>130</v>
      </c>
      <c r="C148" s="128"/>
      <c r="D148" s="128"/>
      <c r="E148" s="128"/>
      <c r="F148" s="128"/>
      <c r="G148" s="128"/>
      <c r="H148" s="128"/>
      <c r="I148" s="128"/>
      <c r="J148" s="128"/>
      <c r="K148" s="128"/>
      <c r="L148" s="128"/>
      <c r="M148" s="156"/>
      <c r="N148" s="127" t="s">
        <v>141</v>
      </c>
      <c r="O148" s="156"/>
      <c r="P148" s="127" t="s">
        <v>167</v>
      </c>
      <c r="Q148" s="128"/>
      <c r="R148" s="128"/>
      <c r="S148" s="128"/>
      <c r="T148" s="128"/>
      <c r="U148" s="128"/>
      <c r="V148" s="156"/>
      <c r="X148" s="130" t="s">
        <v>33</v>
      </c>
      <c r="Y148" s="131"/>
      <c r="Z148" s="131"/>
      <c r="AA148" s="131"/>
      <c r="AB148" s="131"/>
      <c r="AC148" s="131"/>
      <c r="AD148" s="131"/>
      <c r="AE148" s="131"/>
      <c r="AF148" s="131"/>
      <c r="AG148" s="131"/>
      <c r="AH148" s="131"/>
      <c r="AI148" s="131"/>
      <c r="AJ148" s="131"/>
      <c r="AK148" s="131"/>
      <c r="AL148" s="132"/>
      <c r="AM148" s="37"/>
      <c r="AQ148" s="130" t="s">
        <v>32</v>
      </c>
      <c r="AR148" s="131"/>
      <c r="AS148" s="131"/>
      <c r="AT148" s="131"/>
      <c r="AU148" s="131"/>
      <c r="AV148" s="132"/>
      <c r="AX148" s="130" t="s">
        <v>31</v>
      </c>
      <c r="AY148" s="131"/>
      <c r="AZ148" s="131"/>
      <c r="BA148" s="132"/>
      <c r="BC148" s="36" t="s">
        <v>36</v>
      </c>
      <c r="BD148" s="48"/>
      <c r="BE148" s="52"/>
      <c r="BF148" s="36"/>
    </row>
    <row r="149" spans="1:58" ht="32.25" customHeight="1" x14ac:dyDescent="0.3">
      <c r="A149" s="153"/>
      <c r="B149" s="133" t="s">
        <v>30</v>
      </c>
      <c r="C149" s="133" t="s">
        <v>29</v>
      </c>
      <c r="D149" s="116" t="s">
        <v>27</v>
      </c>
      <c r="E149" s="34" t="s">
        <v>26</v>
      </c>
      <c r="F149" s="122" t="s">
        <v>63</v>
      </c>
      <c r="G149" s="123"/>
      <c r="H149" s="122" t="s">
        <v>50</v>
      </c>
      <c r="I149" s="123"/>
      <c r="J149" s="122" t="s">
        <v>146</v>
      </c>
      <c r="K149" s="123"/>
      <c r="L149" s="122" t="s">
        <v>25</v>
      </c>
      <c r="M149" s="123"/>
      <c r="N149" s="106" t="s">
        <v>23</v>
      </c>
      <c r="O149" s="151" t="s">
        <v>137</v>
      </c>
      <c r="P149" s="122" t="s">
        <v>136</v>
      </c>
      <c r="Q149" s="123"/>
      <c r="R149" s="122" t="s">
        <v>143</v>
      </c>
      <c r="S149" s="123"/>
      <c r="T149" s="122" t="s">
        <v>144</v>
      </c>
      <c r="U149" s="123"/>
      <c r="V149" s="159" t="s">
        <v>142</v>
      </c>
      <c r="W149" s="21"/>
      <c r="X149" s="34" t="s">
        <v>21</v>
      </c>
      <c r="Y149" s="34" t="s">
        <v>20</v>
      </c>
      <c r="Z149" s="34" t="s">
        <v>95</v>
      </c>
      <c r="AA149" s="34" t="s">
        <v>19</v>
      </c>
      <c r="AB149" s="34" t="s">
        <v>18</v>
      </c>
      <c r="AC149" s="34" t="s">
        <v>48</v>
      </c>
      <c r="AD149" s="34" t="s">
        <v>49</v>
      </c>
      <c r="AE149" s="34" t="s">
        <v>17</v>
      </c>
      <c r="AF149" s="106" t="s">
        <v>16</v>
      </c>
      <c r="AG149" s="106" t="s">
        <v>15</v>
      </c>
      <c r="AH149" s="106" t="s">
        <v>14</v>
      </c>
      <c r="AI149" s="106" t="s">
        <v>13</v>
      </c>
      <c r="AJ149" s="106" t="s">
        <v>12</v>
      </c>
      <c r="AK149" s="116" t="s">
        <v>11</v>
      </c>
      <c r="AL149" s="118" t="s">
        <v>10</v>
      </c>
      <c r="AM149" s="120" t="s">
        <v>9</v>
      </c>
      <c r="AN149" s="35">
        <f>(1-O151/E151)</f>
        <v>0.25394693200663354</v>
      </c>
      <c r="AO149" s="35">
        <f>1-(AH151+AQ151)/E151</f>
        <v>0.1861193034825871</v>
      </c>
      <c r="AQ149" s="106" t="s">
        <v>8</v>
      </c>
      <c r="AR149" s="106" t="s">
        <v>7</v>
      </c>
      <c r="AS149" s="106" t="s">
        <v>37</v>
      </c>
      <c r="AT149" s="106" t="s">
        <v>38</v>
      </c>
      <c r="AU149" s="106" t="s">
        <v>6</v>
      </c>
      <c r="AV149" s="106" t="s">
        <v>5</v>
      </c>
      <c r="AX149" s="106" t="s">
        <v>4</v>
      </c>
      <c r="AY149" s="106" t="s">
        <v>3</v>
      </c>
      <c r="AZ149" s="106" t="s">
        <v>2</v>
      </c>
      <c r="BA149" s="106" t="s">
        <v>1</v>
      </c>
      <c r="BC149" s="106"/>
      <c r="BD149" s="108"/>
      <c r="BE149" s="52"/>
      <c r="BF149" s="106"/>
    </row>
    <row r="150" spans="1:58" ht="27" customHeight="1" x14ac:dyDescent="0.3">
      <c r="A150" s="154" t="s">
        <v>161</v>
      </c>
      <c r="B150" s="134"/>
      <c r="C150" s="134"/>
      <c r="D150" s="117"/>
      <c r="E150" s="31">
        <v>0</v>
      </c>
      <c r="F150" s="33">
        <v>0.09</v>
      </c>
      <c r="G150" s="32">
        <v>1000000</v>
      </c>
      <c r="H150" s="31">
        <v>0</v>
      </c>
      <c r="I150" s="32">
        <v>0</v>
      </c>
      <c r="J150" s="31">
        <v>1</v>
      </c>
      <c r="K150" s="32">
        <v>130000</v>
      </c>
      <c r="L150" s="31">
        <v>7.0000000000000007E-2</v>
      </c>
      <c r="M150" s="32">
        <v>70000</v>
      </c>
      <c r="N150" s="107"/>
      <c r="O150" s="152"/>
      <c r="P150" s="31">
        <v>0.02</v>
      </c>
      <c r="Q150" s="32">
        <v>1000000</v>
      </c>
      <c r="R150" s="31">
        <v>0.05</v>
      </c>
      <c r="S150" s="32">
        <v>10000</v>
      </c>
      <c r="T150" s="31">
        <v>0.02</v>
      </c>
      <c r="U150" s="32">
        <v>60000</v>
      </c>
      <c r="V150" s="159"/>
      <c r="W150" s="21"/>
      <c r="X150" s="31">
        <f>IF(C151="노트북",7%,IF(C151="저장&amp;주변기기",9%,IF(C151="모니터",7%)))</f>
        <v>7.0000000000000007E-2</v>
      </c>
      <c r="Y150" s="31">
        <v>0</v>
      </c>
      <c r="Z150" s="31">
        <v>0.03</v>
      </c>
      <c r="AA150" s="31">
        <f>IF(F150=0%,20%,0%)</f>
        <v>0</v>
      </c>
      <c r="AB150" s="30">
        <v>0</v>
      </c>
      <c r="AC150" s="30">
        <v>1</v>
      </c>
      <c r="AD150" s="53">
        <v>0.92307600000000001</v>
      </c>
      <c r="AE150" s="29">
        <v>0.5</v>
      </c>
      <c r="AF150" s="107"/>
      <c r="AG150" s="107"/>
      <c r="AH150" s="107"/>
      <c r="AI150" s="107"/>
      <c r="AJ150" s="107"/>
      <c r="AK150" s="117"/>
      <c r="AL150" s="119"/>
      <c r="AM150" s="121"/>
      <c r="AN150" s="55" t="s">
        <v>52</v>
      </c>
      <c r="AO150" s="56">
        <f>AN149-AO149</f>
        <v>6.7827628524046446E-2</v>
      </c>
      <c r="AQ150" s="107"/>
      <c r="AR150" s="107"/>
      <c r="AS150" s="107"/>
      <c r="AT150" s="107"/>
      <c r="AU150" s="107"/>
      <c r="AV150" s="107"/>
      <c r="AW150" s="39"/>
      <c r="AX150" s="107"/>
      <c r="AY150" s="107"/>
      <c r="AZ150" s="107"/>
      <c r="BA150" s="107"/>
      <c r="BC150" s="107"/>
      <c r="BD150" s="109"/>
      <c r="BE150" s="52"/>
      <c r="BF150" s="107"/>
    </row>
    <row r="151" spans="1:58" ht="27" customHeight="1" x14ac:dyDescent="0.3">
      <c r="A151" s="51">
        <v>4622604857</v>
      </c>
      <c r="B151" s="38" t="s">
        <v>35</v>
      </c>
      <c r="C151" s="27" t="s">
        <v>0</v>
      </c>
      <c r="D151" s="25">
        <v>1206000</v>
      </c>
      <c r="E151" s="24">
        <f>ROUNDDOWN(D151/(1-E150),-1)</f>
        <v>1206000</v>
      </c>
      <c r="F151" s="110">
        <f>ROUNDDOWN(IF(E151*F150&gt;G150,G150,E151*F150),-1)</f>
        <v>108540</v>
      </c>
      <c r="G151" s="111"/>
      <c r="H151" s="112">
        <f>ROUNDDOWN(IF(E151*H150&gt;I150,I150,E151*H150),-1)</f>
        <v>0</v>
      </c>
      <c r="I151" s="113"/>
      <c r="J151" s="112">
        <f>ROUNDDOWN(IF(E151*J150&gt;K150,K150,E151*J150),-1)</f>
        <v>130000</v>
      </c>
      <c r="K151" s="113"/>
      <c r="L151" s="110">
        <f>ROUNDDOWN(IF(N151*L150&gt;M150,M150,N151*L150),-1)</f>
        <v>67720</v>
      </c>
      <c r="M151" s="111"/>
      <c r="N151" s="23">
        <f>E151-F151-H151-J151</f>
        <v>967460</v>
      </c>
      <c r="O151" s="22">
        <f>E151-F151-H151-J151-L151</f>
        <v>899740</v>
      </c>
      <c r="P151" s="110">
        <f>ROUNDDOWN(IF(N151*P150&gt;Q150,Q150,N151*P150),-1)</f>
        <v>19340</v>
      </c>
      <c r="Q151" s="111"/>
      <c r="R151" s="110">
        <f>ROUNDDOWN(IF(N151*R150&gt;S150,S150,N151*R150),-1)</f>
        <v>10000</v>
      </c>
      <c r="S151" s="111"/>
      <c r="T151" s="110">
        <f>ROUNDDOWN(IF(N151*T150&gt;U150,U150,N151*T150),-1)</f>
        <v>19340</v>
      </c>
      <c r="U151" s="111"/>
      <c r="V151" s="158">
        <f>O151-P151-R151-T151</f>
        <v>851060</v>
      </c>
      <c r="W151" s="21"/>
      <c r="X151" s="20">
        <f>E151*X150</f>
        <v>84420.000000000015</v>
      </c>
      <c r="Y151" s="20">
        <f>E151*Y150</f>
        <v>0</v>
      </c>
      <c r="Z151" s="20">
        <f>(E151-H151)*Z150</f>
        <v>36180</v>
      </c>
      <c r="AA151" s="19">
        <f>(E151*E150)*AA150</f>
        <v>0</v>
      </c>
      <c r="AB151" s="19">
        <f>F151*AB150</f>
        <v>0</v>
      </c>
      <c r="AC151" s="19">
        <f>H151*AC150</f>
        <v>0</v>
      </c>
      <c r="AD151" s="19">
        <f>J151*AD150</f>
        <v>119999.88</v>
      </c>
      <c r="AE151" s="19">
        <f>L151*AE150</f>
        <v>33860</v>
      </c>
      <c r="AF151" s="19">
        <v>0</v>
      </c>
      <c r="AG151" s="16">
        <v>6000</v>
      </c>
      <c r="AH151" s="18">
        <f>E151-X151-Y151-Z151-AA151-AE151-AB151-AC151-AD151-AF151</f>
        <v>931540.12</v>
      </c>
      <c r="AI151" s="18">
        <f>E151-X151-Y151-Z151-AA151-AB151-AC151-AD151-AE151-AF151-AG151</f>
        <v>925540.12</v>
      </c>
      <c r="AJ151" s="17">
        <f>AI151-AK151</f>
        <v>1540.1199999999953</v>
      </c>
      <c r="AK151" s="16">
        <v>924000</v>
      </c>
      <c r="AL151" s="15">
        <f>AJ151/AK151</f>
        <v>1.6667965367965318E-3</v>
      </c>
      <c r="AM151" s="14">
        <f>1-O151/(AK151-AQ151-AR151-AS151)</f>
        <v>-2.945080091533181E-2</v>
      </c>
      <c r="AN151" s="114">
        <f>(1-O151/E151)-(1-(AH151)/E151)</f>
        <v>2.6368258706467751E-2</v>
      </c>
      <c r="AO151" s="115"/>
      <c r="AQ151" s="13">
        <v>50000</v>
      </c>
      <c r="AR151" s="12">
        <v>0</v>
      </c>
      <c r="AS151" s="12"/>
      <c r="AT151" s="12"/>
      <c r="AU151" s="11">
        <f>AI151-(AK151-AQ151-AR151-AS151-AT151)</f>
        <v>51540.119999999995</v>
      </c>
      <c r="AV151" s="8">
        <f>AU151/AK151</f>
        <v>5.5779350649350641E-2</v>
      </c>
      <c r="AX151" s="10">
        <v>0</v>
      </c>
      <c r="AY151" s="10">
        <v>0</v>
      </c>
      <c r="AZ151" s="9">
        <f>AU151-AX151-AY151</f>
        <v>51540.119999999995</v>
      </c>
      <c r="BA151" s="8">
        <f>AZ151/AK151</f>
        <v>5.5779350649350641E-2</v>
      </c>
      <c r="BC151" s="7"/>
      <c r="BD151" s="50"/>
      <c r="BE151" s="52"/>
      <c r="BF151" s="7"/>
    </row>
    <row r="152" spans="1:58" ht="16.5" customHeight="1" x14ac:dyDescent="0.3">
      <c r="A152" s="21"/>
      <c r="C152" s="57"/>
      <c r="D152" s="5">
        <v>999000</v>
      </c>
      <c r="E152" s="4">
        <f>ROUNDDOWN(D152/(1-E150),-1)</f>
        <v>999000</v>
      </c>
      <c r="F152" s="138">
        <f>E151-F151</f>
        <v>1097460</v>
      </c>
      <c r="G152" s="138"/>
      <c r="H152" s="157">
        <f>E151-F151-H151</f>
        <v>1097460</v>
      </c>
      <c r="I152" s="157"/>
      <c r="O152" s="4"/>
      <c r="P152" s="162">
        <f>SUM(P151:U151)</f>
        <v>48680</v>
      </c>
      <c r="Q152" s="163"/>
      <c r="R152" s="163"/>
      <c r="S152" s="163"/>
      <c r="T152" s="163"/>
      <c r="U152" s="164"/>
      <c r="V152" s="4"/>
      <c r="AB152" s="3">
        <f>F152*AB150</f>
        <v>0</v>
      </c>
      <c r="AC152" s="3"/>
      <c r="AD152" s="3"/>
      <c r="AK152" s="4">
        <v>625000</v>
      </c>
    </row>
    <row r="153" spans="1:58" ht="16.5" customHeight="1" x14ac:dyDescent="0.3">
      <c r="A153" s="21"/>
      <c r="C153" s="57"/>
      <c r="D153" s="5"/>
      <c r="E153" s="4"/>
      <c r="F153" s="42"/>
      <c r="G153" s="42"/>
      <c r="H153" s="160"/>
      <c r="I153" s="160"/>
      <c r="O153" s="4"/>
      <c r="P153" s="155"/>
      <c r="Q153" s="155"/>
      <c r="R153" s="155"/>
      <c r="S153" s="155"/>
      <c r="T153" s="155"/>
      <c r="U153" s="155"/>
      <c r="V153" s="4"/>
      <c r="AB153" s="3"/>
      <c r="AC153" s="3"/>
      <c r="AD153" s="3"/>
      <c r="AK153" s="4"/>
    </row>
    <row r="154" spans="1:58" ht="16.5" customHeight="1" x14ac:dyDescent="0.3">
      <c r="A154" s="21"/>
      <c r="C154" s="57"/>
      <c r="D154" s="5"/>
      <c r="E154" s="4"/>
      <c r="F154" s="42"/>
      <c r="G154" s="42"/>
      <c r="H154" s="160"/>
      <c r="I154" s="160"/>
      <c r="O154" s="4"/>
      <c r="P154" s="4"/>
      <c r="Q154" s="4"/>
      <c r="R154" s="4"/>
      <c r="S154" s="4"/>
      <c r="T154" s="4"/>
      <c r="U154" s="4"/>
      <c r="V154" s="4"/>
      <c r="AB154" s="3"/>
      <c r="AC154" s="3"/>
      <c r="AD154" s="3"/>
      <c r="AK154" s="4"/>
    </row>
    <row r="155" spans="1:58" ht="27" customHeight="1" x14ac:dyDescent="0.3">
      <c r="A155" s="153" t="s">
        <v>34</v>
      </c>
      <c r="B155" s="127" t="s">
        <v>130</v>
      </c>
      <c r="C155" s="128"/>
      <c r="D155" s="128"/>
      <c r="E155" s="128"/>
      <c r="F155" s="128"/>
      <c r="G155" s="128"/>
      <c r="H155" s="128"/>
      <c r="I155" s="128"/>
      <c r="J155" s="128"/>
      <c r="K155" s="128"/>
      <c r="L155" s="128"/>
      <c r="M155" s="156"/>
      <c r="N155" s="127" t="s">
        <v>141</v>
      </c>
      <c r="O155" s="156"/>
      <c r="P155" s="127" t="s">
        <v>167</v>
      </c>
      <c r="Q155" s="128"/>
      <c r="R155" s="128"/>
      <c r="S155" s="128"/>
      <c r="T155" s="128"/>
      <c r="U155" s="128"/>
      <c r="V155" s="156"/>
      <c r="X155" s="130" t="s">
        <v>33</v>
      </c>
      <c r="Y155" s="131"/>
      <c r="Z155" s="131"/>
      <c r="AA155" s="131"/>
      <c r="AB155" s="131"/>
      <c r="AC155" s="131"/>
      <c r="AD155" s="131"/>
      <c r="AE155" s="131"/>
      <c r="AF155" s="131"/>
      <c r="AG155" s="131"/>
      <c r="AH155" s="131"/>
      <c r="AI155" s="131"/>
      <c r="AJ155" s="131"/>
      <c r="AK155" s="131"/>
      <c r="AL155" s="132"/>
      <c r="AM155" s="37"/>
      <c r="AQ155" s="130" t="s">
        <v>32</v>
      </c>
      <c r="AR155" s="131"/>
      <c r="AS155" s="131"/>
      <c r="AT155" s="131"/>
      <c r="AU155" s="131"/>
      <c r="AV155" s="132"/>
      <c r="AX155" s="130" t="s">
        <v>31</v>
      </c>
      <c r="AY155" s="131"/>
      <c r="AZ155" s="131"/>
      <c r="BA155" s="132"/>
      <c r="BC155" s="36" t="s">
        <v>36</v>
      </c>
      <c r="BD155" s="48"/>
      <c r="BE155" s="52"/>
      <c r="BF155" s="36"/>
    </row>
    <row r="156" spans="1:58" ht="32.25" customHeight="1" x14ac:dyDescent="0.3">
      <c r="A156" s="153"/>
      <c r="B156" s="133" t="s">
        <v>30</v>
      </c>
      <c r="C156" s="133" t="s">
        <v>29</v>
      </c>
      <c r="D156" s="116" t="s">
        <v>27</v>
      </c>
      <c r="E156" s="34" t="s">
        <v>26</v>
      </c>
      <c r="F156" s="122" t="s">
        <v>63</v>
      </c>
      <c r="G156" s="123"/>
      <c r="H156" s="122" t="s">
        <v>50</v>
      </c>
      <c r="I156" s="123"/>
      <c r="J156" s="122" t="s">
        <v>146</v>
      </c>
      <c r="K156" s="123"/>
      <c r="L156" s="122" t="s">
        <v>25</v>
      </c>
      <c r="M156" s="123"/>
      <c r="N156" s="106" t="s">
        <v>23</v>
      </c>
      <c r="O156" s="151" t="s">
        <v>137</v>
      </c>
      <c r="P156" s="122" t="s">
        <v>136</v>
      </c>
      <c r="Q156" s="123"/>
      <c r="R156" s="122" t="s">
        <v>143</v>
      </c>
      <c r="S156" s="123"/>
      <c r="T156" s="122" t="s">
        <v>144</v>
      </c>
      <c r="U156" s="123"/>
      <c r="V156" s="159" t="s">
        <v>142</v>
      </c>
      <c r="W156" s="21"/>
      <c r="X156" s="34" t="s">
        <v>21</v>
      </c>
      <c r="Y156" s="34" t="s">
        <v>20</v>
      </c>
      <c r="Z156" s="34" t="s">
        <v>95</v>
      </c>
      <c r="AA156" s="34" t="s">
        <v>19</v>
      </c>
      <c r="AB156" s="34" t="s">
        <v>18</v>
      </c>
      <c r="AC156" s="34" t="s">
        <v>48</v>
      </c>
      <c r="AD156" s="34" t="s">
        <v>49</v>
      </c>
      <c r="AE156" s="34" t="s">
        <v>17</v>
      </c>
      <c r="AF156" s="106" t="s">
        <v>16</v>
      </c>
      <c r="AG156" s="106" t="s">
        <v>15</v>
      </c>
      <c r="AH156" s="106" t="s">
        <v>14</v>
      </c>
      <c r="AI156" s="106" t="s">
        <v>13</v>
      </c>
      <c r="AJ156" s="106" t="s">
        <v>12</v>
      </c>
      <c r="AK156" s="116" t="s">
        <v>11</v>
      </c>
      <c r="AL156" s="118" t="s">
        <v>10</v>
      </c>
      <c r="AM156" s="120" t="s">
        <v>9</v>
      </c>
      <c r="AN156" s="35">
        <f>(1-O158/E158)</f>
        <v>0.27846233230134154</v>
      </c>
      <c r="AO156" s="35">
        <f>1-(AH158+AQ158)/E158</f>
        <v>0.25099058823529408</v>
      </c>
      <c r="AQ156" s="106" t="s">
        <v>8</v>
      </c>
      <c r="AR156" s="106" t="s">
        <v>7</v>
      </c>
      <c r="AS156" s="106" t="s">
        <v>37</v>
      </c>
      <c r="AT156" s="106" t="s">
        <v>38</v>
      </c>
      <c r="AU156" s="106" t="s">
        <v>6</v>
      </c>
      <c r="AV156" s="106" t="s">
        <v>5</v>
      </c>
      <c r="AX156" s="106" t="s">
        <v>4</v>
      </c>
      <c r="AY156" s="106" t="s">
        <v>3</v>
      </c>
      <c r="AZ156" s="106" t="s">
        <v>2</v>
      </c>
      <c r="BA156" s="106" t="s">
        <v>1</v>
      </c>
      <c r="BC156" s="106"/>
      <c r="BD156" s="108"/>
      <c r="BE156" s="52"/>
      <c r="BF156" s="106"/>
    </row>
    <row r="157" spans="1:58" ht="27" customHeight="1" x14ac:dyDescent="0.3">
      <c r="A157" s="154" t="s">
        <v>138</v>
      </c>
      <c r="B157" s="134"/>
      <c r="C157" s="134"/>
      <c r="D157" s="117"/>
      <c r="E157" s="31">
        <v>0</v>
      </c>
      <c r="F157" s="33">
        <v>0.09</v>
      </c>
      <c r="G157" s="32">
        <v>1000000</v>
      </c>
      <c r="H157" s="31">
        <v>0</v>
      </c>
      <c r="I157" s="32">
        <v>0</v>
      </c>
      <c r="J157" s="31">
        <v>1</v>
      </c>
      <c r="K157" s="32">
        <v>130000</v>
      </c>
      <c r="L157" s="31">
        <v>7.0000000000000007E-2</v>
      </c>
      <c r="M157" s="32">
        <v>70000</v>
      </c>
      <c r="N157" s="107"/>
      <c r="O157" s="152"/>
      <c r="P157" s="31">
        <v>0.02</v>
      </c>
      <c r="Q157" s="32">
        <v>1000000</v>
      </c>
      <c r="R157" s="31">
        <v>0.05</v>
      </c>
      <c r="S157" s="32">
        <v>10000</v>
      </c>
      <c r="T157" s="31">
        <v>0.02</v>
      </c>
      <c r="U157" s="32">
        <v>60000</v>
      </c>
      <c r="V157" s="159"/>
      <c r="W157" s="21"/>
      <c r="X157" s="31">
        <f>IF(C158="노트북",7%,IF(C158="저장&amp;주변기기",9%,IF(C158="모니터",7%)))</f>
        <v>7.0000000000000007E-2</v>
      </c>
      <c r="Y157" s="31">
        <v>0</v>
      </c>
      <c r="Z157" s="31">
        <v>0.03</v>
      </c>
      <c r="AA157" s="31">
        <f>IF(F157=0%,20%,0%)</f>
        <v>0</v>
      </c>
      <c r="AB157" s="30">
        <v>0</v>
      </c>
      <c r="AC157" s="30">
        <v>1</v>
      </c>
      <c r="AD157" s="53">
        <v>0.92307600000000001</v>
      </c>
      <c r="AE157" s="29">
        <v>0.5</v>
      </c>
      <c r="AF157" s="107"/>
      <c r="AG157" s="107"/>
      <c r="AH157" s="107"/>
      <c r="AI157" s="107"/>
      <c r="AJ157" s="107"/>
      <c r="AK157" s="117"/>
      <c r="AL157" s="119"/>
      <c r="AM157" s="121"/>
      <c r="AN157" s="55" t="s">
        <v>52</v>
      </c>
      <c r="AO157" s="56">
        <f>AN156-AO156</f>
        <v>2.7471744066047465E-2</v>
      </c>
      <c r="AQ157" s="107"/>
      <c r="AR157" s="107"/>
      <c r="AS157" s="107"/>
      <c r="AT157" s="107"/>
      <c r="AU157" s="107"/>
      <c r="AV157" s="107"/>
      <c r="AW157" s="39"/>
      <c r="AX157" s="107"/>
      <c r="AY157" s="107"/>
      <c r="AZ157" s="107"/>
      <c r="BA157" s="107"/>
      <c r="BC157" s="107"/>
      <c r="BD157" s="109"/>
      <c r="BE157" s="52"/>
      <c r="BF157" s="107"/>
    </row>
    <row r="158" spans="1:58" ht="27" customHeight="1" x14ac:dyDescent="0.3">
      <c r="A158" s="51">
        <v>4538541227</v>
      </c>
      <c r="B158" s="38" t="s">
        <v>35</v>
      </c>
      <c r="C158" s="27" t="s">
        <v>0</v>
      </c>
      <c r="D158" s="25">
        <v>969000</v>
      </c>
      <c r="E158" s="24">
        <f>ROUNDDOWN(D158/(1-E157),-1)</f>
        <v>969000</v>
      </c>
      <c r="F158" s="110">
        <f>ROUNDDOWN(IF(E158*F157&gt;G157,G157,E158*F157),-1)</f>
        <v>87210</v>
      </c>
      <c r="G158" s="111"/>
      <c r="H158" s="112">
        <f>ROUNDDOWN(IF(E158*H157&gt;I157,I157,E158*H157),-1)</f>
        <v>0</v>
      </c>
      <c r="I158" s="113"/>
      <c r="J158" s="112">
        <f>ROUNDDOWN(IF(E158*J157&gt;K157,K157,E158*J157),-1)</f>
        <v>130000</v>
      </c>
      <c r="K158" s="113"/>
      <c r="L158" s="110">
        <f>ROUNDDOWN(IF(N158*L157&gt;M157,M157,N158*L157),-1)</f>
        <v>52620</v>
      </c>
      <c r="M158" s="111"/>
      <c r="N158" s="23">
        <f>E158-F158-H158-J158</f>
        <v>751790</v>
      </c>
      <c r="O158" s="22">
        <f>E158-F158-H158-J158-L158</f>
        <v>699170</v>
      </c>
      <c r="P158" s="110">
        <f>ROUNDDOWN(IF(N158*P157&gt;Q157,Q157,N158*P157),-1)</f>
        <v>15030</v>
      </c>
      <c r="Q158" s="111"/>
      <c r="R158" s="110">
        <f>ROUNDDOWN(IF(N158*R157&gt;S157,S157,N158*R157),-1)</f>
        <v>10000</v>
      </c>
      <c r="S158" s="111"/>
      <c r="T158" s="110">
        <f>ROUNDDOWN(IF(N158*T157&gt;U157,U157,N158*T157),-1)</f>
        <v>15030</v>
      </c>
      <c r="U158" s="111"/>
      <c r="V158" s="158">
        <f>O158-P158-R158-T158</f>
        <v>659110</v>
      </c>
      <c r="W158" s="21"/>
      <c r="X158" s="20">
        <f>E158*X157</f>
        <v>67830</v>
      </c>
      <c r="Y158" s="20">
        <f>E158*Y157</f>
        <v>0</v>
      </c>
      <c r="Z158" s="20">
        <f>(E158-H158)*Z157</f>
        <v>29070</v>
      </c>
      <c r="AA158" s="19">
        <f>(E158*E157)*AA157</f>
        <v>0</v>
      </c>
      <c r="AB158" s="19">
        <f>F158*AB157</f>
        <v>0</v>
      </c>
      <c r="AC158" s="19">
        <f>H158*AC157</f>
        <v>0</v>
      </c>
      <c r="AD158" s="19">
        <f>J158*AD157</f>
        <v>119999.88</v>
      </c>
      <c r="AE158" s="19">
        <f>L158*AE157</f>
        <v>26310</v>
      </c>
      <c r="AF158" s="19">
        <v>0</v>
      </c>
      <c r="AG158" s="16">
        <v>6000</v>
      </c>
      <c r="AH158" s="18">
        <f>E158-X158-Y158-Z158-AA158-AE158-AB158-AC158-AD158-AF158</f>
        <v>725790.12</v>
      </c>
      <c r="AI158" s="18">
        <f>E158-X158-Y158-Z158-AA158-AB158-AC158-AD158-AE158-AF158-AG158</f>
        <v>719790.12</v>
      </c>
      <c r="AJ158" s="17">
        <f>AI158-AK158</f>
        <v>38790.119999999995</v>
      </c>
      <c r="AK158" s="16">
        <v>681000</v>
      </c>
      <c r="AL158" s="15">
        <f>AJ158/AK158</f>
        <v>5.6960528634361227E-2</v>
      </c>
      <c r="AM158" s="14">
        <f>1-O158/(AK158-AQ158-AR158-AS158)</f>
        <v>-2.6681350954478766E-2</v>
      </c>
      <c r="AN158" s="114">
        <f>(1-O158/E158)-(1-(AH158)/E158)</f>
        <v>2.7471744066047465E-2</v>
      </c>
      <c r="AO158" s="115"/>
      <c r="AQ158" s="13">
        <v>0</v>
      </c>
      <c r="AR158" s="12">
        <v>0</v>
      </c>
      <c r="AS158" s="12"/>
      <c r="AT158" s="12"/>
      <c r="AU158" s="11">
        <f>AI158-(AK158-AQ158-AR158-AS158-AT158)</f>
        <v>38790.119999999995</v>
      </c>
      <c r="AV158" s="8">
        <f>AU158/AK158</f>
        <v>5.6960528634361227E-2</v>
      </c>
      <c r="AX158" s="10">
        <v>0</v>
      </c>
      <c r="AY158" s="10">
        <v>0</v>
      </c>
      <c r="AZ158" s="9">
        <f>AU158-AX158-AY158</f>
        <v>38790.119999999995</v>
      </c>
      <c r="BA158" s="8">
        <f>AZ158/AK158</f>
        <v>5.6960528634361227E-2</v>
      </c>
      <c r="BC158" s="7"/>
      <c r="BD158" s="50"/>
      <c r="BE158" s="52"/>
      <c r="BF158" s="7"/>
    </row>
    <row r="159" spans="1:58" ht="16.5" customHeight="1" x14ac:dyDescent="0.3">
      <c r="A159" s="21">
        <v>4583400092</v>
      </c>
      <c r="C159" s="57"/>
      <c r="D159" s="5">
        <v>799000</v>
      </c>
      <c r="E159" s="4">
        <f>ROUNDDOWN(D159/(1-E157),-1)</f>
        <v>799000</v>
      </c>
      <c r="F159" s="138">
        <f>E158-F158</f>
        <v>881790</v>
      </c>
      <c r="G159" s="138"/>
      <c r="H159" s="157">
        <f>E158-F158-H158</f>
        <v>881790</v>
      </c>
      <c r="I159" s="157"/>
      <c r="O159" s="4"/>
      <c r="P159" s="162">
        <f>SUM(P158:U158)</f>
        <v>40060</v>
      </c>
      <c r="Q159" s="163"/>
      <c r="R159" s="163"/>
      <c r="S159" s="163"/>
      <c r="T159" s="163"/>
      <c r="U159" s="164"/>
      <c r="V159" s="4"/>
      <c r="AB159" s="3">
        <f>F159*AB157</f>
        <v>0</v>
      </c>
      <c r="AC159" s="3"/>
      <c r="AD159" s="3"/>
      <c r="AK159" s="161" t="s">
        <v>140</v>
      </c>
    </row>
    <row r="160" spans="1:58" x14ac:dyDescent="0.3">
      <c r="A160" s="21" t="s">
        <v>139</v>
      </c>
    </row>
    <row r="161" spans="1:58" x14ac:dyDescent="0.3">
      <c r="A161" s="21"/>
    </row>
    <row r="162" spans="1:58" ht="16.5" customHeight="1" x14ac:dyDescent="0.3">
      <c r="D162" s="5"/>
      <c r="E162" s="4"/>
      <c r="F162" s="42"/>
      <c r="G162" s="42"/>
      <c r="I162" s="54"/>
      <c r="AB162" s="3"/>
      <c r="AC162" s="3"/>
      <c r="AD162" s="3"/>
      <c r="AK162" s="5"/>
    </row>
    <row r="163" spans="1:58" ht="27" customHeight="1" x14ac:dyDescent="0.3">
      <c r="A163" s="153" t="s">
        <v>34</v>
      </c>
      <c r="B163" s="127" t="s">
        <v>130</v>
      </c>
      <c r="C163" s="128"/>
      <c r="D163" s="128"/>
      <c r="E163" s="128"/>
      <c r="F163" s="128"/>
      <c r="G163" s="128"/>
      <c r="H163" s="128"/>
      <c r="I163" s="128"/>
      <c r="J163" s="128"/>
      <c r="K163" s="128"/>
      <c r="L163" s="128"/>
      <c r="M163" s="156"/>
      <c r="N163" s="127" t="s">
        <v>141</v>
      </c>
      <c r="O163" s="156"/>
      <c r="P163" s="127" t="s">
        <v>167</v>
      </c>
      <c r="Q163" s="128"/>
      <c r="R163" s="128"/>
      <c r="S163" s="128"/>
      <c r="T163" s="128"/>
      <c r="U163" s="128"/>
      <c r="V163" s="156"/>
      <c r="X163" s="130" t="s">
        <v>33</v>
      </c>
      <c r="Y163" s="131"/>
      <c r="Z163" s="131"/>
      <c r="AA163" s="131"/>
      <c r="AB163" s="131"/>
      <c r="AC163" s="131"/>
      <c r="AD163" s="131"/>
      <c r="AE163" s="131"/>
      <c r="AF163" s="131"/>
      <c r="AG163" s="131"/>
      <c r="AH163" s="131"/>
      <c r="AI163" s="131"/>
      <c r="AJ163" s="131"/>
      <c r="AK163" s="131"/>
      <c r="AL163" s="132"/>
      <c r="AM163" s="37"/>
      <c r="AQ163" s="130" t="s">
        <v>32</v>
      </c>
      <c r="AR163" s="131"/>
      <c r="AS163" s="131"/>
      <c r="AT163" s="131"/>
      <c r="AU163" s="131"/>
      <c r="AV163" s="132"/>
      <c r="AX163" s="130" t="s">
        <v>31</v>
      </c>
      <c r="AY163" s="131"/>
      <c r="AZ163" s="131"/>
      <c r="BA163" s="132"/>
      <c r="BC163" s="36" t="s">
        <v>36</v>
      </c>
      <c r="BD163" s="48"/>
      <c r="BE163" s="52"/>
      <c r="BF163" s="36"/>
    </row>
    <row r="164" spans="1:58" ht="32.25" customHeight="1" x14ac:dyDescent="0.3">
      <c r="A164" s="153"/>
      <c r="B164" s="133" t="s">
        <v>30</v>
      </c>
      <c r="C164" s="133" t="s">
        <v>29</v>
      </c>
      <c r="D164" s="116" t="s">
        <v>27</v>
      </c>
      <c r="E164" s="34" t="s">
        <v>26</v>
      </c>
      <c r="F164" s="122" t="s">
        <v>63</v>
      </c>
      <c r="G164" s="123"/>
      <c r="H164" s="122" t="s">
        <v>50</v>
      </c>
      <c r="I164" s="123"/>
      <c r="J164" s="122" t="s">
        <v>146</v>
      </c>
      <c r="K164" s="123"/>
      <c r="L164" s="122" t="s">
        <v>25</v>
      </c>
      <c r="M164" s="123"/>
      <c r="N164" s="106" t="s">
        <v>23</v>
      </c>
      <c r="O164" s="151" t="s">
        <v>137</v>
      </c>
      <c r="P164" s="122" t="s">
        <v>136</v>
      </c>
      <c r="Q164" s="123"/>
      <c r="R164" s="122" t="s">
        <v>143</v>
      </c>
      <c r="S164" s="123"/>
      <c r="T164" s="122" t="s">
        <v>144</v>
      </c>
      <c r="U164" s="123"/>
      <c r="V164" s="159" t="s">
        <v>142</v>
      </c>
      <c r="W164" s="21"/>
      <c r="X164" s="34" t="s">
        <v>21</v>
      </c>
      <c r="Y164" s="34" t="s">
        <v>20</v>
      </c>
      <c r="Z164" s="34" t="s">
        <v>95</v>
      </c>
      <c r="AA164" s="34" t="s">
        <v>19</v>
      </c>
      <c r="AB164" s="34" t="s">
        <v>18</v>
      </c>
      <c r="AC164" s="34" t="s">
        <v>48</v>
      </c>
      <c r="AD164" s="34" t="s">
        <v>49</v>
      </c>
      <c r="AE164" s="34" t="s">
        <v>17</v>
      </c>
      <c r="AF164" s="106" t="s">
        <v>16</v>
      </c>
      <c r="AG164" s="106" t="s">
        <v>15</v>
      </c>
      <c r="AH164" s="106" t="s">
        <v>14</v>
      </c>
      <c r="AI164" s="106" t="s">
        <v>13</v>
      </c>
      <c r="AJ164" s="106" t="s">
        <v>12</v>
      </c>
      <c r="AK164" s="116" t="s">
        <v>11</v>
      </c>
      <c r="AL164" s="118" t="s">
        <v>10</v>
      </c>
      <c r="AM164" s="120" t="s">
        <v>9</v>
      </c>
      <c r="AN164" s="35">
        <f>(1-O166/E166)</f>
        <v>0.23426545464239068</v>
      </c>
      <c r="AO164" s="35">
        <f>1-(AH166+AQ166)/E166</f>
        <v>0.20878887319062722</v>
      </c>
      <c r="AQ164" s="106" t="s">
        <v>8</v>
      </c>
      <c r="AR164" s="106" t="s">
        <v>7</v>
      </c>
      <c r="AS164" s="106" t="s">
        <v>37</v>
      </c>
      <c r="AT164" s="106" t="s">
        <v>38</v>
      </c>
      <c r="AU164" s="106" t="s">
        <v>6</v>
      </c>
      <c r="AV164" s="106" t="s">
        <v>5</v>
      </c>
      <c r="AX164" s="106" t="s">
        <v>4</v>
      </c>
      <c r="AY164" s="106" t="s">
        <v>3</v>
      </c>
      <c r="AZ164" s="106" t="s">
        <v>2</v>
      </c>
      <c r="BA164" s="106" t="s">
        <v>1</v>
      </c>
      <c r="BC164" s="106"/>
      <c r="BD164" s="108"/>
      <c r="BE164" s="52"/>
      <c r="BF164" s="106"/>
    </row>
    <row r="165" spans="1:58" ht="27" customHeight="1" x14ac:dyDescent="0.3">
      <c r="A165" s="154" t="s">
        <v>162</v>
      </c>
      <c r="B165" s="134"/>
      <c r="C165" s="134"/>
      <c r="D165" s="117"/>
      <c r="E165" s="31">
        <v>0</v>
      </c>
      <c r="F165" s="33">
        <v>0.09</v>
      </c>
      <c r="G165" s="32">
        <v>1000000</v>
      </c>
      <c r="H165" s="31">
        <v>1</v>
      </c>
      <c r="I165" s="32">
        <v>0</v>
      </c>
      <c r="J165" s="31">
        <v>1</v>
      </c>
      <c r="K165" s="32">
        <v>130000</v>
      </c>
      <c r="L165" s="31">
        <v>7.0000000000000007E-2</v>
      </c>
      <c r="M165" s="32">
        <v>150000</v>
      </c>
      <c r="N165" s="107"/>
      <c r="O165" s="152"/>
      <c r="P165" s="31">
        <v>0.02</v>
      </c>
      <c r="Q165" s="32">
        <v>1000000</v>
      </c>
      <c r="R165" s="31">
        <v>0.05</v>
      </c>
      <c r="S165" s="32">
        <v>10000</v>
      </c>
      <c r="T165" s="31">
        <v>0.02</v>
      </c>
      <c r="U165" s="32">
        <v>60000</v>
      </c>
      <c r="V165" s="159"/>
      <c r="W165" s="21"/>
      <c r="X165" s="31">
        <f>IF(C166="노트북",7%,IF(C166="저장&amp;주변기기",9%,IF(C166="모니터",7%)))</f>
        <v>7.0000000000000007E-2</v>
      </c>
      <c r="Y165" s="31">
        <v>0</v>
      </c>
      <c r="Z165" s="31">
        <v>0.03</v>
      </c>
      <c r="AA165" s="31">
        <f>IF(F165=0%,20%,0%)</f>
        <v>0</v>
      </c>
      <c r="AB165" s="30">
        <v>0</v>
      </c>
      <c r="AC165" s="30">
        <v>1</v>
      </c>
      <c r="AD165" s="53">
        <v>0.92307600000000001</v>
      </c>
      <c r="AE165" s="29">
        <v>0.5</v>
      </c>
      <c r="AF165" s="107"/>
      <c r="AG165" s="107"/>
      <c r="AH165" s="107"/>
      <c r="AI165" s="107"/>
      <c r="AJ165" s="107"/>
      <c r="AK165" s="117"/>
      <c r="AL165" s="119"/>
      <c r="AM165" s="121"/>
      <c r="AN165" s="55" t="s">
        <v>52</v>
      </c>
      <c r="AO165" s="56">
        <f>AN164-AO164</f>
        <v>2.5476581451763458E-2</v>
      </c>
      <c r="AQ165" s="107"/>
      <c r="AR165" s="107"/>
      <c r="AS165" s="107"/>
      <c r="AT165" s="107"/>
      <c r="AU165" s="107"/>
      <c r="AV165" s="107"/>
      <c r="AW165" s="39"/>
      <c r="AX165" s="107"/>
      <c r="AY165" s="107"/>
      <c r="AZ165" s="107"/>
      <c r="BA165" s="107"/>
      <c r="BC165" s="107"/>
      <c r="BD165" s="109"/>
      <c r="BE165" s="52"/>
      <c r="BF165" s="107"/>
    </row>
    <row r="166" spans="1:58" ht="27" customHeight="1" x14ac:dyDescent="0.3">
      <c r="A166" s="51">
        <v>4668034795</v>
      </c>
      <c r="B166" s="38" t="s">
        <v>35</v>
      </c>
      <c r="C166" s="27" t="s">
        <v>0</v>
      </c>
      <c r="D166" s="25">
        <v>1500520</v>
      </c>
      <c r="E166" s="24">
        <f>ROUNDDOWN(D166/(1-E165),-1)</f>
        <v>1500520</v>
      </c>
      <c r="F166" s="110">
        <f>ROUNDDOWN(IF(E166*F165&gt;G165,G165,E166*F165),-1)</f>
        <v>135040</v>
      </c>
      <c r="G166" s="111"/>
      <c r="H166" s="112">
        <f>ROUNDDOWN(IF(E166*H165&gt;I165,I165,E166*H165),-1)</f>
        <v>0</v>
      </c>
      <c r="I166" s="113"/>
      <c r="J166" s="112">
        <f>ROUNDDOWN(IF(E166*J165&gt;K165,K165,E166*J165),-1)</f>
        <v>130000</v>
      </c>
      <c r="K166" s="113"/>
      <c r="L166" s="110">
        <f>ROUNDDOWN(IF(N166*L165&gt;M165,M165,N166*L165),-1)</f>
        <v>86480</v>
      </c>
      <c r="M166" s="111"/>
      <c r="N166" s="23">
        <f>E166-F166-H166-J166</f>
        <v>1235480</v>
      </c>
      <c r="O166" s="22">
        <f>E166-F166-H166-J166-L166</f>
        <v>1149000</v>
      </c>
      <c r="P166" s="110">
        <f>ROUNDDOWN(IF(N166*P165&gt;Q165,Q165,N166*P165),-1)</f>
        <v>24700</v>
      </c>
      <c r="Q166" s="111"/>
      <c r="R166" s="110">
        <f>ROUNDDOWN(IF(N166*R165&gt;S165,S165,N166*R165),-1)</f>
        <v>10000</v>
      </c>
      <c r="S166" s="111"/>
      <c r="T166" s="110">
        <f>ROUNDDOWN(IF(N166*T165&gt;U165,U165,N166*T165),-1)</f>
        <v>24700</v>
      </c>
      <c r="U166" s="111"/>
      <c r="V166" s="158">
        <f>O166-P166-R166-T166</f>
        <v>1089600</v>
      </c>
      <c r="W166" s="21"/>
      <c r="X166" s="20">
        <f>E166*X165</f>
        <v>105036.40000000001</v>
      </c>
      <c r="Y166" s="20">
        <f>E166*Y165</f>
        <v>0</v>
      </c>
      <c r="Z166" s="20">
        <f>(E166-H166)*Z165</f>
        <v>45015.6</v>
      </c>
      <c r="AA166" s="19">
        <f>(E166*E165)*AA165</f>
        <v>0</v>
      </c>
      <c r="AB166" s="19">
        <f>F166*AB165</f>
        <v>0</v>
      </c>
      <c r="AC166" s="19">
        <f>H166*AC165</f>
        <v>0</v>
      </c>
      <c r="AD166" s="19">
        <f>J166*AD165</f>
        <v>119999.88</v>
      </c>
      <c r="AE166" s="19">
        <f>L166*AE165</f>
        <v>43240</v>
      </c>
      <c r="AF166" s="19">
        <v>0</v>
      </c>
      <c r="AG166" s="16">
        <v>6000</v>
      </c>
      <c r="AH166" s="18">
        <f>E166-X166-Y166-Z166-AA166-AE166-AB166-AC166-AD166-AF166</f>
        <v>1187228.1200000001</v>
      </c>
      <c r="AI166" s="18">
        <f>E166-X166-Y166-Z166-AA166-AB166-AC166-AD166-AE166-AF166-AG166</f>
        <v>1181228.1200000001</v>
      </c>
      <c r="AJ166" s="17">
        <f>AI166-AK166</f>
        <v>113228.12000000011</v>
      </c>
      <c r="AK166" s="16">
        <v>1068000</v>
      </c>
      <c r="AL166" s="15">
        <f>AJ166/AK166</f>
        <v>0.10601883895131096</v>
      </c>
      <c r="AM166" s="14">
        <f>1-O166/(AK166-AQ166-AR166-AS166)</f>
        <v>-7.5842696629213391E-2</v>
      </c>
      <c r="AN166" s="114">
        <f>(1-O166/E166)-(1-(AH166)/E166)</f>
        <v>2.5476581451763458E-2</v>
      </c>
      <c r="AO166" s="115"/>
      <c r="AQ166" s="13"/>
      <c r="AR166" s="12"/>
      <c r="AS166" s="12"/>
      <c r="AT166" s="12"/>
      <c r="AU166" s="11">
        <f>AI166-(AK166-AQ166-AR166-AS166-AT166)</f>
        <v>113228.12000000011</v>
      </c>
      <c r="AV166" s="8">
        <f>AU166/AK166</f>
        <v>0.10601883895131096</v>
      </c>
      <c r="AX166" s="10">
        <v>0</v>
      </c>
      <c r="AY166" s="10">
        <v>0</v>
      </c>
      <c r="AZ166" s="9">
        <f>AU166-AX166-AY166</f>
        <v>113228.12000000011</v>
      </c>
      <c r="BA166" s="8">
        <f>AZ166/AK166</f>
        <v>0.10601883895131096</v>
      </c>
      <c r="BC166" s="7"/>
      <c r="BD166" s="50"/>
      <c r="BE166" s="52"/>
      <c r="BF166" s="7"/>
    </row>
    <row r="167" spans="1:58" ht="16.5" customHeight="1" x14ac:dyDescent="0.3">
      <c r="A167" s="21">
        <v>4578283620</v>
      </c>
      <c r="D167" s="5">
        <v>1149000</v>
      </c>
      <c r="E167" s="4">
        <f>ROUNDDOWN(D167/(1-E165),-1)</f>
        <v>1149000</v>
      </c>
      <c r="F167" s="138">
        <f>E166-F166</f>
        <v>1365480</v>
      </c>
      <c r="G167" s="138"/>
      <c r="H167" s="157">
        <f>E166-F166-H166</f>
        <v>1365480</v>
      </c>
      <c r="I167" s="157"/>
      <c r="K167" s="21"/>
      <c r="O167" s="4"/>
      <c r="P167" s="162">
        <f>SUM(P166:U166)</f>
        <v>59400</v>
      </c>
      <c r="Q167" s="163"/>
      <c r="R167" s="163"/>
      <c r="S167" s="163"/>
      <c r="T167" s="163"/>
      <c r="U167" s="164"/>
      <c r="V167" s="4"/>
      <c r="AB167" s="3">
        <f>F167*AB165</f>
        <v>0</v>
      </c>
      <c r="AC167" s="3"/>
      <c r="AD167" s="3"/>
      <c r="AK167" s="57"/>
    </row>
    <row r="168" spans="1:58" ht="16.5" customHeight="1" x14ac:dyDescent="0.3">
      <c r="D168" s="5"/>
      <c r="E168" s="4"/>
      <c r="F168" s="42"/>
      <c r="G168" s="42"/>
      <c r="I168" s="54"/>
      <c r="AB168" s="3"/>
      <c r="AC168" s="3"/>
      <c r="AD168" s="3"/>
      <c r="AK168" s="5"/>
    </row>
    <row r="169" spans="1:58" ht="16.5" customHeight="1" x14ac:dyDescent="0.3">
      <c r="D169" s="5"/>
      <c r="E169" s="4"/>
      <c r="F169" s="42"/>
      <c r="G169" s="42"/>
      <c r="I169" s="54"/>
      <c r="AB169" s="3"/>
      <c r="AC169" s="3"/>
      <c r="AD169" s="3"/>
      <c r="AK169" s="5"/>
    </row>
    <row r="170" spans="1:58" ht="27" customHeight="1" x14ac:dyDescent="0.3">
      <c r="A170" s="153" t="s">
        <v>34</v>
      </c>
      <c r="B170" s="127" t="s">
        <v>130</v>
      </c>
      <c r="C170" s="128"/>
      <c r="D170" s="128"/>
      <c r="E170" s="128"/>
      <c r="F170" s="128"/>
      <c r="G170" s="128"/>
      <c r="H170" s="128"/>
      <c r="I170" s="128"/>
      <c r="J170" s="128"/>
      <c r="K170" s="128"/>
      <c r="L170" s="128"/>
      <c r="M170" s="156"/>
      <c r="N170" s="127" t="s">
        <v>141</v>
      </c>
      <c r="O170" s="156"/>
      <c r="P170" s="127" t="s">
        <v>167</v>
      </c>
      <c r="Q170" s="128"/>
      <c r="R170" s="128"/>
      <c r="S170" s="128"/>
      <c r="T170" s="128"/>
      <c r="U170" s="128"/>
      <c r="V170" s="156"/>
      <c r="X170" s="130" t="s">
        <v>33</v>
      </c>
      <c r="Y170" s="131"/>
      <c r="Z170" s="131"/>
      <c r="AA170" s="131"/>
      <c r="AB170" s="131"/>
      <c r="AC170" s="131"/>
      <c r="AD170" s="131"/>
      <c r="AE170" s="131"/>
      <c r="AF170" s="131"/>
      <c r="AG170" s="131"/>
      <c r="AH170" s="131"/>
      <c r="AI170" s="131"/>
      <c r="AJ170" s="131"/>
      <c r="AK170" s="131"/>
      <c r="AL170" s="132"/>
      <c r="AM170" s="37"/>
      <c r="AQ170" s="130" t="s">
        <v>32</v>
      </c>
      <c r="AR170" s="131"/>
      <c r="AS170" s="131"/>
      <c r="AT170" s="131"/>
      <c r="AU170" s="131"/>
      <c r="AV170" s="132"/>
      <c r="AX170" s="130" t="s">
        <v>31</v>
      </c>
      <c r="AY170" s="131"/>
      <c r="AZ170" s="131"/>
      <c r="BA170" s="132"/>
      <c r="BC170" s="36" t="s">
        <v>36</v>
      </c>
      <c r="BD170" s="48"/>
      <c r="BE170" s="52"/>
      <c r="BF170" s="36"/>
    </row>
    <row r="171" spans="1:58" ht="32.25" customHeight="1" x14ac:dyDescent="0.3">
      <c r="A171" s="153"/>
      <c r="B171" s="133" t="s">
        <v>30</v>
      </c>
      <c r="C171" s="133" t="s">
        <v>29</v>
      </c>
      <c r="D171" s="116" t="s">
        <v>27</v>
      </c>
      <c r="E171" s="34" t="s">
        <v>26</v>
      </c>
      <c r="F171" s="122" t="s">
        <v>63</v>
      </c>
      <c r="G171" s="123"/>
      <c r="H171" s="122" t="s">
        <v>50</v>
      </c>
      <c r="I171" s="123"/>
      <c r="J171" s="122" t="s">
        <v>146</v>
      </c>
      <c r="K171" s="123"/>
      <c r="L171" s="122" t="s">
        <v>25</v>
      </c>
      <c r="M171" s="123"/>
      <c r="N171" s="106" t="s">
        <v>23</v>
      </c>
      <c r="O171" s="151" t="s">
        <v>137</v>
      </c>
      <c r="P171" s="122" t="s">
        <v>136</v>
      </c>
      <c r="Q171" s="123"/>
      <c r="R171" s="122" t="s">
        <v>143</v>
      </c>
      <c r="S171" s="123"/>
      <c r="T171" s="122" t="s">
        <v>144</v>
      </c>
      <c r="U171" s="123"/>
      <c r="V171" s="159" t="s">
        <v>142</v>
      </c>
      <c r="W171" s="21"/>
      <c r="X171" s="34" t="s">
        <v>21</v>
      </c>
      <c r="Y171" s="34" t="s">
        <v>20</v>
      </c>
      <c r="Z171" s="34" t="s">
        <v>95</v>
      </c>
      <c r="AA171" s="34" t="s">
        <v>19</v>
      </c>
      <c r="AB171" s="34" t="s">
        <v>18</v>
      </c>
      <c r="AC171" s="34" t="s">
        <v>48</v>
      </c>
      <c r="AD171" s="34" t="s">
        <v>49</v>
      </c>
      <c r="AE171" s="34" t="s">
        <v>17</v>
      </c>
      <c r="AF171" s="106" t="s">
        <v>16</v>
      </c>
      <c r="AG171" s="106" t="s">
        <v>15</v>
      </c>
      <c r="AH171" s="106" t="s">
        <v>14</v>
      </c>
      <c r="AI171" s="106" t="s">
        <v>13</v>
      </c>
      <c r="AJ171" s="106" t="s">
        <v>12</v>
      </c>
      <c r="AK171" s="116" t="s">
        <v>11</v>
      </c>
      <c r="AL171" s="118" t="s">
        <v>10</v>
      </c>
      <c r="AM171" s="120" t="s">
        <v>9</v>
      </c>
      <c r="AN171" s="35">
        <f>(1-O173/E173)</f>
        <v>0.22893095851536538</v>
      </c>
      <c r="AO171" s="35">
        <f>1-(AH173+AQ173)/E173</f>
        <v>0.20369595359894443</v>
      </c>
      <c r="AQ171" s="106" t="s">
        <v>8</v>
      </c>
      <c r="AR171" s="106" t="s">
        <v>7</v>
      </c>
      <c r="AS171" s="106" t="s">
        <v>37</v>
      </c>
      <c r="AT171" s="106" t="s">
        <v>38</v>
      </c>
      <c r="AU171" s="106" t="s">
        <v>6</v>
      </c>
      <c r="AV171" s="106" t="s">
        <v>5</v>
      </c>
      <c r="AX171" s="106" t="s">
        <v>4</v>
      </c>
      <c r="AY171" s="106" t="s">
        <v>3</v>
      </c>
      <c r="AZ171" s="106" t="s">
        <v>2</v>
      </c>
      <c r="BA171" s="106" t="s">
        <v>1</v>
      </c>
      <c r="BC171" s="106"/>
      <c r="BD171" s="108"/>
      <c r="BE171" s="52"/>
      <c r="BF171" s="106"/>
    </row>
    <row r="172" spans="1:58" ht="27" customHeight="1" x14ac:dyDescent="0.3">
      <c r="A172" s="154" t="s">
        <v>163</v>
      </c>
      <c r="B172" s="134"/>
      <c r="C172" s="134"/>
      <c r="D172" s="117"/>
      <c r="E172" s="31">
        <v>0</v>
      </c>
      <c r="F172" s="33">
        <v>0.09</v>
      </c>
      <c r="G172" s="32">
        <v>1000000</v>
      </c>
      <c r="H172" s="31">
        <v>1</v>
      </c>
      <c r="I172" s="32">
        <v>0</v>
      </c>
      <c r="J172" s="31">
        <v>1</v>
      </c>
      <c r="K172" s="32">
        <v>130000</v>
      </c>
      <c r="L172" s="31">
        <v>7.0000000000000007E-2</v>
      </c>
      <c r="M172" s="32">
        <v>150000</v>
      </c>
      <c r="N172" s="107"/>
      <c r="O172" s="152"/>
      <c r="P172" s="31">
        <v>0.02</v>
      </c>
      <c r="Q172" s="32">
        <v>1000000</v>
      </c>
      <c r="R172" s="31">
        <v>0.05</v>
      </c>
      <c r="S172" s="32">
        <v>10000</v>
      </c>
      <c r="T172" s="31">
        <v>0.02</v>
      </c>
      <c r="U172" s="32">
        <v>60000</v>
      </c>
      <c r="V172" s="159"/>
      <c r="W172" s="21"/>
      <c r="X172" s="31">
        <f>IF(C173="노트북",7%,IF(C173="저장&amp;주변기기",9%,IF(C173="모니터",7%)))</f>
        <v>7.0000000000000007E-2</v>
      </c>
      <c r="Y172" s="31">
        <v>0</v>
      </c>
      <c r="Z172" s="31">
        <v>0.03</v>
      </c>
      <c r="AA172" s="31">
        <f>IF(F172=0%,20%,0%)</f>
        <v>0</v>
      </c>
      <c r="AB172" s="30">
        <v>0</v>
      </c>
      <c r="AC172" s="30">
        <v>1</v>
      </c>
      <c r="AD172" s="53">
        <v>0.92307600000000001</v>
      </c>
      <c r="AE172" s="29">
        <v>0.5</v>
      </c>
      <c r="AF172" s="107"/>
      <c r="AG172" s="107"/>
      <c r="AH172" s="107"/>
      <c r="AI172" s="107"/>
      <c r="AJ172" s="107"/>
      <c r="AK172" s="117"/>
      <c r="AL172" s="119"/>
      <c r="AM172" s="121"/>
      <c r="AN172" s="55" t="s">
        <v>52</v>
      </c>
      <c r="AO172" s="56">
        <f>AN171-AO171</f>
        <v>2.5235004916420944E-2</v>
      </c>
      <c r="AQ172" s="107"/>
      <c r="AR172" s="107"/>
      <c r="AS172" s="107"/>
      <c r="AT172" s="107"/>
      <c r="AU172" s="107"/>
      <c r="AV172" s="107"/>
      <c r="AW172" s="39"/>
      <c r="AX172" s="107"/>
      <c r="AY172" s="107"/>
      <c r="AZ172" s="107"/>
      <c r="BA172" s="107"/>
      <c r="BC172" s="107"/>
      <c r="BD172" s="109"/>
      <c r="BE172" s="52"/>
      <c r="BF172" s="107"/>
    </row>
    <row r="173" spans="1:58" ht="27" customHeight="1" x14ac:dyDescent="0.3">
      <c r="A173" s="51">
        <v>4668027223</v>
      </c>
      <c r="B173" s="38" t="s">
        <v>35</v>
      </c>
      <c r="C173" s="27" t="s">
        <v>0</v>
      </c>
      <c r="D173" s="25">
        <v>1606860</v>
      </c>
      <c r="E173" s="24">
        <f>ROUNDDOWN(D173/(1-E172),-1)</f>
        <v>1606860</v>
      </c>
      <c r="F173" s="110">
        <f>ROUNDDOWN(IF(E173*F172&gt;G172,G172,E173*F172),-1)</f>
        <v>144610</v>
      </c>
      <c r="G173" s="111"/>
      <c r="H173" s="112">
        <f>ROUNDDOWN(IF(E173*H172&gt;I172,I172,E173*H172),-1)</f>
        <v>0</v>
      </c>
      <c r="I173" s="113"/>
      <c r="J173" s="112">
        <f>ROUNDDOWN(IF(E173*J172&gt;K172,K172,E173*J172),-1)</f>
        <v>130000</v>
      </c>
      <c r="K173" s="113"/>
      <c r="L173" s="110">
        <f>ROUNDDOWN(IF(N173*L172&gt;M172,M172,N173*L172),-1)</f>
        <v>93250</v>
      </c>
      <c r="M173" s="111"/>
      <c r="N173" s="23">
        <f>E173-F173-H173-J173</f>
        <v>1332250</v>
      </c>
      <c r="O173" s="22">
        <f>E173-F173-H173-J173-L173</f>
        <v>1239000</v>
      </c>
      <c r="P173" s="110">
        <f>ROUNDDOWN(IF(N173*P172&gt;Q172,Q172,N173*P172),-1)</f>
        <v>26640</v>
      </c>
      <c r="Q173" s="111"/>
      <c r="R173" s="110">
        <f>ROUNDDOWN(IF(N173*R172&gt;S172,S172,N173*R172),-1)</f>
        <v>10000</v>
      </c>
      <c r="S173" s="111"/>
      <c r="T173" s="110">
        <f>ROUNDDOWN(IF(N173*T172&gt;U172,U172,N173*T172),-1)</f>
        <v>26640</v>
      </c>
      <c r="U173" s="111"/>
      <c r="V173" s="158">
        <f>O173-P173-R173-T173</f>
        <v>1175720</v>
      </c>
      <c r="W173" s="21"/>
      <c r="X173" s="20">
        <f>E173*X172</f>
        <v>112480.20000000001</v>
      </c>
      <c r="Y173" s="20">
        <f>E173*Y172</f>
        <v>0</v>
      </c>
      <c r="Z173" s="20">
        <f>(E173-H173)*Z172</f>
        <v>48205.799999999996</v>
      </c>
      <c r="AA173" s="19">
        <f>(E173*E172)*AA172</f>
        <v>0</v>
      </c>
      <c r="AB173" s="19">
        <f>F173*AB172</f>
        <v>0</v>
      </c>
      <c r="AC173" s="19">
        <f>H173*AC172</f>
        <v>0</v>
      </c>
      <c r="AD173" s="19">
        <f>J173*AD172</f>
        <v>119999.88</v>
      </c>
      <c r="AE173" s="19">
        <f>L173*AE172</f>
        <v>46625</v>
      </c>
      <c r="AF173" s="19">
        <v>0</v>
      </c>
      <c r="AG173" s="16">
        <v>6000</v>
      </c>
      <c r="AH173" s="18">
        <f>E173-X173-Y173-Z173-AA173-AE173-AB173-AC173-AD173-AF173</f>
        <v>1279549.1200000001</v>
      </c>
      <c r="AI173" s="18">
        <f>E173-X173-Y173-Z173-AA173-AB173-AC173-AD173-AE173-AF173-AG173</f>
        <v>1273549.1200000001</v>
      </c>
      <c r="AJ173" s="17">
        <f>AI173-AK173</f>
        <v>65549.120000000112</v>
      </c>
      <c r="AK173" s="16">
        <v>1208000</v>
      </c>
      <c r="AL173" s="15">
        <f>AJ173/AK173</f>
        <v>5.4262516556291482E-2</v>
      </c>
      <c r="AM173" s="14">
        <f>1-O173/(AK173-AQ173-AR173-AS173)</f>
        <v>-2.5662251655629076E-2</v>
      </c>
      <c r="AN173" s="114">
        <f>(1-O173/E173)-(1-(AH173)/E173)</f>
        <v>2.5235004916420944E-2</v>
      </c>
      <c r="AO173" s="115"/>
      <c r="AQ173" s="13"/>
      <c r="AR173" s="12"/>
      <c r="AS173" s="12"/>
      <c r="AT173" s="12"/>
      <c r="AU173" s="11">
        <f>AI173-(AK173-AQ173-AR173-AS173-AT173)</f>
        <v>65549.120000000112</v>
      </c>
      <c r="AV173" s="8">
        <f>AU173/AK173</f>
        <v>5.4262516556291482E-2</v>
      </c>
      <c r="AX173" s="10">
        <v>0</v>
      </c>
      <c r="AY173" s="10">
        <v>0</v>
      </c>
      <c r="AZ173" s="9">
        <f>AU173-AX173-AY173</f>
        <v>65549.120000000112</v>
      </c>
      <c r="BA173" s="8">
        <f>AZ173/AK173</f>
        <v>5.4262516556291482E-2</v>
      </c>
      <c r="BC173" s="7"/>
      <c r="BD173" s="50"/>
      <c r="BE173" s="52"/>
      <c r="BF173" s="7"/>
    </row>
    <row r="174" spans="1:58" ht="16.5" customHeight="1" x14ac:dyDescent="0.3">
      <c r="A174" s="21">
        <v>4578292820</v>
      </c>
      <c r="D174" s="5">
        <v>1299000</v>
      </c>
      <c r="E174" s="4">
        <f>ROUNDDOWN(D174/(1-E172),-1)</f>
        <v>1299000</v>
      </c>
      <c r="F174" s="138">
        <f>E173-F173</f>
        <v>1462250</v>
      </c>
      <c r="G174" s="138"/>
      <c r="H174" s="157">
        <f>E173-F173-H173</f>
        <v>1462250</v>
      </c>
      <c r="I174" s="157"/>
      <c r="K174" s="21" t="s">
        <v>89</v>
      </c>
      <c r="O174" s="4"/>
      <c r="P174" s="162">
        <f>SUM(P173:U173)</f>
        <v>63280</v>
      </c>
      <c r="Q174" s="163"/>
      <c r="R174" s="163"/>
      <c r="S174" s="163"/>
      <c r="T174" s="163"/>
      <c r="U174" s="164"/>
      <c r="V174" s="4"/>
      <c r="AB174" s="3">
        <f>F174*AB172</f>
        <v>0</v>
      </c>
      <c r="AC174" s="3"/>
      <c r="AD174" s="3"/>
      <c r="AK174" s="57"/>
    </row>
    <row r="175" spans="1:58" ht="16.5" customHeight="1" x14ac:dyDescent="0.3">
      <c r="D175" s="5"/>
      <c r="E175" s="4"/>
      <c r="F175" s="42"/>
      <c r="G175" s="42"/>
      <c r="I175" s="54"/>
      <c r="AB175" s="3"/>
      <c r="AC175" s="3"/>
      <c r="AD175" s="3"/>
      <c r="AK175" s="5"/>
    </row>
    <row r="176" spans="1:58" ht="16.5" customHeight="1" x14ac:dyDescent="0.3">
      <c r="D176" s="5"/>
      <c r="E176" s="4"/>
      <c r="F176" s="74"/>
      <c r="G176" s="74"/>
      <c r="I176" s="54"/>
      <c r="K176" s="21"/>
      <c r="O176" s="4"/>
      <c r="P176" s="4"/>
      <c r="Q176" s="4"/>
      <c r="R176" s="4"/>
      <c r="S176" s="4"/>
      <c r="T176" s="4"/>
      <c r="U176" s="4"/>
      <c r="V176" s="4"/>
      <c r="AB176" s="3"/>
      <c r="AC176" s="3"/>
      <c r="AD176" s="3"/>
      <c r="AK176" s="57"/>
    </row>
    <row r="177" spans="1:58" ht="27" customHeight="1" x14ac:dyDescent="0.3">
      <c r="A177" s="153" t="s">
        <v>34</v>
      </c>
      <c r="B177" s="127" t="s">
        <v>145</v>
      </c>
      <c r="C177" s="128"/>
      <c r="D177" s="128"/>
      <c r="E177" s="128"/>
      <c r="F177" s="128"/>
      <c r="G177" s="128"/>
      <c r="H177" s="128"/>
      <c r="I177" s="128"/>
      <c r="J177" s="128"/>
      <c r="K177" s="128"/>
      <c r="L177" s="128"/>
      <c r="M177" s="156"/>
      <c r="N177" s="127" t="s">
        <v>141</v>
      </c>
      <c r="O177" s="156"/>
      <c r="P177" s="127" t="s">
        <v>167</v>
      </c>
      <c r="Q177" s="128"/>
      <c r="R177" s="128"/>
      <c r="S177" s="128"/>
      <c r="T177" s="128"/>
      <c r="U177" s="128"/>
      <c r="V177" s="156"/>
      <c r="X177" s="130" t="s">
        <v>33</v>
      </c>
      <c r="Y177" s="131"/>
      <c r="Z177" s="131"/>
      <c r="AA177" s="131"/>
      <c r="AB177" s="131"/>
      <c r="AC177" s="131"/>
      <c r="AD177" s="131"/>
      <c r="AE177" s="131"/>
      <c r="AF177" s="131"/>
      <c r="AG177" s="131"/>
      <c r="AH177" s="131"/>
      <c r="AI177" s="131"/>
      <c r="AJ177" s="131"/>
      <c r="AK177" s="131"/>
      <c r="AL177" s="132"/>
      <c r="AM177" s="37"/>
      <c r="AQ177" s="130" t="s">
        <v>32</v>
      </c>
      <c r="AR177" s="131"/>
      <c r="AS177" s="131"/>
      <c r="AT177" s="131"/>
      <c r="AU177" s="131"/>
      <c r="AV177" s="132"/>
      <c r="AX177" s="130" t="s">
        <v>31</v>
      </c>
      <c r="AY177" s="131"/>
      <c r="AZ177" s="131"/>
      <c r="BA177" s="132"/>
      <c r="BC177" s="36" t="s">
        <v>36</v>
      </c>
      <c r="BD177" s="48"/>
      <c r="BE177" s="52"/>
      <c r="BF177" s="36"/>
    </row>
    <row r="178" spans="1:58" ht="32.25" customHeight="1" x14ac:dyDescent="0.3">
      <c r="A178" s="153"/>
      <c r="B178" s="133" t="s">
        <v>30</v>
      </c>
      <c r="C178" s="133" t="s">
        <v>29</v>
      </c>
      <c r="D178" s="116" t="s">
        <v>27</v>
      </c>
      <c r="E178" s="34" t="s">
        <v>26</v>
      </c>
      <c r="F178" s="122" t="s">
        <v>63</v>
      </c>
      <c r="G178" s="123"/>
      <c r="H178" s="122" t="s">
        <v>50</v>
      </c>
      <c r="I178" s="123"/>
      <c r="J178" s="122" t="s">
        <v>146</v>
      </c>
      <c r="K178" s="123"/>
      <c r="L178" s="122" t="s">
        <v>25</v>
      </c>
      <c r="M178" s="123"/>
      <c r="N178" s="106" t="s">
        <v>23</v>
      </c>
      <c r="O178" s="151" t="s">
        <v>137</v>
      </c>
      <c r="P178" s="122" t="s">
        <v>136</v>
      </c>
      <c r="Q178" s="123"/>
      <c r="R178" s="122" t="s">
        <v>143</v>
      </c>
      <c r="S178" s="123"/>
      <c r="T178" s="122" t="s">
        <v>144</v>
      </c>
      <c r="U178" s="123"/>
      <c r="V178" s="159" t="s">
        <v>142</v>
      </c>
      <c r="W178" s="21"/>
      <c r="X178" s="34" t="s">
        <v>21</v>
      </c>
      <c r="Y178" s="34" t="s">
        <v>20</v>
      </c>
      <c r="Z178" s="34" t="s">
        <v>95</v>
      </c>
      <c r="AA178" s="34" t="s">
        <v>19</v>
      </c>
      <c r="AB178" s="34" t="s">
        <v>18</v>
      </c>
      <c r="AC178" s="34" t="s">
        <v>48</v>
      </c>
      <c r="AD178" s="34" t="s">
        <v>49</v>
      </c>
      <c r="AE178" s="34" t="s">
        <v>17</v>
      </c>
      <c r="AF178" s="106" t="s">
        <v>16</v>
      </c>
      <c r="AG178" s="106" t="s">
        <v>15</v>
      </c>
      <c r="AH178" s="106" t="s">
        <v>14</v>
      </c>
      <c r="AI178" s="106" t="s">
        <v>13</v>
      </c>
      <c r="AJ178" s="106" t="s">
        <v>12</v>
      </c>
      <c r="AK178" s="116" t="s">
        <v>11</v>
      </c>
      <c r="AL178" s="118" t="s">
        <v>10</v>
      </c>
      <c r="AM178" s="120" t="s">
        <v>9</v>
      </c>
      <c r="AN178" s="35">
        <f>(1-O180/E180)</f>
        <v>0.21150278293135438</v>
      </c>
      <c r="AO178" s="35">
        <f>1-(AH180+AQ180)/E180</f>
        <v>0.18705261748560709</v>
      </c>
      <c r="AQ178" s="106" t="s">
        <v>8</v>
      </c>
      <c r="AR178" s="106" t="s">
        <v>7</v>
      </c>
      <c r="AS178" s="106" t="s">
        <v>37</v>
      </c>
      <c r="AT178" s="106" t="s">
        <v>38</v>
      </c>
      <c r="AU178" s="106" t="s">
        <v>6</v>
      </c>
      <c r="AV178" s="106" t="s">
        <v>5</v>
      </c>
      <c r="AX178" s="106" t="s">
        <v>4</v>
      </c>
      <c r="AY178" s="106" t="s">
        <v>3</v>
      </c>
      <c r="AZ178" s="106" t="s">
        <v>2</v>
      </c>
      <c r="BA178" s="106" t="s">
        <v>1</v>
      </c>
      <c r="BC178" s="106"/>
      <c r="BD178" s="108"/>
      <c r="BE178" s="52"/>
      <c r="BF178" s="106"/>
    </row>
    <row r="179" spans="1:58" ht="27" customHeight="1" x14ac:dyDescent="0.3">
      <c r="A179" s="154" t="s">
        <v>164</v>
      </c>
      <c r="B179" s="134"/>
      <c r="C179" s="134"/>
      <c r="D179" s="117"/>
      <c r="E179" s="31">
        <v>0</v>
      </c>
      <c r="F179" s="33">
        <v>0.09</v>
      </c>
      <c r="G179" s="32">
        <v>1000000</v>
      </c>
      <c r="H179" s="31">
        <v>1</v>
      </c>
      <c r="I179" s="32">
        <v>0</v>
      </c>
      <c r="J179" s="31">
        <v>1</v>
      </c>
      <c r="K179" s="32">
        <v>130000</v>
      </c>
      <c r="L179" s="31">
        <v>7.0000000000000007E-2</v>
      </c>
      <c r="M179" s="32">
        <v>150000</v>
      </c>
      <c r="N179" s="107"/>
      <c r="O179" s="152"/>
      <c r="P179" s="31">
        <v>0.02</v>
      </c>
      <c r="Q179" s="32">
        <v>1000000</v>
      </c>
      <c r="R179" s="31">
        <v>0.05</v>
      </c>
      <c r="S179" s="32">
        <v>10000</v>
      </c>
      <c r="T179" s="31">
        <v>0.02</v>
      </c>
      <c r="U179" s="32">
        <v>60000</v>
      </c>
      <c r="V179" s="159"/>
      <c r="W179" s="21"/>
      <c r="X179" s="31">
        <f>IF(C180="노트북",7%,IF(C180="저장&amp;주변기기",9%,IF(C180="모니터",7%)))</f>
        <v>7.0000000000000007E-2</v>
      </c>
      <c r="Y179" s="31">
        <v>0</v>
      </c>
      <c r="Z179" s="31">
        <v>0.03</v>
      </c>
      <c r="AA179" s="31">
        <f>IF(F179=0%,20%,0%)</f>
        <v>0</v>
      </c>
      <c r="AB179" s="30">
        <v>0</v>
      </c>
      <c r="AC179" s="30">
        <v>1</v>
      </c>
      <c r="AD179" s="53">
        <v>0.92307600000000001</v>
      </c>
      <c r="AE179" s="29">
        <v>0.5</v>
      </c>
      <c r="AF179" s="107"/>
      <c r="AG179" s="107"/>
      <c r="AH179" s="107"/>
      <c r="AI179" s="107"/>
      <c r="AJ179" s="107"/>
      <c r="AK179" s="117"/>
      <c r="AL179" s="119"/>
      <c r="AM179" s="121"/>
      <c r="AN179" s="55" t="s">
        <v>52</v>
      </c>
      <c r="AO179" s="56">
        <f>AN178-AO178</f>
        <v>2.4450165445747296E-2</v>
      </c>
      <c r="AQ179" s="107"/>
      <c r="AR179" s="107"/>
      <c r="AS179" s="107"/>
      <c r="AT179" s="107"/>
      <c r="AU179" s="107"/>
      <c r="AV179" s="107"/>
      <c r="AW179" s="39"/>
      <c r="AX179" s="107"/>
      <c r="AY179" s="107"/>
      <c r="AZ179" s="107"/>
      <c r="BA179" s="107"/>
      <c r="BC179" s="107"/>
      <c r="BD179" s="109"/>
      <c r="BE179" s="52"/>
      <c r="BF179" s="107"/>
    </row>
    <row r="180" spans="1:58" ht="27" customHeight="1" x14ac:dyDescent="0.3">
      <c r="A180" s="51">
        <v>4692284484</v>
      </c>
      <c r="B180" s="38" t="s">
        <v>35</v>
      </c>
      <c r="C180" s="27" t="s">
        <v>0</v>
      </c>
      <c r="D180" s="25">
        <v>2091320</v>
      </c>
      <c r="E180" s="24">
        <f>ROUNDDOWN(D180/(1-E179),-1)</f>
        <v>2091320</v>
      </c>
      <c r="F180" s="110">
        <f>ROUNDDOWN(IF(E180*F179&gt;G179,G179,E180*F179),-1)</f>
        <v>188210</v>
      </c>
      <c r="G180" s="111"/>
      <c r="H180" s="112">
        <f>ROUNDDOWN(IF(E180*H179&gt;I179,I179,E180*H179),-1)</f>
        <v>0</v>
      </c>
      <c r="I180" s="113"/>
      <c r="J180" s="112">
        <f>ROUNDDOWN(IF(E180*J179&gt;K179,K179,E180*J179),-1)</f>
        <v>130000</v>
      </c>
      <c r="K180" s="113"/>
      <c r="L180" s="110">
        <f>ROUNDDOWN(IF(N180*L179&gt;M179,M179,N180*L179),-1)</f>
        <v>124110</v>
      </c>
      <c r="M180" s="111"/>
      <c r="N180" s="23">
        <f>E180-F180-H180-J180</f>
        <v>1773110</v>
      </c>
      <c r="O180" s="22">
        <f>E180-F180-H180-J180-L180</f>
        <v>1649000</v>
      </c>
      <c r="P180" s="110">
        <f>ROUNDDOWN(IF(N180*P179&gt;Q179,Q179,N180*P179),-1)</f>
        <v>35460</v>
      </c>
      <c r="Q180" s="111"/>
      <c r="R180" s="110">
        <f>ROUNDDOWN(IF(N180*R179&gt;S179,S179,N180*R179),-1)</f>
        <v>10000</v>
      </c>
      <c r="S180" s="111"/>
      <c r="T180" s="110">
        <f>ROUNDDOWN(IF(N180*T179&gt;U179,U179,N180*T179),-1)</f>
        <v>35460</v>
      </c>
      <c r="U180" s="111"/>
      <c r="V180" s="158">
        <f>O180-P180-R180-T180</f>
        <v>1568080</v>
      </c>
      <c r="W180" s="21"/>
      <c r="X180" s="20">
        <f>E180*X179</f>
        <v>146392.40000000002</v>
      </c>
      <c r="Y180" s="20">
        <f>E180*Y179</f>
        <v>0</v>
      </c>
      <c r="Z180" s="20">
        <f>(E180-H180)*Z179</f>
        <v>62739.6</v>
      </c>
      <c r="AA180" s="19">
        <f>(E180*E179)*AA179</f>
        <v>0</v>
      </c>
      <c r="AB180" s="19">
        <f>F180*AB179</f>
        <v>0</v>
      </c>
      <c r="AC180" s="19">
        <f>H180*AC179</f>
        <v>0</v>
      </c>
      <c r="AD180" s="19">
        <f>J180*AD179</f>
        <v>119999.88</v>
      </c>
      <c r="AE180" s="19">
        <f>L180*AE179</f>
        <v>62055</v>
      </c>
      <c r="AF180" s="19">
        <v>0</v>
      </c>
      <c r="AG180" s="16">
        <v>6000</v>
      </c>
      <c r="AH180" s="18">
        <f>E180-X180-Y180-Z180-AA180-AE180-AB180-AC180-AD180-AF180</f>
        <v>1700133.12</v>
      </c>
      <c r="AI180" s="18">
        <f>E180-X180-Y180-Z180-AA180-AB180-AC180-AD180-AE180-AF180-AG180</f>
        <v>1694133.12</v>
      </c>
      <c r="AJ180" s="17">
        <f>AI180-AK180</f>
        <v>68133.120000000112</v>
      </c>
      <c r="AK180" s="16">
        <v>1626000</v>
      </c>
      <c r="AL180" s="15">
        <f>AJ180/AK180</f>
        <v>4.1902287822878297E-2</v>
      </c>
      <c r="AM180" s="14">
        <f>1-O180/(AK180-AQ180-AR180-AS180)</f>
        <v>-1.4145141451414434E-2</v>
      </c>
      <c r="AN180" s="114">
        <f>(1-O180/E180)-(1-(AH180)/E180)</f>
        <v>2.4450165445747296E-2</v>
      </c>
      <c r="AO180" s="115"/>
      <c r="AQ180" s="13"/>
      <c r="AR180" s="12"/>
      <c r="AS180" s="12"/>
      <c r="AT180" s="12"/>
      <c r="AU180" s="11">
        <f>AI180-(AK180-AQ180-AR180-AS180-AT180)</f>
        <v>68133.120000000112</v>
      </c>
      <c r="AV180" s="8">
        <f>AU180/AK180</f>
        <v>4.1902287822878297E-2</v>
      </c>
      <c r="AX180" s="10">
        <v>0</v>
      </c>
      <c r="AY180" s="10">
        <v>0</v>
      </c>
      <c r="AZ180" s="9">
        <f>AU180-AX180-AY180</f>
        <v>68133.120000000112</v>
      </c>
      <c r="BA180" s="8">
        <f>AZ180/AK180</f>
        <v>4.1902287822878297E-2</v>
      </c>
      <c r="BC180" s="7"/>
      <c r="BD180" s="50"/>
      <c r="BE180" s="52"/>
      <c r="BF180" s="7"/>
    </row>
    <row r="181" spans="1:58" ht="16.5" customHeight="1" x14ac:dyDescent="0.3">
      <c r="D181" s="5">
        <v>1749000</v>
      </c>
      <c r="E181" s="4">
        <f>ROUNDDOWN(D181/(1-E179),-1)</f>
        <v>1749000</v>
      </c>
      <c r="F181" s="138">
        <f>E180-F180</f>
        <v>1903110</v>
      </c>
      <c r="G181" s="138"/>
      <c r="H181" s="157">
        <f>E180-F180-H180</f>
        <v>1903110</v>
      </c>
      <c r="I181" s="157"/>
      <c r="K181" s="21"/>
      <c r="O181" s="4"/>
      <c r="P181" s="162">
        <f>SUM(P180:U180)</f>
        <v>80920</v>
      </c>
      <c r="Q181" s="163"/>
      <c r="R181" s="163"/>
      <c r="S181" s="163"/>
      <c r="T181" s="163"/>
      <c r="U181" s="164"/>
      <c r="V181" s="4"/>
      <c r="AB181" s="3">
        <f>F181*AB179</f>
        <v>0</v>
      </c>
      <c r="AC181" s="3"/>
      <c r="AD181" s="3"/>
      <c r="AK181" s="57"/>
    </row>
    <row r="182" spans="1:58" ht="27" customHeight="1" x14ac:dyDescent="0.3">
      <c r="A182" s="153" t="s">
        <v>34</v>
      </c>
      <c r="B182" s="127" t="s">
        <v>145</v>
      </c>
      <c r="C182" s="128"/>
      <c r="D182" s="128"/>
      <c r="E182" s="128"/>
      <c r="F182" s="128"/>
      <c r="G182" s="128"/>
      <c r="H182" s="128"/>
      <c r="I182" s="128"/>
      <c r="J182" s="128"/>
      <c r="K182" s="128"/>
      <c r="L182" s="128"/>
      <c r="M182" s="156"/>
      <c r="N182" s="127" t="s">
        <v>141</v>
      </c>
      <c r="O182" s="156"/>
      <c r="P182" s="127" t="s">
        <v>167</v>
      </c>
      <c r="Q182" s="128"/>
      <c r="R182" s="128"/>
      <c r="S182" s="128"/>
      <c r="T182" s="128"/>
      <c r="U182" s="128"/>
      <c r="V182" s="156"/>
      <c r="X182" s="130" t="s">
        <v>33</v>
      </c>
      <c r="Y182" s="131"/>
      <c r="Z182" s="131"/>
      <c r="AA182" s="131"/>
      <c r="AB182" s="131"/>
      <c r="AC182" s="131"/>
      <c r="AD182" s="131"/>
      <c r="AE182" s="131"/>
      <c r="AF182" s="131"/>
      <c r="AG182" s="131"/>
      <c r="AH182" s="131"/>
      <c r="AI182" s="131"/>
      <c r="AJ182" s="131"/>
      <c r="AK182" s="131"/>
      <c r="AL182" s="132"/>
      <c r="AM182" s="37"/>
      <c r="AQ182" s="130" t="s">
        <v>32</v>
      </c>
      <c r="AR182" s="131"/>
      <c r="AS182" s="131"/>
      <c r="AT182" s="131"/>
      <c r="AU182" s="131"/>
      <c r="AV182" s="132"/>
      <c r="AX182" s="130" t="s">
        <v>31</v>
      </c>
      <c r="AY182" s="131"/>
      <c r="AZ182" s="131"/>
      <c r="BA182" s="132"/>
      <c r="BC182" s="36" t="s">
        <v>36</v>
      </c>
      <c r="BD182" s="48"/>
      <c r="BE182" s="52"/>
      <c r="BF182" s="36"/>
    </row>
    <row r="183" spans="1:58" ht="32.25" customHeight="1" x14ac:dyDescent="0.3">
      <c r="A183" s="153"/>
      <c r="B183" s="133" t="s">
        <v>30</v>
      </c>
      <c r="C183" s="133" t="s">
        <v>29</v>
      </c>
      <c r="D183" s="116" t="s">
        <v>27</v>
      </c>
      <c r="E183" s="34" t="s">
        <v>26</v>
      </c>
      <c r="F183" s="122" t="s">
        <v>63</v>
      </c>
      <c r="G183" s="123"/>
      <c r="H183" s="122" t="s">
        <v>50</v>
      </c>
      <c r="I183" s="123"/>
      <c r="J183" s="122" t="s">
        <v>146</v>
      </c>
      <c r="K183" s="123"/>
      <c r="L183" s="122" t="s">
        <v>25</v>
      </c>
      <c r="M183" s="123"/>
      <c r="N183" s="106" t="s">
        <v>23</v>
      </c>
      <c r="O183" s="151" t="s">
        <v>137</v>
      </c>
      <c r="P183" s="122" t="s">
        <v>136</v>
      </c>
      <c r="Q183" s="123"/>
      <c r="R183" s="122" t="s">
        <v>143</v>
      </c>
      <c r="S183" s="123"/>
      <c r="T183" s="122" t="s">
        <v>144</v>
      </c>
      <c r="U183" s="123"/>
      <c r="V183" s="159" t="s">
        <v>142</v>
      </c>
      <c r="W183" s="21"/>
      <c r="X183" s="34" t="s">
        <v>21</v>
      </c>
      <c r="Y183" s="34" t="s">
        <v>20</v>
      </c>
      <c r="Z183" s="34" t="s">
        <v>95</v>
      </c>
      <c r="AA183" s="34" t="s">
        <v>19</v>
      </c>
      <c r="AB183" s="34" t="s">
        <v>18</v>
      </c>
      <c r="AC183" s="34" t="s">
        <v>48</v>
      </c>
      <c r="AD183" s="34" t="s">
        <v>49</v>
      </c>
      <c r="AE183" s="34" t="s">
        <v>17</v>
      </c>
      <c r="AF183" s="106" t="s">
        <v>16</v>
      </c>
      <c r="AG183" s="106" t="s">
        <v>15</v>
      </c>
      <c r="AH183" s="106" t="s">
        <v>14</v>
      </c>
      <c r="AI183" s="106" t="s">
        <v>13</v>
      </c>
      <c r="AJ183" s="106" t="s">
        <v>12</v>
      </c>
      <c r="AK183" s="116" t="s">
        <v>11</v>
      </c>
      <c r="AL183" s="118" t="s">
        <v>10</v>
      </c>
      <c r="AM183" s="120" t="s">
        <v>9</v>
      </c>
      <c r="AN183" s="35">
        <f>(1-O185/E185)</f>
        <v>0.21318735391807109</v>
      </c>
      <c r="AO183" s="35">
        <f>1-(AH185+AQ185)/E185</f>
        <v>0.18865783245171608</v>
      </c>
      <c r="AQ183" s="106" t="s">
        <v>8</v>
      </c>
      <c r="AR183" s="106" t="s">
        <v>7</v>
      </c>
      <c r="AS183" s="106" t="s">
        <v>37</v>
      </c>
      <c r="AT183" s="106" t="s">
        <v>38</v>
      </c>
      <c r="AU183" s="106" t="s">
        <v>6</v>
      </c>
      <c r="AV183" s="106" t="s">
        <v>5</v>
      </c>
      <c r="AX183" s="106" t="s">
        <v>4</v>
      </c>
      <c r="AY183" s="106" t="s">
        <v>3</v>
      </c>
      <c r="AZ183" s="106" t="s">
        <v>2</v>
      </c>
      <c r="BA183" s="106" t="s">
        <v>1</v>
      </c>
      <c r="BC183" s="106"/>
      <c r="BD183" s="108"/>
      <c r="BE183" s="52"/>
      <c r="BF183" s="106"/>
    </row>
    <row r="184" spans="1:58" ht="27" customHeight="1" x14ac:dyDescent="0.3">
      <c r="A184" s="154" t="s">
        <v>164</v>
      </c>
      <c r="B184" s="134"/>
      <c r="C184" s="134"/>
      <c r="D184" s="117"/>
      <c r="E184" s="31">
        <v>0</v>
      </c>
      <c r="F184" s="33">
        <v>0.09</v>
      </c>
      <c r="G184" s="32">
        <v>1000000</v>
      </c>
      <c r="H184" s="31">
        <v>1</v>
      </c>
      <c r="I184" s="32">
        <v>0</v>
      </c>
      <c r="J184" s="31">
        <v>1</v>
      </c>
      <c r="K184" s="32">
        <v>130000</v>
      </c>
      <c r="L184" s="31">
        <v>7.0000000000000007E-2</v>
      </c>
      <c r="M184" s="32">
        <v>150000</v>
      </c>
      <c r="N184" s="107"/>
      <c r="O184" s="152"/>
      <c r="P184" s="31">
        <v>0.02</v>
      </c>
      <c r="Q184" s="32">
        <v>1000000</v>
      </c>
      <c r="R184" s="31">
        <v>0.05</v>
      </c>
      <c r="S184" s="32">
        <v>10000</v>
      </c>
      <c r="T184" s="31">
        <v>0.02</v>
      </c>
      <c r="U184" s="32">
        <v>60000</v>
      </c>
      <c r="V184" s="159"/>
      <c r="W184" s="21"/>
      <c r="X184" s="31">
        <f>IF(C185="노트북",7%,IF(C185="저장&amp;주변기기",9%,IF(C185="모니터",7%)))</f>
        <v>7.0000000000000007E-2</v>
      </c>
      <c r="Y184" s="31">
        <v>0</v>
      </c>
      <c r="Z184" s="31">
        <v>0.03</v>
      </c>
      <c r="AA184" s="31">
        <f>IF(F184=0%,20%,0%)</f>
        <v>0</v>
      </c>
      <c r="AB184" s="30">
        <v>0</v>
      </c>
      <c r="AC184" s="30">
        <v>1</v>
      </c>
      <c r="AD184" s="53">
        <v>0.92307600000000001</v>
      </c>
      <c r="AE184" s="29">
        <v>0.5</v>
      </c>
      <c r="AF184" s="107"/>
      <c r="AG184" s="107"/>
      <c r="AH184" s="107"/>
      <c r="AI184" s="107"/>
      <c r="AJ184" s="107"/>
      <c r="AK184" s="117"/>
      <c r="AL184" s="119"/>
      <c r="AM184" s="121"/>
      <c r="AN184" s="55" t="s">
        <v>52</v>
      </c>
      <c r="AO184" s="56">
        <f>AN183-AO183</f>
        <v>2.4529521466355009E-2</v>
      </c>
      <c r="AQ184" s="107"/>
      <c r="AR184" s="107"/>
      <c r="AS184" s="107"/>
      <c r="AT184" s="107"/>
      <c r="AU184" s="107"/>
      <c r="AV184" s="107"/>
      <c r="AW184" s="39"/>
      <c r="AX184" s="107"/>
      <c r="AY184" s="107"/>
      <c r="AZ184" s="107"/>
      <c r="BA184" s="107"/>
      <c r="BC184" s="107"/>
      <c r="BD184" s="109"/>
      <c r="BE184" s="52"/>
      <c r="BF184" s="107"/>
    </row>
    <row r="185" spans="1:58" ht="27" customHeight="1" x14ac:dyDescent="0.3">
      <c r="A185" s="51">
        <v>4692284484</v>
      </c>
      <c r="B185" s="38" t="s">
        <v>35</v>
      </c>
      <c r="C185" s="27" t="s">
        <v>0</v>
      </c>
      <c r="D185" s="25">
        <v>2032250</v>
      </c>
      <c r="E185" s="24">
        <f>ROUNDDOWN(D185/(1-E184),-1)</f>
        <v>2032250</v>
      </c>
      <c r="F185" s="110">
        <f>ROUNDDOWN(IF(E185*F184&gt;G184,G184,E185*F184),-1)</f>
        <v>182900</v>
      </c>
      <c r="G185" s="111"/>
      <c r="H185" s="112">
        <f>ROUNDDOWN(IF(E185*H184&gt;I184,I184,E185*H184),-1)</f>
        <v>0</v>
      </c>
      <c r="I185" s="113"/>
      <c r="J185" s="112">
        <f>ROUNDDOWN(IF(E185*J184&gt;K184,K184,E185*J184),-1)</f>
        <v>130000</v>
      </c>
      <c r="K185" s="113"/>
      <c r="L185" s="110">
        <f>ROUNDDOWN(IF(N185*L184&gt;M184,M184,N185*L184),-1)</f>
        <v>120350</v>
      </c>
      <c r="M185" s="111"/>
      <c r="N185" s="23">
        <f>E185-F185-H185-J185</f>
        <v>1719350</v>
      </c>
      <c r="O185" s="22">
        <f>E185-F185-H185-J185-L185</f>
        <v>1599000</v>
      </c>
      <c r="P185" s="110">
        <f>ROUNDDOWN(IF(N185*P184&gt;Q184,Q184,N185*P184),-1)</f>
        <v>34380</v>
      </c>
      <c r="Q185" s="111"/>
      <c r="R185" s="110">
        <f>ROUNDDOWN(IF(N185*R184&gt;S184,S184,N185*R184),-1)</f>
        <v>10000</v>
      </c>
      <c r="S185" s="111"/>
      <c r="T185" s="110">
        <f>ROUNDDOWN(IF(N185*T184&gt;U184,U184,N185*T184),-1)</f>
        <v>34380</v>
      </c>
      <c r="U185" s="111"/>
      <c r="V185" s="158">
        <f>O185-P185-R185-T185</f>
        <v>1520240</v>
      </c>
      <c r="W185" s="21"/>
      <c r="X185" s="20">
        <f>E185*X184</f>
        <v>142257.5</v>
      </c>
      <c r="Y185" s="20">
        <f>E185*Y184</f>
        <v>0</v>
      </c>
      <c r="Z185" s="20">
        <f>(E185-H185)*Z184</f>
        <v>60967.5</v>
      </c>
      <c r="AA185" s="19">
        <f>(E185*E184)*AA184</f>
        <v>0</v>
      </c>
      <c r="AB185" s="19">
        <f>F185*AB184</f>
        <v>0</v>
      </c>
      <c r="AC185" s="19">
        <f>H185*AC184</f>
        <v>0</v>
      </c>
      <c r="AD185" s="19">
        <f>J185*AD184</f>
        <v>119999.88</v>
      </c>
      <c r="AE185" s="19">
        <f>L185*AE184</f>
        <v>60175</v>
      </c>
      <c r="AF185" s="19">
        <v>0</v>
      </c>
      <c r="AG185" s="16">
        <v>6000</v>
      </c>
      <c r="AH185" s="18">
        <f>E185-X185-Y185-Z185-AA185-AE185-AB185-AC185-AD185-AF185</f>
        <v>1648850.12</v>
      </c>
      <c r="AI185" s="18">
        <f>E185-X185-Y185-Z185-AA185-AB185-AC185-AD185-AE185-AF185-AG185</f>
        <v>1642850.12</v>
      </c>
      <c r="AJ185" s="17">
        <f>AI185-AK185</f>
        <v>16850.120000000112</v>
      </c>
      <c r="AK185" s="16">
        <v>1626000</v>
      </c>
      <c r="AL185" s="15">
        <f>AJ185/AK185</f>
        <v>1.0362927429274362E-2</v>
      </c>
      <c r="AM185" s="14">
        <f>1-O185/(AK185-AQ185-AR185-AS185)</f>
        <v>1.6605166051660514E-2</v>
      </c>
      <c r="AN185" s="114">
        <f>(1-O185/E185)-(1-(AH185)/E185)</f>
        <v>2.4529521466355009E-2</v>
      </c>
      <c r="AO185" s="115"/>
      <c r="AQ185" s="13"/>
      <c r="AR185" s="12"/>
      <c r="AS185" s="12"/>
      <c r="AT185" s="12"/>
      <c r="AU185" s="11">
        <f>AI185-(AK185-AQ185-AR185-AS185-AT185)</f>
        <v>16850.120000000112</v>
      </c>
      <c r="AV185" s="8">
        <f>AU185/AK185</f>
        <v>1.0362927429274362E-2</v>
      </c>
      <c r="AX185" s="10">
        <v>0</v>
      </c>
      <c r="AY185" s="10">
        <v>0</v>
      </c>
      <c r="AZ185" s="9">
        <f>AU185-AX185-AY185</f>
        <v>16850.120000000112</v>
      </c>
      <c r="BA185" s="8">
        <f>AZ185/AK185</f>
        <v>1.0362927429274362E-2</v>
      </c>
      <c r="BC185" s="7"/>
      <c r="BD185" s="50"/>
      <c r="BE185" s="52"/>
      <c r="BF185" s="7"/>
    </row>
    <row r="186" spans="1:58" ht="16.5" customHeight="1" x14ac:dyDescent="0.3">
      <c r="D186" s="5">
        <v>1749000</v>
      </c>
      <c r="E186" s="4">
        <f>ROUNDDOWN(D186/(1-E184),-1)</f>
        <v>1749000</v>
      </c>
      <c r="F186" s="138">
        <f>E185-F185</f>
        <v>1849350</v>
      </c>
      <c r="G186" s="138"/>
      <c r="H186" s="157">
        <f>E185-F185-H185</f>
        <v>1849350</v>
      </c>
      <c r="I186" s="157"/>
      <c r="K186" s="21"/>
      <c r="O186" s="4"/>
      <c r="P186" s="162">
        <f>SUM(P185:U185)</f>
        <v>78760</v>
      </c>
      <c r="Q186" s="163"/>
      <c r="R186" s="163"/>
      <c r="S186" s="163"/>
      <c r="T186" s="163"/>
      <c r="U186" s="164"/>
      <c r="V186" s="4"/>
      <c r="AB186" s="3">
        <f>F186*AB184</f>
        <v>0</v>
      </c>
      <c r="AC186" s="3"/>
      <c r="AD186" s="3"/>
      <c r="AK186" s="57"/>
    </row>
    <row r="187" spans="1:58" ht="16.5" customHeight="1" x14ac:dyDescent="0.3">
      <c r="D187" s="5"/>
      <c r="E187" s="4"/>
      <c r="F187" s="42"/>
      <c r="G187" s="42"/>
      <c r="I187" s="54"/>
      <c r="K187" s="21"/>
      <c r="O187" s="4"/>
      <c r="P187" s="4"/>
      <c r="Q187" s="4"/>
      <c r="R187" s="4"/>
      <c r="S187" s="4"/>
      <c r="T187" s="4"/>
      <c r="U187" s="4"/>
      <c r="V187" s="4"/>
      <c r="AB187" s="3"/>
      <c r="AC187" s="3"/>
      <c r="AD187" s="3"/>
      <c r="AK187" s="57"/>
    </row>
    <row r="189" spans="1:58" ht="27" customHeight="1" x14ac:dyDescent="0.3">
      <c r="A189" s="153" t="s">
        <v>34</v>
      </c>
      <c r="B189" s="127" t="s">
        <v>130</v>
      </c>
      <c r="C189" s="128"/>
      <c r="D189" s="128"/>
      <c r="E189" s="128"/>
      <c r="F189" s="128"/>
      <c r="G189" s="128"/>
      <c r="H189" s="128"/>
      <c r="I189" s="128"/>
      <c r="J189" s="128"/>
      <c r="K189" s="128"/>
      <c r="L189" s="128"/>
      <c r="M189" s="156"/>
      <c r="N189" s="127" t="s">
        <v>141</v>
      </c>
      <c r="O189" s="156"/>
      <c r="P189" s="127" t="s">
        <v>167</v>
      </c>
      <c r="Q189" s="128"/>
      <c r="R189" s="128"/>
      <c r="S189" s="128"/>
      <c r="T189" s="128"/>
      <c r="U189" s="128"/>
      <c r="V189" s="156"/>
      <c r="X189" s="130" t="s">
        <v>33</v>
      </c>
      <c r="Y189" s="131"/>
      <c r="Z189" s="131"/>
      <c r="AA189" s="131"/>
      <c r="AB189" s="131"/>
      <c r="AC189" s="131"/>
      <c r="AD189" s="131"/>
      <c r="AE189" s="131"/>
      <c r="AF189" s="131"/>
      <c r="AG189" s="131"/>
      <c r="AH189" s="131"/>
      <c r="AI189" s="131"/>
      <c r="AJ189" s="131"/>
      <c r="AK189" s="131"/>
      <c r="AL189" s="132"/>
      <c r="AM189" s="37"/>
      <c r="AQ189" s="130" t="s">
        <v>32</v>
      </c>
      <c r="AR189" s="131"/>
      <c r="AS189" s="131"/>
      <c r="AT189" s="131"/>
      <c r="AU189" s="131"/>
      <c r="AV189" s="132"/>
      <c r="AX189" s="130" t="s">
        <v>31</v>
      </c>
      <c r="AY189" s="131"/>
      <c r="AZ189" s="131"/>
      <c r="BA189" s="132"/>
      <c r="BC189" s="36" t="s">
        <v>36</v>
      </c>
      <c r="BD189" s="48"/>
      <c r="BE189" s="52"/>
      <c r="BF189" s="36"/>
    </row>
    <row r="190" spans="1:58" ht="32.25" customHeight="1" x14ac:dyDescent="0.3">
      <c r="A190" s="153"/>
      <c r="B190" s="133" t="s">
        <v>30</v>
      </c>
      <c r="C190" s="133" t="s">
        <v>29</v>
      </c>
      <c r="D190" s="116" t="s">
        <v>27</v>
      </c>
      <c r="E190" s="34" t="s">
        <v>26</v>
      </c>
      <c r="F190" s="122" t="s">
        <v>63</v>
      </c>
      <c r="G190" s="123"/>
      <c r="H190" s="122" t="s">
        <v>50</v>
      </c>
      <c r="I190" s="123"/>
      <c r="J190" s="122" t="s">
        <v>146</v>
      </c>
      <c r="K190" s="123"/>
      <c r="L190" s="122" t="s">
        <v>25</v>
      </c>
      <c r="M190" s="123"/>
      <c r="N190" s="106" t="s">
        <v>23</v>
      </c>
      <c r="O190" s="151" t="s">
        <v>137</v>
      </c>
      <c r="P190" s="122" t="s">
        <v>136</v>
      </c>
      <c r="Q190" s="123"/>
      <c r="R190" s="122" t="s">
        <v>143</v>
      </c>
      <c r="S190" s="123"/>
      <c r="T190" s="122" t="s">
        <v>144</v>
      </c>
      <c r="U190" s="123"/>
      <c r="V190" s="159" t="s">
        <v>142</v>
      </c>
      <c r="W190" s="21"/>
      <c r="X190" s="34" t="s">
        <v>21</v>
      </c>
      <c r="Y190" s="34" t="s">
        <v>20</v>
      </c>
      <c r="Z190" s="34" t="s">
        <v>95</v>
      </c>
      <c r="AA190" s="34" t="s">
        <v>19</v>
      </c>
      <c r="AB190" s="34" t="s">
        <v>18</v>
      </c>
      <c r="AC190" s="34" t="s">
        <v>48</v>
      </c>
      <c r="AD190" s="34" t="s">
        <v>49</v>
      </c>
      <c r="AE190" s="34" t="s">
        <v>17</v>
      </c>
      <c r="AF190" s="106" t="s">
        <v>16</v>
      </c>
      <c r="AG190" s="106" t="s">
        <v>15</v>
      </c>
      <c r="AH190" s="106" t="s">
        <v>14</v>
      </c>
      <c r="AI190" s="106" t="s">
        <v>13</v>
      </c>
      <c r="AJ190" s="106" t="s">
        <v>12</v>
      </c>
      <c r="AK190" s="116" t="s">
        <v>11</v>
      </c>
      <c r="AL190" s="118" t="s">
        <v>10</v>
      </c>
      <c r="AM190" s="120" t="s">
        <v>9</v>
      </c>
      <c r="AN190" s="35">
        <f>(1-O192/E192)</f>
        <v>0.23119281599457808</v>
      </c>
      <c r="AO190" s="35">
        <f>1-(AH192+AQ192)/E192</f>
        <v>0.20942609849768434</v>
      </c>
      <c r="AQ190" s="106" t="s">
        <v>8</v>
      </c>
      <c r="AR190" s="106" t="s">
        <v>7</v>
      </c>
      <c r="AS190" s="106" t="s">
        <v>37</v>
      </c>
      <c r="AT190" s="106" t="s">
        <v>38</v>
      </c>
      <c r="AU190" s="106" t="s">
        <v>6</v>
      </c>
      <c r="AV190" s="106" t="s">
        <v>5</v>
      </c>
      <c r="AX190" s="106" t="s">
        <v>4</v>
      </c>
      <c r="AY190" s="106" t="s">
        <v>3</v>
      </c>
      <c r="AZ190" s="106" t="s">
        <v>2</v>
      </c>
      <c r="BA190" s="106" t="s">
        <v>1</v>
      </c>
      <c r="BC190" s="106"/>
      <c r="BD190" s="108"/>
      <c r="BE190" s="52"/>
      <c r="BF190" s="106"/>
    </row>
    <row r="191" spans="1:58" ht="27" customHeight="1" x14ac:dyDescent="0.3">
      <c r="A191" s="154" t="s">
        <v>165</v>
      </c>
      <c r="B191" s="134"/>
      <c r="C191" s="134"/>
      <c r="D191" s="117"/>
      <c r="E191" s="31">
        <v>0</v>
      </c>
      <c r="F191" s="33">
        <v>0.09</v>
      </c>
      <c r="G191" s="32">
        <v>1000000</v>
      </c>
      <c r="H191" s="31">
        <v>1</v>
      </c>
      <c r="I191" s="32">
        <v>0</v>
      </c>
      <c r="J191" s="31">
        <v>1</v>
      </c>
      <c r="K191" s="32">
        <v>130000</v>
      </c>
      <c r="L191" s="31">
        <v>7.0000000000000007E-2</v>
      </c>
      <c r="M191" s="32">
        <v>70000</v>
      </c>
      <c r="N191" s="107"/>
      <c r="O191" s="152"/>
      <c r="P191" s="31">
        <v>0.02</v>
      </c>
      <c r="Q191" s="32">
        <v>1000000</v>
      </c>
      <c r="R191" s="31">
        <v>0.05</v>
      </c>
      <c r="S191" s="32">
        <v>10000</v>
      </c>
      <c r="T191" s="31">
        <v>0.02</v>
      </c>
      <c r="U191" s="32">
        <v>60000</v>
      </c>
      <c r="V191" s="159"/>
      <c r="W191" s="21"/>
      <c r="X191" s="31">
        <f>IF(C192="노트북",7%,IF(C192="저장&amp;주변기기",9%,IF(C192="모니터",7%)))</f>
        <v>7.0000000000000007E-2</v>
      </c>
      <c r="Y191" s="31">
        <v>0</v>
      </c>
      <c r="Z191" s="31">
        <v>0.03</v>
      </c>
      <c r="AA191" s="31">
        <f>IF(F191=0%,20%,0%)</f>
        <v>0</v>
      </c>
      <c r="AB191" s="30">
        <v>0</v>
      </c>
      <c r="AC191" s="30">
        <v>1</v>
      </c>
      <c r="AD191" s="53">
        <v>0.92307600000000001</v>
      </c>
      <c r="AE191" s="29">
        <v>0.5</v>
      </c>
      <c r="AF191" s="107"/>
      <c r="AG191" s="107"/>
      <c r="AH191" s="107"/>
      <c r="AI191" s="107"/>
      <c r="AJ191" s="107"/>
      <c r="AK191" s="117"/>
      <c r="AL191" s="119"/>
      <c r="AM191" s="121"/>
      <c r="AN191" s="55" t="s">
        <v>52</v>
      </c>
      <c r="AO191" s="56">
        <f>AN190-AO190</f>
        <v>2.1766717496893739E-2</v>
      </c>
      <c r="AQ191" s="107"/>
      <c r="AR191" s="107"/>
      <c r="AS191" s="107"/>
      <c r="AT191" s="107"/>
      <c r="AU191" s="107"/>
      <c r="AV191" s="107"/>
      <c r="AW191" s="39"/>
      <c r="AX191" s="107"/>
      <c r="AY191" s="107"/>
      <c r="AZ191" s="107"/>
      <c r="BA191" s="107"/>
      <c r="BC191" s="107"/>
      <c r="BD191" s="109"/>
      <c r="BE191" s="52"/>
      <c r="BF191" s="107"/>
    </row>
    <row r="192" spans="1:58" ht="27" customHeight="1" x14ac:dyDescent="0.3">
      <c r="A192" s="51">
        <v>4503257150</v>
      </c>
      <c r="B192" s="38" t="s">
        <v>35</v>
      </c>
      <c r="C192" s="27" t="s">
        <v>0</v>
      </c>
      <c r="D192" s="25">
        <v>1416480</v>
      </c>
      <c r="E192" s="24">
        <f>ROUNDDOWN(D192/(1-E191),-1)</f>
        <v>1416480</v>
      </c>
      <c r="F192" s="110">
        <f>ROUNDDOWN(IF(E192*F191&gt;G191,G191,E192*F191),-1)</f>
        <v>127480</v>
      </c>
      <c r="G192" s="111"/>
      <c r="H192" s="112">
        <f>ROUNDDOWN(IF(E192*H191&gt;I191,I191,E192*H191),-1)</f>
        <v>0</v>
      </c>
      <c r="I192" s="113"/>
      <c r="J192" s="112">
        <f>ROUNDDOWN(IF(E192*J191&gt;K191,K191,E192*J191),-1)</f>
        <v>130000</v>
      </c>
      <c r="K192" s="113"/>
      <c r="L192" s="110">
        <f>ROUNDDOWN(IF(N192*L191&gt;M191,M191,N192*L191),-1)</f>
        <v>70000</v>
      </c>
      <c r="M192" s="111"/>
      <c r="N192" s="23">
        <f>E192-F192-H192-J192</f>
        <v>1159000</v>
      </c>
      <c r="O192" s="22">
        <f>E192-F192-H192-J192-L192</f>
        <v>1089000</v>
      </c>
      <c r="P192" s="110">
        <f>ROUNDDOWN(IF(N192*P191&gt;Q191,Q191,N192*P191),-1)</f>
        <v>23180</v>
      </c>
      <c r="Q192" s="111"/>
      <c r="R192" s="110">
        <f>ROUNDDOWN(IF(N192*R191&gt;S191,S191,N192*R191),-1)</f>
        <v>10000</v>
      </c>
      <c r="S192" s="111"/>
      <c r="T192" s="110">
        <f>ROUNDDOWN(IF(N192*T191&gt;U191,U191,N192*T191),-1)</f>
        <v>23180</v>
      </c>
      <c r="U192" s="111"/>
      <c r="V192" s="158">
        <f>O192-P192-R192-T192</f>
        <v>1032640</v>
      </c>
      <c r="W192" s="21"/>
      <c r="X192" s="20">
        <f>E192*X191</f>
        <v>99153.600000000006</v>
      </c>
      <c r="Y192" s="20">
        <f>E192*Y191</f>
        <v>0</v>
      </c>
      <c r="Z192" s="20">
        <f>(E192-H192)*Z191</f>
        <v>42494.400000000001</v>
      </c>
      <c r="AA192" s="19">
        <f>(E192*E191)*AA191</f>
        <v>0</v>
      </c>
      <c r="AB192" s="19">
        <f>F192*AB191</f>
        <v>0</v>
      </c>
      <c r="AC192" s="19">
        <f>H192*AC191</f>
        <v>0</v>
      </c>
      <c r="AD192" s="19">
        <f>J192*AD191</f>
        <v>119999.88</v>
      </c>
      <c r="AE192" s="19">
        <f>L192*AE191</f>
        <v>35000</v>
      </c>
      <c r="AF192" s="19">
        <v>0</v>
      </c>
      <c r="AG192" s="16">
        <v>6000</v>
      </c>
      <c r="AH192" s="18">
        <f>E192-X192-Y192-Z192-AA192-AE192-AB192-AC192-AD192-AF192</f>
        <v>1119832.1200000001</v>
      </c>
      <c r="AI192" s="18">
        <f>E192-X192-Y192-Z192-AA192-AB192-AC192-AD192-AE192-AF192-AG192</f>
        <v>1113832.1200000001</v>
      </c>
      <c r="AJ192" s="17">
        <f>AI192-AK192</f>
        <v>170832.12000000011</v>
      </c>
      <c r="AK192" s="16">
        <v>943000</v>
      </c>
      <c r="AL192" s="15">
        <f>AJ192/AK192</f>
        <v>0.18115813361611888</v>
      </c>
      <c r="AM192" s="14">
        <f>1-O192/(AK192-AQ192-AR192-AS192)</f>
        <v>-0.15482502651113461</v>
      </c>
      <c r="AN192" s="114">
        <f>(1-O192/E192)-(1-(AH192)/E192)</f>
        <v>2.1766717496893739E-2</v>
      </c>
      <c r="AO192" s="115"/>
      <c r="AQ192" s="13"/>
      <c r="AR192" s="12"/>
      <c r="AS192" s="12"/>
      <c r="AT192" s="12"/>
      <c r="AU192" s="11">
        <f>AI192-(AK192-AQ192-AR192-AS192-AT192)</f>
        <v>170832.12000000011</v>
      </c>
      <c r="AV192" s="8">
        <f>AU192/AK192</f>
        <v>0.18115813361611888</v>
      </c>
      <c r="AX192" s="10">
        <v>0</v>
      </c>
      <c r="AY192" s="10">
        <v>0</v>
      </c>
      <c r="AZ192" s="9">
        <f>AU192-AX192-AY192</f>
        <v>170832.12000000011</v>
      </c>
      <c r="BA192" s="8">
        <f>AZ192/AK192</f>
        <v>0.18115813361611888</v>
      </c>
      <c r="BC192" s="7"/>
      <c r="BD192" s="50"/>
      <c r="BE192" s="52"/>
      <c r="BF192" s="7"/>
    </row>
    <row r="193" spans="1:58" ht="16.5" customHeight="1" x14ac:dyDescent="0.3">
      <c r="D193" s="5">
        <v>1149000</v>
      </c>
      <c r="E193" s="4">
        <f>ROUNDDOWN(D193/(1-E191),-1)</f>
        <v>1149000</v>
      </c>
      <c r="F193" s="138">
        <f>E192-F192</f>
        <v>1289000</v>
      </c>
      <c r="G193" s="138"/>
      <c r="H193" s="157">
        <f>E192-F192-H192</f>
        <v>1289000</v>
      </c>
      <c r="I193" s="157"/>
      <c r="O193" s="4"/>
      <c r="P193" s="162">
        <f>SUM(P192:U192)</f>
        <v>56360</v>
      </c>
      <c r="Q193" s="163"/>
      <c r="R193" s="163"/>
      <c r="S193" s="163"/>
      <c r="T193" s="163"/>
      <c r="U193" s="164"/>
      <c r="V193" s="4"/>
      <c r="AB193" s="3">
        <f>F193*AB191</f>
        <v>0</v>
      </c>
      <c r="AC193" s="3"/>
      <c r="AD193" s="3"/>
      <c r="AK193" s="57"/>
    </row>
    <row r="194" spans="1:58" ht="16.5" customHeight="1" x14ac:dyDescent="0.3">
      <c r="D194" s="5"/>
      <c r="E194" s="4"/>
      <c r="F194" s="42"/>
      <c r="G194" s="42"/>
      <c r="I194" s="54"/>
      <c r="O194" s="4"/>
      <c r="P194" s="4"/>
      <c r="Q194" s="4"/>
      <c r="R194" s="4"/>
      <c r="S194" s="4"/>
      <c r="T194" s="4"/>
      <c r="U194" s="4"/>
      <c r="V194" s="4"/>
      <c r="AB194" s="3"/>
      <c r="AC194" s="3"/>
      <c r="AD194" s="3"/>
      <c r="AK194" s="57"/>
    </row>
    <row r="196" spans="1:58" ht="27" customHeight="1" x14ac:dyDescent="0.3">
      <c r="A196" s="153" t="s">
        <v>34</v>
      </c>
      <c r="B196" s="127" t="s">
        <v>130</v>
      </c>
      <c r="C196" s="128"/>
      <c r="D196" s="128"/>
      <c r="E196" s="128"/>
      <c r="F196" s="128"/>
      <c r="G196" s="128"/>
      <c r="H196" s="128"/>
      <c r="I196" s="128"/>
      <c r="J196" s="128"/>
      <c r="K196" s="128"/>
      <c r="L196" s="128"/>
      <c r="M196" s="156"/>
      <c r="N196" s="127" t="s">
        <v>141</v>
      </c>
      <c r="O196" s="156"/>
      <c r="P196" s="127" t="s">
        <v>167</v>
      </c>
      <c r="Q196" s="128"/>
      <c r="R196" s="128"/>
      <c r="S196" s="128"/>
      <c r="T196" s="128"/>
      <c r="U196" s="128"/>
      <c r="V196" s="156"/>
      <c r="X196" s="130" t="s">
        <v>33</v>
      </c>
      <c r="Y196" s="131"/>
      <c r="Z196" s="131"/>
      <c r="AA196" s="131"/>
      <c r="AB196" s="131"/>
      <c r="AC196" s="131"/>
      <c r="AD196" s="131"/>
      <c r="AE196" s="131"/>
      <c r="AF196" s="131"/>
      <c r="AG196" s="131"/>
      <c r="AH196" s="131"/>
      <c r="AI196" s="131"/>
      <c r="AJ196" s="131"/>
      <c r="AK196" s="131"/>
      <c r="AL196" s="132"/>
      <c r="AM196" s="37"/>
      <c r="AQ196" s="130" t="s">
        <v>32</v>
      </c>
      <c r="AR196" s="131"/>
      <c r="AS196" s="131"/>
      <c r="AT196" s="131"/>
      <c r="AU196" s="131"/>
      <c r="AV196" s="132"/>
      <c r="AX196" s="130" t="s">
        <v>31</v>
      </c>
      <c r="AY196" s="131"/>
      <c r="AZ196" s="131"/>
      <c r="BA196" s="132"/>
      <c r="BC196" s="36" t="s">
        <v>36</v>
      </c>
      <c r="BD196" s="48"/>
      <c r="BE196" s="52"/>
      <c r="BF196" s="36"/>
    </row>
    <row r="197" spans="1:58" ht="32.25" customHeight="1" x14ac:dyDescent="0.3">
      <c r="A197" s="153"/>
      <c r="B197" s="133" t="s">
        <v>30</v>
      </c>
      <c r="C197" s="133" t="s">
        <v>29</v>
      </c>
      <c r="D197" s="116" t="s">
        <v>27</v>
      </c>
      <c r="E197" s="34" t="s">
        <v>26</v>
      </c>
      <c r="F197" s="122" t="s">
        <v>63</v>
      </c>
      <c r="G197" s="123"/>
      <c r="H197" s="122" t="s">
        <v>50</v>
      </c>
      <c r="I197" s="123"/>
      <c r="J197" s="122" t="s">
        <v>146</v>
      </c>
      <c r="K197" s="123"/>
      <c r="L197" s="122" t="s">
        <v>25</v>
      </c>
      <c r="M197" s="123"/>
      <c r="N197" s="106" t="s">
        <v>23</v>
      </c>
      <c r="O197" s="151" t="s">
        <v>137</v>
      </c>
      <c r="P197" s="122" t="s">
        <v>136</v>
      </c>
      <c r="Q197" s="123"/>
      <c r="R197" s="122" t="s">
        <v>143</v>
      </c>
      <c r="S197" s="123"/>
      <c r="T197" s="122" t="s">
        <v>144</v>
      </c>
      <c r="U197" s="123"/>
      <c r="V197" s="159" t="s">
        <v>142</v>
      </c>
      <c r="W197" s="21"/>
      <c r="X197" s="34" t="s">
        <v>21</v>
      </c>
      <c r="Y197" s="34" t="s">
        <v>20</v>
      </c>
      <c r="Z197" s="34" t="s">
        <v>95</v>
      </c>
      <c r="AA197" s="34" t="s">
        <v>19</v>
      </c>
      <c r="AB197" s="34" t="s">
        <v>18</v>
      </c>
      <c r="AC197" s="34" t="s">
        <v>48</v>
      </c>
      <c r="AD197" s="34" t="s">
        <v>49</v>
      </c>
      <c r="AE197" s="34" t="s">
        <v>17</v>
      </c>
      <c r="AF197" s="106" t="s">
        <v>16</v>
      </c>
      <c r="AG197" s="106" t="s">
        <v>15</v>
      </c>
      <c r="AH197" s="106" t="s">
        <v>14</v>
      </c>
      <c r="AI197" s="106" t="s">
        <v>13</v>
      </c>
      <c r="AJ197" s="106" t="s">
        <v>12</v>
      </c>
      <c r="AK197" s="116" t="s">
        <v>11</v>
      </c>
      <c r="AL197" s="118" t="s">
        <v>10</v>
      </c>
      <c r="AM197" s="120" t="s">
        <v>9</v>
      </c>
      <c r="AN197" s="35">
        <f>(1-O199/E199)</f>
        <v>0.22575338546633605</v>
      </c>
      <c r="AO197" s="35">
        <f>1-(AH199+AQ199)/E199</f>
        <v>0.20066092885752429</v>
      </c>
      <c r="AQ197" s="106" t="s">
        <v>8</v>
      </c>
      <c r="AR197" s="106" t="s">
        <v>7</v>
      </c>
      <c r="AS197" s="106" t="s">
        <v>37</v>
      </c>
      <c r="AT197" s="106" t="s">
        <v>38</v>
      </c>
      <c r="AU197" s="106" t="s">
        <v>6</v>
      </c>
      <c r="AV197" s="106" t="s">
        <v>5</v>
      </c>
      <c r="AX197" s="106" t="s">
        <v>4</v>
      </c>
      <c r="AY197" s="106" t="s">
        <v>3</v>
      </c>
      <c r="AZ197" s="106" t="s">
        <v>2</v>
      </c>
      <c r="BA197" s="106" t="s">
        <v>1</v>
      </c>
      <c r="BC197" s="106"/>
      <c r="BD197" s="108"/>
      <c r="BE197" s="52"/>
      <c r="BF197" s="106"/>
    </row>
    <row r="198" spans="1:58" ht="27" customHeight="1" x14ac:dyDescent="0.3">
      <c r="A198" s="154" t="s">
        <v>166</v>
      </c>
      <c r="B198" s="134"/>
      <c r="C198" s="134"/>
      <c r="D198" s="117"/>
      <c r="E198" s="31">
        <v>0</v>
      </c>
      <c r="F198" s="33">
        <v>0.09</v>
      </c>
      <c r="G198" s="32">
        <v>1000000</v>
      </c>
      <c r="H198" s="31">
        <v>1</v>
      </c>
      <c r="I198" s="32">
        <v>0</v>
      </c>
      <c r="J198" s="31">
        <v>1</v>
      </c>
      <c r="K198" s="32">
        <v>130000</v>
      </c>
      <c r="L198" s="31">
        <v>7.0000000000000007E-2</v>
      </c>
      <c r="M198" s="32">
        <v>150000</v>
      </c>
      <c r="N198" s="107"/>
      <c r="O198" s="152"/>
      <c r="P198" s="31">
        <v>0.02</v>
      </c>
      <c r="Q198" s="32">
        <v>1000000</v>
      </c>
      <c r="R198" s="31">
        <v>0.05</v>
      </c>
      <c r="S198" s="32">
        <v>10000</v>
      </c>
      <c r="T198" s="31">
        <v>0.02</v>
      </c>
      <c r="U198" s="32">
        <v>60000</v>
      </c>
      <c r="V198" s="159"/>
      <c r="W198" s="21"/>
      <c r="X198" s="31">
        <f>IF(C199="노트북",7%,IF(C199="저장&amp;주변기기",9%,IF(C199="모니터",7%)))</f>
        <v>7.0000000000000007E-2</v>
      </c>
      <c r="Y198" s="31">
        <v>0</v>
      </c>
      <c r="Z198" s="31">
        <v>0.03</v>
      </c>
      <c r="AA198" s="31">
        <f>IF(F198=0%,20%,0%)</f>
        <v>0</v>
      </c>
      <c r="AB198" s="30">
        <v>0</v>
      </c>
      <c r="AC198" s="30">
        <v>1</v>
      </c>
      <c r="AD198" s="53">
        <v>0.92307600000000001</v>
      </c>
      <c r="AE198" s="29">
        <v>0.5</v>
      </c>
      <c r="AF198" s="107"/>
      <c r="AG198" s="107"/>
      <c r="AH198" s="107"/>
      <c r="AI198" s="107"/>
      <c r="AJ198" s="107"/>
      <c r="AK198" s="117"/>
      <c r="AL198" s="119"/>
      <c r="AM198" s="121"/>
      <c r="AN198" s="55" t="s">
        <v>52</v>
      </c>
      <c r="AO198" s="56">
        <f>AN197-AO197</f>
        <v>2.5092456608811764E-2</v>
      </c>
      <c r="AQ198" s="107"/>
      <c r="AR198" s="107"/>
      <c r="AS198" s="107"/>
      <c r="AT198" s="107"/>
      <c r="AU198" s="107"/>
      <c r="AV198" s="107"/>
      <c r="AW198" s="39"/>
      <c r="AX198" s="107"/>
      <c r="AY198" s="107"/>
      <c r="AZ198" s="107"/>
      <c r="BA198" s="107"/>
      <c r="BC198" s="107"/>
      <c r="BD198" s="109"/>
      <c r="BE198" s="52"/>
      <c r="BF198" s="107"/>
    </row>
    <row r="199" spans="1:58" ht="27" customHeight="1" x14ac:dyDescent="0.3">
      <c r="A199" s="51">
        <v>4503297392</v>
      </c>
      <c r="B199" s="38" t="s">
        <v>35</v>
      </c>
      <c r="C199" s="27" t="s">
        <v>0</v>
      </c>
      <c r="D199" s="25">
        <v>1677760</v>
      </c>
      <c r="E199" s="24">
        <f>ROUNDDOWN(D199/(1-E198),-1)</f>
        <v>1677760</v>
      </c>
      <c r="F199" s="110">
        <f>ROUNDDOWN(IF(E199*F198&gt;G198,G198,E199*F198),-1)</f>
        <v>150990</v>
      </c>
      <c r="G199" s="111"/>
      <c r="H199" s="112">
        <f>ROUNDDOWN(IF(E199*H198&gt;I198,I198,E199*H198),-1)</f>
        <v>0</v>
      </c>
      <c r="I199" s="113"/>
      <c r="J199" s="112">
        <f>ROUNDDOWN(IF(E199*J198&gt;K198,K198,E199*J198),-1)</f>
        <v>130000</v>
      </c>
      <c r="K199" s="113"/>
      <c r="L199" s="110">
        <f>ROUNDDOWN(IF(N199*L198&gt;M198,M198,N199*L198),-1)</f>
        <v>97770</v>
      </c>
      <c r="M199" s="111"/>
      <c r="N199" s="23">
        <f>E199-F199-H199-J199</f>
        <v>1396770</v>
      </c>
      <c r="O199" s="22">
        <f>E199-F199-H199-J199-L199</f>
        <v>1299000</v>
      </c>
      <c r="P199" s="110">
        <f>ROUNDDOWN(IF(N199*P198&gt;Q198,Q198,N199*P198),-1)</f>
        <v>27930</v>
      </c>
      <c r="Q199" s="111"/>
      <c r="R199" s="110">
        <f>ROUNDDOWN(IF(N199*R198&gt;S198,S198,N199*R198),-1)</f>
        <v>10000</v>
      </c>
      <c r="S199" s="111"/>
      <c r="T199" s="110">
        <f>ROUNDDOWN(IF(N199*T198&gt;U198,U198,N199*T198),-1)</f>
        <v>27930</v>
      </c>
      <c r="U199" s="111"/>
      <c r="V199" s="158">
        <f>O199-P199-R199-T199</f>
        <v>1233140</v>
      </c>
      <c r="W199" s="21"/>
      <c r="X199" s="20">
        <f>E199*X198</f>
        <v>117443.20000000001</v>
      </c>
      <c r="Y199" s="20">
        <f>E199*Y198</f>
        <v>0</v>
      </c>
      <c r="Z199" s="20">
        <f>(E199-H199)*Z198</f>
        <v>50332.799999999996</v>
      </c>
      <c r="AA199" s="19">
        <f>(E199*E198)*AA198</f>
        <v>0</v>
      </c>
      <c r="AB199" s="19">
        <f>F199*AB198</f>
        <v>0</v>
      </c>
      <c r="AC199" s="19">
        <f>H199*AC198</f>
        <v>0</v>
      </c>
      <c r="AD199" s="19">
        <f>J199*AD198</f>
        <v>119999.88</v>
      </c>
      <c r="AE199" s="19">
        <f>L199*AE198</f>
        <v>48885</v>
      </c>
      <c r="AF199" s="19">
        <v>0</v>
      </c>
      <c r="AG199" s="16">
        <v>6000</v>
      </c>
      <c r="AH199" s="18">
        <f>E199-X199-Y199-Z199-AA199-AE199-AB199-AC199-AD199-AF199</f>
        <v>1341099.1200000001</v>
      </c>
      <c r="AI199" s="18">
        <f>E199-X199-Y199-Z199-AA199-AB199-AC199-AD199-AE199-AF199-AG199</f>
        <v>1335099.1200000001</v>
      </c>
      <c r="AJ199" s="17">
        <f>AI199-AK199</f>
        <v>140099.12000000011</v>
      </c>
      <c r="AK199" s="16">
        <v>1195000</v>
      </c>
      <c r="AL199" s="15">
        <f>AJ199/AK199</f>
        <v>0.11723775732217583</v>
      </c>
      <c r="AM199" s="14">
        <f>1-O199/(AK199-AQ199-AR199-AS199)</f>
        <v>-8.702928870292892E-2</v>
      </c>
      <c r="AN199" s="114">
        <f>(1-O199/E199)-(1-(AH199)/E199)</f>
        <v>2.5092456608811764E-2</v>
      </c>
      <c r="AO199" s="115"/>
      <c r="AQ199" s="13"/>
      <c r="AR199" s="12"/>
      <c r="AS199" s="12"/>
      <c r="AT199" s="12"/>
      <c r="AU199" s="11">
        <f>AI199-(AK199-AQ199-AR199-AS199-AT199)</f>
        <v>140099.12000000011</v>
      </c>
      <c r="AV199" s="8">
        <f>AU199/AK199</f>
        <v>0.11723775732217583</v>
      </c>
      <c r="AX199" s="10">
        <v>0</v>
      </c>
      <c r="AY199" s="10">
        <v>0</v>
      </c>
      <c r="AZ199" s="9">
        <f>AU199-AX199-AY199</f>
        <v>140099.12000000011</v>
      </c>
      <c r="BA199" s="8">
        <f>AZ199/AK199</f>
        <v>0.11723775732217583</v>
      </c>
      <c r="BC199" s="7"/>
      <c r="BD199" s="50"/>
      <c r="BE199" s="52"/>
      <c r="BF199" s="7"/>
    </row>
    <row r="200" spans="1:58" ht="16.5" customHeight="1" x14ac:dyDescent="0.3">
      <c r="D200" s="5">
        <v>1299000</v>
      </c>
      <c r="E200" s="4">
        <f>ROUNDDOWN(D200/(1-E198),-1)</f>
        <v>1299000</v>
      </c>
      <c r="F200" s="138">
        <f>E199-F199</f>
        <v>1526770</v>
      </c>
      <c r="G200" s="138"/>
      <c r="H200" s="157">
        <f>E199-F199-H199</f>
        <v>1526770</v>
      </c>
      <c r="I200" s="157"/>
      <c r="O200" s="4"/>
      <c r="P200" s="162">
        <f>SUM(P199:U199)</f>
        <v>65860</v>
      </c>
      <c r="Q200" s="163"/>
      <c r="R200" s="163"/>
      <c r="S200" s="163"/>
      <c r="T200" s="163"/>
      <c r="U200" s="164"/>
      <c r="V200" s="4"/>
      <c r="AB200" s="3">
        <f>F200*AB198</f>
        <v>0</v>
      </c>
      <c r="AC200" s="3"/>
      <c r="AD200" s="3"/>
      <c r="AK200" s="57"/>
    </row>
  </sheetData>
  <mergeCells count="1305">
    <mergeCell ref="F200:G200"/>
    <mergeCell ref="H200:I200"/>
    <mergeCell ref="P200:U200"/>
    <mergeCell ref="BD197:BD198"/>
    <mergeCell ref="BF197:BF198"/>
    <mergeCell ref="F199:G199"/>
    <mergeCell ref="H199:I199"/>
    <mergeCell ref="J199:K199"/>
    <mergeCell ref="L199:M199"/>
    <mergeCell ref="P199:Q199"/>
    <mergeCell ref="R199:S199"/>
    <mergeCell ref="T199:U199"/>
    <mergeCell ref="AN199:AO199"/>
    <mergeCell ref="AV197:AV198"/>
    <mergeCell ref="AX197:AX198"/>
    <mergeCell ref="AY197:AY198"/>
    <mergeCell ref="AZ197:AZ198"/>
    <mergeCell ref="BA197:BA198"/>
    <mergeCell ref="BC197:BC198"/>
    <mergeCell ref="AM197:AM198"/>
    <mergeCell ref="AQ197:AQ198"/>
    <mergeCell ref="AR197:AR198"/>
    <mergeCell ref="AS197:AS198"/>
    <mergeCell ref="AT197:AT198"/>
    <mergeCell ref="AU197:AU198"/>
    <mergeCell ref="AG197:AG198"/>
    <mergeCell ref="AH197:AH198"/>
    <mergeCell ref="AI197:AI198"/>
    <mergeCell ref="AJ197:AJ198"/>
    <mergeCell ref="AK197:AK198"/>
    <mergeCell ref="AL197:AL198"/>
    <mergeCell ref="O197:O198"/>
    <mergeCell ref="P197:Q197"/>
    <mergeCell ref="R197:S197"/>
    <mergeCell ref="T197:U197"/>
    <mergeCell ref="V197:V198"/>
    <mergeCell ref="AF197:AF198"/>
    <mergeCell ref="AQ196:AV196"/>
    <mergeCell ref="AX196:BA196"/>
    <mergeCell ref="B197:B198"/>
    <mergeCell ref="C197:C198"/>
    <mergeCell ref="D197:D198"/>
    <mergeCell ref="F197:G197"/>
    <mergeCell ref="H197:I197"/>
    <mergeCell ref="J197:K197"/>
    <mergeCell ref="L197:M197"/>
    <mergeCell ref="N197:N198"/>
    <mergeCell ref="T192:U192"/>
    <mergeCell ref="AN192:AO192"/>
    <mergeCell ref="F193:G193"/>
    <mergeCell ref="H193:I193"/>
    <mergeCell ref="P193:U193"/>
    <mergeCell ref="A196:A197"/>
    <mergeCell ref="B196:M196"/>
    <mergeCell ref="N196:O196"/>
    <mergeCell ref="P196:V196"/>
    <mergeCell ref="X196:AL196"/>
    <mergeCell ref="F192:G192"/>
    <mergeCell ref="H192:I192"/>
    <mergeCell ref="J192:K192"/>
    <mergeCell ref="L192:M192"/>
    <mergeCell ref="P192:Q192"/>
    <mergeCell ref="R192:S192"/>
    <mergeCell ref="AY190:AY191"/>
    <mergeCell ref="AZ190:AZ191"/>
    <mergeCell ref="BA190:BA191"/>
    <mergeCell ref="BC190:BC191"/>
    <mergeCell ref="BD190:BD191"/>
    <mergeCell ref="BF190:BF191"/>
    <mergeCell ref="AR190:AR191"/>
    <mergeCell ref="AS190:AS191"/>
    <mergeCell ref="AT190:AT191"/>
    <mergeCell ref="AU190:AU191"/>
    <mergeCell ref="AV190:AV191"/>
    <mergeCell ref="AX190:AX191"/>
    <mergeCell ref="AI190:AI191"/>
    <mergeCell ref="AJ190:AJ191"/>
    <mergeCell ref="AK190:AK191"/>
    <mergeCell ref="AL190:AL191"/>
    <mergeCell ref="AM190:AM191"/>
    <mergeCell ref="AQ190:AQ191"/>
    <mergeCell ref="R190:S190"/>
    <mergeCell ref="T190:U190"/>
    <mergeCell ref="V190:V191"/>
    <mergeCell ref="AF190:AF191"/>
    <mergeCell ref="AG190:AG191"/>
    <mergeCell ref="AH190:AH191"/>
    <mergeCell ref="X189:AL189"/>
    <mergeCell ref="AQ189:AV189"/>
    <mergeCell ref="AX189:BA189"/>
    <mergeCell ref="B190:B191"/>
    <mergeCell ref="C190:C191"/>
    <mergeCell ref="D190:D191"/>
    <mergeCell ref="F190:G190"/>
    <mergeCell ref="H190:I190"/>
    <mergeCell ref="J190:K190"/>
    <mergeCell ref="L190:M190"/>
    <mergeCell ref="F186:G186"/>
    <mergeCell ref="H186:I186"/>
    <mergeCell ref="P186:U186"/>
    <mergeCell ref="A189:A190"/>
    <mergeCell ref="B189:M189"/>
    <mergeCell ref="N189:O189"/>
    <mergeCell ref="P189:V189"/>
    <mergeCell ref="N190:N191"/>
    <mergeCell ref="O190:O191"/>
    <mergeCell ref="P190:Q190"/>
    <mergeCell ref="BD183:BD184"/>
    <mergeCell ref="BF183:BF184"/>
    <mergeCell ref="F185:G185"/>
    <mergeCell ref="H185:I185"/>
    <mergeCell ref="J185:K185"/>
    <mergeCell ref="L185:M185"/>
    <mergeCell ref="P185:Q185"/>
    <mergeCell ref="R185:S185"/>
    <mergeCell ref="T185:U185"/>
    <mergeCell ref="AN185:AO185"/>
    <mergeCell ref="AV183:AV184"/>
    <mergeCell ref="AX183:AX184"/>
    <mergeCell ref="AY183:AY184"/>
    <mergeCell ref="AZ183:AZ184"/>
    <mergeCell ref="BA183:BA184"/>
    <mergeCell ref="BC183:BC184"/>
    <mergeCell ref="AM183:AM184"/>
    <mergeCell ref="AQ183:AQ184"/>
    <mergeCell ref="AR183:AR184"/>
    <mergeCell ref="AS183:AS184"/>
    <mergeCell ref="AT183:AT184"/>
    <mergeCell ref="AU183:AU184"/>
    <mergeCell ref="AG183:AG184"/>
    <mergeCell ref="AH183:AH184"/>
    <mergeCell ref="AI183:AI184"/>
    <mergeCell ref="AJ183:AJ184"/>
    <mergeCell ref="AK183:AK184"/>
    <mergeCell ref="AL183:AL184"/>
    <mergeCell ref="O183:O184"/>
    <mergeCell ref="P183:Q183"/>
    <mergeCell ref="R183:S183"/>
    <mergeCell ref="T183:U183"/>
    <mergeCell ref="V183:V184"/>
    <mergeCell ref="AF183:AF184"/>
    <mergeCell ref="AQ182:AV182"/>
    <mergeCell ref="AX182:BA182"/>
    <mergeCell ref="B183:B184"/>
    <mergeCell ref="C183:C184"/>
    <mergeCell ref="D183:D184"/>
    <mergeCell ref="F183:G183"/>
    <mergeCell ref="H183:I183"/>
    <mergeCell ref="J183:K183"/>
    <mergeCell ref="L183:M183"/>
    <mergeCell ref="N183:N184"/>
    <mergeCell ref="T180:U180"/>
    <mergeCell ref="AN180:AO180"/>
    <mergeCell ref="F181:G181"/>
    <mergeCell ref="H181:I181"/>
    <mergeCell ref="P181:U181"/>
    <mergeCell ref="A182:A183"/>
    <mergeCell ref="B182:M182"/>
    <mergeCell ref="N182:O182"/>
    <mergeCell ref="P182:V182"/>
    <mergeCell ref="X182:AL182"/>
    <mergeCell ref="F180:G180"/>
    <mergeCell ref="H180:I180"/>
    <mergeCell ref="J180:K180"/>
    <mergeCell ref="L180:M180"/>
    <mergeCell ref="P180:Q180"/>
    <mergeCell ref="R180:S180"/>
    <mergeCell ref="AY178:AY179"/>
    <mergeCell ref="AZ178:AZ179"/>
    <mergeCell ref="BA178:BA179"/>
    <mergeCell ref="BC178:BC179"/>
    <mergeCell ref="BD178:BD179"/>
    <mergeCell ref="BF178:BF179"/>
    <mergeCell ref="AR178:AR179"/>
    <mergeCell ref="AS178:AS179"/>
    <mergeCell ref="AT178:AT179"/>
    <mergeCell ref="AU178:AU179"/>
    <mergeCell ref="AV178:AV179"/>
    <mergeCell ref="AX178:AX179"/>
    <mergeCell ref="AI178:AI179"/>
    <mergeCell ref="AJ178:AJ179"/>
    <mergeCell ref="AK178:AK179"/>
    <mergeCell ref="AL178:AL179"/>
    <mergeCell ref="AM178:AM179"/>
    <mergeCell ref="AQ178:AQ179"/>
    <mergeCell ref="R178:S178"/>
    <mergeCell ref="T178:U178"/>
    <mergeCell ref="V178:V179"/>
    <mergeCell ref="AF178:AF179"/>
    <mergeCell ref="AG178:AG179"/>
    <mergeCell ref="AH178:AH179"/>
    <mergeCell ref="X177:AL177"/>
    <mergeCell ref="AQ177:AV177"/>
    <mergeCell ref="AX177:BA177"/>
    <mergeCell ref="B178:B179"/>
    <mergeCell ref="C178:C179"/>
    <mergeCell ref="D178:D179"/>
    <mergeCell ref="F178:G178"/>
    <mergeCell ref="H178:I178"/>
    <mergeCell ref="J178:K178"/>
    <mergeCell ref="L178:M178"/>
    <mergeCell ref="F174:G174"/>
    <mergeCell ref="H174:I174"/>
    <mergeCell ref="P174:U174"/>
    <mergeCell ref="A177:A178"/>
    <mergeCell ref="B177:M177"/>
    <mergeCell ref="N177:O177"/>
    <mergeCell ref="P177:V177"/>
    <mergeCell ref="N178:N179"/>
    <mergeCell ref="O178:O179"/>
    <mergeCell ref="P178:Q178"/>
    <mergeCell ref="BD171:BD172"/>
    <mergeCell ref="BF171:BF172"/>
    <mergeCell ref="F173:G173"/>
    <mergeCell ref="H173:I173"/>
    <mergeCell ref="J173:K173"/>
    <mergeCell ref="L173:M173"/>
    <mergeCell ref="P173:Q173"/>
    <mergeCell ref="R173:S173"/>
    <mergeCell ref="T173:U173"/>
    <mergeCell ref="AN173:AO173"/>
    <mergeCell ref="AV171:AV172"/>
    <mergeCell ref="AX171:AX172"/>
    <mergeCell ref="AY171:AY172"/>
    <mergeCell ref="AZ171:AZ172"/>
    <mergeCell ref="BA171:BA172"/>
    <mergeCell ref="BC171:BC172"/>
    <mergeCell ref="AM171:AM172"/>
    <mergeCell ref="AQ171:AQ172"/>
    <mergeCell ref="AR171:AR172"/>
    <mergeCell ref="AS171:AS172"/>
    <mergeCell ref="AT171:AT172"/>
    <mergeCell ref="AU171:AU172"/>
    <mergeCell ref="AG171:AG172"/>
    <mergeCell ref="AH171:AH172"/>
    <mergeCell ref="AI171:AI172"/>
    <mergeCell ref="AJ171:AJ172"/>
    <mergeCell ref="AK171:AK172"/>
    <mergeCell ref="AL171:AL172"/>
    <mergeCell ref="O171:O172"/>
    <mergeCell ref="P171:Q171"/>
    <mergeCell ref="R171:S171"/>
    <mergeCell ref="T171:U171"/>
    <mergeCell ref="V171:V172"/>
    <mergeCell ref="AF171:AF172"/>
    <mergeCell ref="AQ170:AV170"/>
    <mergeCell ref="AX170:BA170"/>
    <mergeCell ref="B171:B172"/>
    <mergeCell ref="C171:C172"/>
    <mergeCell ref="D171:D172"/>
    <mergeCell ref="F171:G171"/>
    <mergeCell ref="H171:I171"/>
    <mergeCell ref="J171:K171"/>
    <mergeCell ref="L171:M171"/>
    <mergeCell ref="N171:N172"/>
    <mergeCell ref="T166:U166"/>
    <mergeCell ref="AN166:AO166"/>
    <mergeCell ref="F167:G167"/>
    <mergeCell ref="H167:I167"/>
    <mergeCell ref="P167:U167"/>
    <mergeCell ref="A170:A171"/>
    <mergeCell ref="B170:M170"/>
    <mergeCell ref="N170:O170"/>
    <mergeCell ref="P170:V170"/>
    <mergeCell ref="X170:AL170"/>
    <mergeCell ref="F166:G166"/>
    <mergeCell ref="H166:I166"/>
    <mergeCell ref="J166:K166"/>
    <mergeCell ref="L166:M166"/>
    <mergeCell ref="P166:Q166"/>
    <mergeCell ref="R166:S166"/>
    <mergeCell ref="AY164:AY165"/>
    <mergeCell ref="AZ164:AZ165"/>
    <mergeCell ref="BA164:BA165"/>
    <mergeCell ref="BC164:BC165"/>
    <mergeCell ref="BD164:BD165"/>
    <mergeCell ref="BF164:BF165"/>
    <mergeCell ref="AR164:AR165"/>
    <mergeCell ref="AS164:AS165"/>
    <mergeCell ref="AT164:AT165"/>
    <mergeCell ref="AU164:AU165"/>
    <mergeCell ref="AV164:AV165"/>
    <mergeCell ref="AX164:AX165"/>
    <mergeCell ref="AI164:AI165"/>
    <mergeCell ref="AJ164:AJ165"/>
    <mergeCell ref="AK164:AK165"/>
    <mergeCell ref="AL164:AL165"/>
    <mergeCell ref="AM164:AM165"/>
    <mergeCell ref="AQ164:AQ165"/>
    <mergeCell ref="R164:S164"/>
    <mergeCell ref="T164:U164"/>
    <mergeCell ref="V164:V165"/>
    <mergeCell ref="AF164:AF165"/>
    <mergeCell ref="AG164:AG165"/>
    <mergeCell ref="AH164:AH165"/>
    <mergeCell ref="X163:AL163"/>
    <mergeCell ref="AQ163:AV163"/>
    <mergeCell ref="AX163:BA163"/>
    <mergeCell ref="B164:B165"/>
    <mergeCell ref="C164:C165"/>
    <mergeCell ref="D164:D165"/>
    <mergeCell ref="F164:G164"/>
    <mergeCell ref="H164:I164"/>
    <mergeCell ref="J164:K164"/>
    <mergeCell ref="L164:M164"/>
    <mergeCell ref="F159:G159"/>
    <mergeCell ref="H159:I159"/>
    <mergeCell ref="P159:U159"/>
    <mergeCell ref="A163:A164"/>
    <mergeCell ref="B163:M163"/>
    <mergeCell ref="N163:O163"/>
    <mergeCell ref="P163:V163"/>
    <mergeCell ref="N164:N165"/>
    <mergeCell ref="O164:O165"/>
    <mergeCell ref="P164:Q164"/>
    <mergeCell ref="BD156:BD157"/>
    <mergeCell ref="BF156:BF157"/>
    <mergeCell ref="F158:G158"/>
    <mergeCell ref="H158:I158"/>
    <mergeCell ref="J158:K158"/>
    <mergeCell ref="L158:M158"/>
    <mergeCell ref="P158:Q158"/>
    <mergeCell ref="R158:S158"/>
    <mergeCell ref="T158:U158"/>
    <mergeCell ref="AN158:AO158"/>
    <mergeCell ref="AV156:AV157"/>
    <mergeCell ref="AX156:AX157"/>
    <mergeCell ref="AY156:AY157"/>
    <mergeCell ref="AZ156:AZ157"/>
    <mergeCell ref="BA156:BA157"/>
    <mergeCell ref="BC156:BC157"/>
    <mergeCell ref="AM156:AM157"/>
    <mergeCell ref="AQ156:AQ157"/>
    <mergeCell ref="AR156:AR157"/>
    <mergeCell ref="AS156:AS157"/>
    <mergeCell ref="AT156:AT157"/>
    <mergeCell ref="AU156:AU157"/>
    <mergeCell ref="AG156:AG157"/>
    <mergeCell ref="AH156:AH157"/>
    <mergeCell ref="AI156:AI157"/>
    <mergeCell ref="AJ156:AJ157"/>
    <mergeCell ref="AK156:AK157"/>
    <mergeCell ref="AL156:AL157"/>
    <mergeCell ref="O156:O157"/>
    <mergeCell ref="P156:Q156"/>
    <mergeCell ref="R156:S156"/>
    <mergeCell ref="T156:U156"/>
    <mergeCell ref="V156:V157"/>
    <mergeCell ref="AF156:AF157"/>
    <mergeCell ref="AQ155:AV155"/>
    <mergeCell ref="AX155:BA155"/>
    <mergeCell ref="B156:B157"/>
    <mergeCell ref="C156:C157"/>
    <mergeCell ref="D156:D157"/>
    <mergeCell ref="F156:G156"/>
    <mergeCell ref="H156:I156"/>
    <mergeCell ref="J156:K156"/>
    <mergeCell ref="L156:M156"/>
    <mergeCell ref="N156:N157"/>
    <mergeCell ref="T151:U151"/>
    <mergeCell ref="AN151:AO151"/>
    <mergeCell ref="F152:G152"/>
    <mergeCell ref="H152:I152"/>
    <mergeCell ref="P152:U152"/>
    <mergeCell ref="A155:A156"/>
    <mergeCell ref="B155:M155"/>
    <mergeCell ref="N155:O155"/>
    <mergeCell ref="P155:V155"/>
    <mergeCell ref="X155:AL155"/>
    <mergeCell ref="F151:G151"/>
    <mergeCell ref="H151:I151"/>
    <mergeCell ref="J151:K151"/>
    <mergeCell ref="L151:M151"/>
    <mergeCell ref="P151:Q151"/>
    <mergeCell ref="R151:S151"/>
    <mergeCell ref="AY149:AY150"/>
    <mergeCell ref="AZ149:AZ150"/>
    <mergeCell ref="BA149:BA150"/>
    <mergeCell ref="BC149:BC150"/>
    <mergeCell ref="BD149:BD150"/>
    <mergeCell ref="BF149:BF150"/>
    <mergeCell ref="AR149:AR150"/>
    <mergeCell ref="AS149:AS150"/>
    <mergeCell ref="AT149:AT150"/>
    <mergeCell ref="AU149:AU150"/>
    <mergeCell ref="AV149:AV150"/>
    <mergeCell ref="AX149:AX150"/>
    <mergeCell ref="AI149:AI150"/>
    <mergeCell ref="AJ149:AJ150"/>
    <mergeCell ref="AK149:AK150"/>
    <mergeCell ref="AL149:AL150"/>
    <mergeCell ref="AM149:AM150"/>
    <mergeCell ref="AQ149:AQ150"/>
    <mergeCell ref="R149:S149"/>
    <mergeCell ref="T149:U149"/>
    <mergeCell ref="V149:V150"/>
    <mergeCell ref="AF149:AF150"/>
    <mergeCell ref="AG149:AG150"/>
    <mergeCell ref="AH149:AH150"/>
    <mergeCell ref="X148:AL148"/>
    <mergeCell ref="AQ148:AV148"/>
    <mergeCell ref="AX148:BA148"/>
    <mergeCell ref="B149:B150"/>
    <mergeCell ref="C149:C150"/>
    <mergeCell ref="D149:D150"/>
    <mergeCell ref="F149:G149"/>
    <mergeCell ref="H149:I149"/>
    <mergeCell ref="J149:K149"/>
    <mergeCell ref="L149:M149"/>
    <mergeCell ref="F145:G145"/>
    <mergeCell ref="H145:I145"/>
    <mergeCell ref="P145:U145"/>
    <mergeCell ref="A148:A149"/>
    <mergeCell ref="B148:M148"/>
    <mergeCell ref="N148:O148"/>
    <mergeCell ref="P148:V148"/>
    <mergeCell ref="N149:N150"/>
    <mergeCell ref="O149:O150"/>
    <mergeCell ref="P149:Q149"/>
    <mergeCell ref="BD142:BD143"/>
    <mergeCell ref="BF142:BF143"/>
    <mergeCell ref="F144:G144"/>
    <mergeCell ref="H144:I144"/>
    <mergeCell ref="J144:K144"/>
    <mergeCell ref="L144:M144"/>
    <mergeCell ref="P144:Q144"/>
    <mergeCell ref="R144:S144"/>
    <mergeCell ref="T144:U144"/>
    <mergeCell ref="AN144:AO144"/>
    <mergeCell ref="AV142:AV143"/>
    <mergeCell ref="AX142:AX143"/>
    <mergeCell ref="AY142:AY143"/>
    <mergeCell ref="AZ142:AZ143"/>
    <mergeCell ref="BA142:BA143"/>
    <mergeCell ref="BC142:BC143"/>
    <mergeCell ref="AM142:AM143"/>
    <mergeCell ref="AQ142:AQ143"/>
    <mergeCell ref="AR142:AR143"/>
    <mergeCell ref="AS142:AS143"/>
    <mergeCell ref="AT142:AT143"/>
    <mergeCell ref="AU142:AU143"/>
    <mergeCell ref="AG142:AG143"/>
    <mergeCell ref="AH142:AH143"/>
    <mergeCell ref="AI142:AI143"/>
    <mergeCell ref="AJ142:AJ143"/>
    <mergeCell ref="AK142:AK143"/>
    <mergeCell ref="AL142:AL143"/>
    <mergeCell ref="O142:O143"/>
    <mergeCell ref="P142:Q142"/>
    <mergeCell ref="R142:S142"/>
    <mergeCell ref="T142:U142"/>
    <mergeCell ref="V142:V143"/>
    <mergeCell ref="AF142:AF143"/>
    <mergeCell ref="AQ141:AV141"/>
    <mergeCell ref="AX141:BA141"/>
    <mergeCell ref="B142:B143"/>
    <mergeCell ref="C142:C143"/>
    <mergeCell ref="D142:D143"/>
    <mergeCell ref="F142:G142"/>
    <mergeCell ref="H142:I142"/>
    <mergeCell ref="J142:K142"/>
    <mergeCell ref="L142:M142"/>
    <mergeCell ref="N142:N143"/>
    <mergeCell ref="T137:U137"/>
    <mergeCell ref="AN137:AO137"/>
    <mergeCell ref="F138:G138"/>
    <mergeCell ref="H138:I138"/>
    <mergeCell ref="P138:U138"/>
    <mergeCell ref="A141:A142"/>
    <mergeCell ref="B141:M141"/>
    <mergeCell ref="N141:O141"/>
    <mergeCell ref="P141:V141"/>
    <mergeCell ref="X141:AL141"/>
    <mergeCell ref="F137:G137"/>
    <mergeCell ref="H137:I137"/>
    <mergeCell ref="J137:K137"/>
    <mergeCell ref="L137:M137"/>
    <mergeCell ref="P137:Q137"/>
    <mergeCell ref="R137:S137"/>
    <mergeCell ref="AY135:AY136"/>
    <mergeCell ref="AZ135:AZ136"/>
    <mergeCell ref="BA135:BA136"/>
    <mergeCell ref="BC135:BC136"/>
    <mergeCell ref="BD135:BD136"/>
    <mergeCell ref="BF135:BF136"/>
    <mergeCell ref="AR135:AR136"/>
    <mergeCell ref="AS135:AS136"/>
    <mergeCell ref="AT135:AT136"/>
    <mergeCell ref="AU135:AU136"/>
    <mergeCell ref="AV135:AV136"/>
    <mergeCell ref="AX135:AX136"/>
    <mergeCell ref="AI135:AI136"/>
    <mergeCell ref="AJ135:AJ136"/>
    <mergeCell ref="AK135:AK136"/>
    <mergeCell ref="AL135:AL136"/>
    <mergeCell ref="AM135:AM136"/>
    <mergeCell ref="AQ135:AQ136"/>
    <mergeCell ref="R135:S135"/>
    <mergeCell ref="T135:U135"/>
    <mergeCell ref="V135:V136"/>
    <mergeCell ref="AF135:AF136"/>
    <mergeCell ref="AG135:AG136"/>
    <mergeCell ref="AH135:AH136"/>
    <mergeCell ref="X134:AL134"/>
    <mergeCell ref="AQ134:AV134"/>
    <mergeCell ref="AX134:BA134"/>
    <mergeCell ref="B135:B136"/>
    <mergeCell ref="C135:C136"/>
    <mergeCell ref="D135:D136"/>
    <mergeCell ref="F135:G135"/>
    <mergeCell ref="H135:I135"/>
    <mergeCell ref="J135:K135"/>
    <mergeCell ref="L135:M135"/>
    <mergeCell ref="F130:G130"/>
    <mergeCell ref="H130:I130"/>
    <mergeCell ref="P130:U130"/>
    <mergeCell ref="A134:A135"/>
    <mergeCell ref="B134:M134"/>
    <mergeCell ref="N134:O134"/>
    <mergeCell ref="P134:V134"/>
    <mergeCell ref="N135:N136"/>
    <mergeCell ref="O135:O136"/>
    <mergeCell ref="P135:Q135"/>
    <mergeCell ref="BD127:BD128"/>
    <mergeCell ref="BF127:BF128"/>
    <mergeCell ref="F129:G129"/>
    <mergeCell ref="H129:I129"/>
    <mergeCell ref="J129:K129"/>
    <mergeCell ref="L129:M129"/>
    <mergeCell ref="P129:Q129"/>
    <mergeCell ref="R129:S129"/>
    <mergeCell ref="T129:U129"/>
    <mergeCell ref="AN129:AO129"/>
    <mergeCell ref="AV127:AV128"/>
    <mergeCell ref="AX127:AX128"/>
    <mergeCell ref="AY127:AY128"/>
    <mergeCell ref="AZ127:AZ128"/>
    <mergeCell ref="BA127:BA128"/>
    <mergeCell ref="BC127:BC128"/>
    <mergeCell ref="AM127:AM128"/>
    <mergeCell ref="AQ127:AQ128"/>
    <mergeCell ref="AR127:AR128"/>
    <mergeCell ref="AS127:AS128"/>
    <mergeCell ref="AT127:AT128"/>
    <mergeCell ref="AU127:AU128"/>
    <mergeCell ref="AG127:AG128"/>
    <mergeCell ref="AH127:AH128"/>
    <mergeCell ref="AI127:AI128"/>
    <mergeCell ref="AJ127:AJ128"/>
    <mergeCell ref="AK127:AK128"/>
    <mergeCell ref="AL127:AL128"/>
    <mergeCell ref="O127:O128"/>
    <mergeCell ref="P127:Q127"/>
    <mergeCell ref="R127:S127"/>
    <mergeCell ref="T127:U127"/>
    <mergeCell ref="V127:V128"/>
    <mergeCell ref="AF127:AF128"/>
    <mergeCell ref="AQ126:AV126"/>
    <mergeCell ref="AX126:BA126"/>
    <mergeCell ref="B127:B128"/>
    <mergeCell ref="C127:C128"/>
    <mergeCell ref="D127:D128"/>
    <mergeCell ref="F127:G127"/>
    <mergeCell ref="H127:I127"/>
    <mergeCell ref="J127:K127"/>
    <mergeCell ref="L127:M127"/>
    <mergeCell ref="N127:N128"/>
    <mergeCell ref="T119:U119"/>
    <mergeCell ref="AN119:AO119"/>
    <mergeCell ref="F120:G120"/>
    <mergeCell ref="H120:I120"/>
    <mergeCell ref="P120:U120"/>
    <mergeCell ref="A126:A127"/>
    <mergeCell ref="B126:M126"/>
    <mergeCell ref="N126:O126"/>
    <mergeCell ref="P126:V126"/>
    <mergeCell ref="X126:AL126"/>
    <mergeCell ref="F119:G119"/>
    <mergeCell ref="H119:I119"/>
    <mergeCell ref="J119:K119"/>
    <mergeCell ref="L119:M119"/>
    <mergeCell ref="P119:Q119"/>
    <mergeCell ref="R119:S119"/>
    <mergeCell ref="AY117:AY118"/>
    <mergeCell ref="AZ117:AZ118"/>
    <mergeCell ref="BA117:BA118"/>
    <mergeCell ref="BC117:BC118"/>
    <mergeCell ref="BD117:BD118"/>
    <mergeCell ref="BF117:BF118"/>
    <mergeCell ref="AR117:AR118"/>
    <mergeCell ref="AS117:AS118"/>
    <mergeCell ref="AT117:AT118"/>
    <mergeCell ref="AU117:AU118"/>
    <mergeCell ref="AV117:AV118"/>
    <mergeCell ref="AX117:AX118"/>
    <mergeCell ref="AI117:AI118"/>
    <mergeCell ref="AJ117:AJ118"/>
    <mergeCell ref="AK117:AK118"/>
    <mergeCell ref="AL117:AL118"/>
    <mergeCell ref="AM117:AM118"/>
    <mergeCell ref="AQ117:AQ118"/>
    <mergeCell ref="R117:S117"/>
    <mergeCell ref="T117:U117"/>
    <mergeCell ref="V117:V118"/>
    <mergeCell ref="AF117:AF118"/>
    <mergeCell ref="AG117:AG118"/>
    <mergeCell ref="AH117:AH118"/>
    <mergeCell ref="X116:AL116"/>
    <mergeCell ref="AQ116:AV116"/>
    <mergeCell ref="AX116:BA116"/>
    <mergeCell ref="B117:B118"/>
    <mergeCell ref="C117:C118"/>
    <mergeCell ref="D117:D118"/>
    <mergeCell ref="F117:G117"/>
    <mergeCell ref="H117:I117"/>
    <mergeCell ref="J117:K117"/>
    <mergeCell ref="L117:M117"/>
    <mergeCell ref="F115:G115"/>
    <mergeCell ref="H115:I115"/>
    <mergeCell ref="P115:U115"/>
    <mergeCell ref="A116:A117"/>
    <mergeCell ref="B116:M116"/>
    <mergeCell ref="N116:O116"/>
    <mergeCell ref="P116:V116"/>
    <mergeCell ref="N117:N118"/>
    <mergeCell ref="O117:O118"/>
    <mergeCell ref="P117:Q117"/>
    <mergeCell ref="BD112:BD113"/>
    <mergeCell ref="BF112:BF113"/>
    <mergeCell ref="F114:G114"/>
    <mergeCell ref="H114:I114"/>
    <mergeCell ref="J114:K114"/>
    <mergeCell ref="L114:M114"/>
    <mergeCell ref="P114:Q114"/>
    <mergeCell ref="R114:S114"/>
    <mergeCell ref="T114:U114"/>
    <mergeCell ref="AN114:AO114"/>
    <mergeCell ref="AV112:AV113"/>
    <mergeCell ref="AX112:AX113"/>
    <mergeCell ref="AY112:AY113"/>
    <mergeCell ref="AZ112:AZ113"/>
    <mergeCell ref="BA112:BA113"/>
    <mergeCell ref="BC112:BC113"/>
    <mergeCell ref="AM112:AM113"/>
    <mergeCell ref="AQ112:AQ113"/>
    <mergeCell ref="AR112:AR113"/>
    <mergeCell ref="AS112:AS113"/>
    <mergeCell ref="AT112:AT113"/>
    <mergeCell ref="AU112:AU113"/>
    <mergeCell ref="AG112:AG113"/>
    <mergeCell ref="AH112:AH113"/>
    <mergeCell ref="AI112:AI113"/>
    <mergeCell ref="AJ112:AJ113"/>
    <mergeCell ref="AK112:AK113"/>
    <mergeCell ref="AL112:AL113"/>
    <mergeCell ref="O112:O113"/>
    <mergeCell ref="P112:Q112"/>
    <mergeCell ref="R112:S112"/>
    <mergeCell ref="T112:U112"/>
    <mergeCell ref="V112:V113"/>
    <mergeCell ref="AF112:AF113"/>
    <mergeCell ref="AQ111:AV111"/>
    <mergeCell ref="AX111:BA111"/>
    <mergeCell ref="B112:B113"/>
    <mergeCell ref="C112:C113"/>
    <mergeCell ref="D112:D113"/>
    <mergeCell ref="F112:G112"/>
    <mergeCell ref="H112:I112"/>
    <mergeCell ref="J112:K112"/>
    <mergeCell ref="L112:M112"/>
    <mergeCell ref="N112:N113"/>
    <mergeCell ref="T104:U104"/>
    <mergeCell ref="AN104:AO104"/>
    <mergeCell ref="F105:G105"/>
    <mergeCell ref="H105:I105"/>
    <mergeCell ref="P105:U105"/>
    <mergeCell ref="A111:A112"/>
    <mergeCell ref="B111:M111"/>
    <mergeCell ref="N111:O111"/>
    <mergeCell ref="P111:V111"/>
    <mergeCell ref="X111:AL111"/>
    <mergeCell ref="F104:G104"/>
    <mergeCell ref="H104:I104"/>
    <mergeCell ref="J104:K104"/>
    <mergeCell ref="L104:M104"/>
    <mergeCell ref="P104:Q104"/>
    <mergeCell ref="R104:S104"/>
    <mergeCell ref="AY102:AY103"/>
    <mergeCell ref="AZ102:AZ103"/>
    <mergeCell ref="BA102:BA103"/>
    <mergeCell ref="BC102:BC103"/>
    <mergeCell ref="BD102:BD103"/>
    <mergeCell ref="BF102:BF103"/>
    <mergeCell ref="AR102:AR103"/>
    <mergeCell ref="AS102:AS103"/>
    <mergeCell ref="AT102:AT103"/>
    <mergeCell ref="AU102:AU103"/>
    <mergeCell ref="AV102:AV103"/>
    <mergeCell ref="AX102:AX103"/>
    <mergeCell ref="AI102:AI103"/>
    <mergeCell ref="AJ102:AJ103"/>
    <mergeCell ref="AK102:AK103"/>
    <mergeCell ref="AL102:AL103"/>
    <mergeCell ref="AM102:AM103"/>
    <mergeCell ref="AQ102:AQ103"/>
    <mergeCell ref="R102:S102"/>
    <mergeCell ref="T102:U102"/>
    <mergeCell ref="V102:V103"/>
    <mergeCell ref="AF102:AF103"/>
    <mergeCell ref="AG102:AG103"/>
    <mergeCell ref="AH102:AH103"/>
    <mergeCell ref="X101:AL101"/>
    <mergeCell ref="AQ101:AV101"/>
    <mergeCell ref="AX101:BA101"/>
    <mergeCell ref="B102:B103"/>
    <mergeCell ref="C102:C103"/>
    <mergeCell ref="D102:D103"/>
    <mergeCell ref="F102:G102"/>
    <mergeCell ref="H102:I102"/>
    <mergeCell ref="J102:K102"/>
    <mergeCell ref="L102:M102"/>
    <mergeCell ref="F98:G98"/>
    <mergeCell ref="H98:I98"/>
    <mergeCell ref="P98:U98"/>
    <mergeCell ref="A101:A102"/>
    <mergeCell ref="B101:M101"/>
    <mergeCell ref="N101:O101"/>
    <mergeCell ref="P101:V101"/>
    <mergeCell ref="N102:N103"/>
    <mergeCell ref="O102:O103"/>
    <mergeCell ref="P102:Q102"/>
    <mergeCell ref="BD95:BD96"/>
    <mergeCell ref="BF95:BF96"/>
    <mergeCell ref="F97:G97"/>
    <mergeCell ref="H97:I97"/>
    <mergeCell ref="J97:K97"/>
    <mergeCell ref="L97:M97"/>
    <mergeCell ref="P97:Q97"/>
    <mergeCell ref="R97:S97"/>
    <mergeCell ref="T97:U97"/>
    <mergeCell ref="AN97:AO97"/>
    <mergeCell ref="AV95:AV96"/>
    <mergeCell ref="AX95:AX96"/>
    <mergeCell ref="AY95:AY96"/>
    <mergeCell ref="AZ95:AZ96"/>
    <mergeCell ref="BA95:BA96"/>
    <mergeCell ref="BC95:BC96"/>
    <mergeCell ref="AM95:AM96"/>
    <mergeCell ref="AQ95:AQ96"/>
    <mergeCell ref="AR95:AR96"/>
    <mergeCell ref="AS95:AS96"/>
    <mergeCell ref="AT95:AT96"/>
    <mergeCell ref="AU95:AU96"/>
    <mergeCell ref="AG95:AG96"/>
    <mergeCell ref="AH95:AH96"/>
    <mergeCell ref="AI95:AI96"/>
    <mergeCell ref="AJ95:AJ96"/>
    <mergeCell ref="AK95:AK96"/>
    <mergeCell ref="AL95:AL96"/>
    <mergeCell ref="O95:O96"/>
    <mergeCell ref="P95:Q95"/>
    <mergeCell ref="R95:S95"/>
    <mergeCell ref="T95:U95"/>
    <mergeCell ref="V95:V96"/>
    <mergeCell ref="AF95:AF96"/>
    <mergeCell ref="AQ94:AV94"/>
    <mergeCell ref="AX94:BA94"/>
    <mergeCell ref="B95:B96"/>
    <mergeCell ref="C95:C96"/>
    <mergeCell ref="D95:D96"/>
    <mergeCell ref="F95:G95"/>
    <mergeCell ref="H95:I95"/>
    <mergeCell ref="J95:K95"/>
    <mergeCell ref="L95:M95"/>
    <mergeCell ref="N95:N96"/>
    <mergeCell ref="T90:U90"/>
    <mergeCell ref="AN90:AO90"/>
    <mergeCell ref="F91:G91"/>
    <mergeCell ref="H91:I91"/>
    <mergeCell ref="P91:U91"/>
    <mergeCell ref="A94:A95"/>
    <mergeCell ref="B94:M94"/>
    <mergeCell ref="N94:O94"/>
    <mergeCell ref="P94:V94"/>
    <mergeCell ref="X94:AL94"/>
    <mergeCell ref="F90:G90"/>
    <mergeCell ref="H90:I90"/>
    <mergeCell ref="J90:K90"/>
    <mergeCell ref="L90:M90"/>
    <mergeCell ref="P90:Q90"/>
    <mergeCell ref="R90:S90"/>
    <mergeCell ref="AY88:AY89"/>
    <mergeCell ref="AZ88:AZ89"/>
    <mergeCell ref="BA88:BA89"/>
    <mergeCell ref="BC88:BC89"/>
    <mergeCell ref="BD88:BD89"/>
    <mergeCell ref="BF88:BF89"/>
    <mergeCell ref="AR88:AR89"/>
    <mergeCell ref="AS88:AS89"/>
    <mergeCell ref="AT88:AT89"/>
    <mergeCell ref="AU88:AU89"/>
    <mergeCell ref="AV88:AV89"/>
    <mergeCell ref="AX88:AX89"/>
    <mergeCell ref="AI88:AI89"/>
    <mergeCell ref="AJ88:AJ89"/>
    <mergeCell ref="AK88:AK89"/>
    <mergeCell ref="AL88:AL89"/>
    <mergeCell ref="AM88:AM89"/>
    <mergeCell ref="AQ88:AQ89"/>
    <mergeCell ref="R88:S88"/>
    <mergeCell ref="T88:U88"/>
    <mergeCell ref="V88:V89"/>
    <mergeCell ref="AF88:AF89"/>
    <mergeCell ref="AG88:AG89"/>
    <mergeCell ref="AH88:AH89"/>
    <mergeCell ref="X87:AL87"/>
    <mergeCell ref="AQ87:AV87"/>
    <mergeCell ref="AX87:BA87"/>
    <mergeCell ref="B88:B89"/>
    <mergeCell ref="C88:C89"/>
    <mergeCell ref="D88:D89"/>
    <mergeCell ref="F88:G88"/>
    <mergeCell ref="H88:I88"/>
    <mergeCell ref="J88:K88"/>
    <mergeCell ref="L88:M88"/>
    <mergeCell ref="F84:G84"/>
    <mergeCell ref="H84:I84"/>
    <mergeCell ref="P84:U84"/>
    <mergeCell ref="A87:A88"/>
    <mergeCell ref="B87:M87"/>
    <mergeCell ref="N87:O87"/>
    <mergeCell ref="P87:V87"/>
    <mergeCell ref="N88:N89"/>
    <mergeCell ref="O88:O89"/>
    <mergeCell ref="P88:Q88"/>
    <mergeCell ref="BD81:BD82"/>
    <mergeCell ref="BF81:BF82"/>
    <mergeCell ref="F83:G83"/>
    <mergeCell ref="H83:I83"/>
    <mergeCell ref="J83:K83"/>
    <mergeCell ref="L83:M83"/>
    <mergeCell ref="P83:Q83"/>
    <mergeCell ref="R83:S83"/>
    <mergeCell ref="T83:U83"/>
    <mergeCell ref="AN83:AO83"/>
    <mergeCell ref="AV81:AV82"/>
    <mergeCell ref="AX81:AX82"/>
    <mergeCell ref="AY81:AY82"/>
    <mergeCell ref="AZ81:AZ82"/>
    <mergeCell ref="BA81:BA82"/>
    <mergeCell ref="BC81:BC82"/>
    <mergeCell ref="AM81:AM82"/>
    <mergeCell ref="AQ81:AQ82"/>
    <mergeCell ref="AR81:AR82"/>
    <mergeCell ref="AS81:AS82"/>
    <mergeCell ref="AT81:AT82"/>
    <mergeCell ref="AU81:AU82"/>
    <mergeCell ref="AG81:AG82"/>
    <mergeCell ref="AH81:AH82"/>
    <mergeCell ref="AI81:AI82"/>
    <mergeCell ref="AJ81:AJ82"/>
    <mergeCell ref="AK81:AK82"/>
    <mergeCell ref="AL81:AL82"/>
    <mergeCell ref="O81:O82"/>
    <mergeCell ref="P81:Q81"/>
    <mergeCell ref="R81:S81"/>
    <mergeCell ref="T81:U81"/>
    <mergeCell ref="V81:V82"/>
    <mergeCell ref="AF81:AF82"/>
    <mergeCell ref="AQ80:AV80"/>
    <mergeCell ref="AX80:BA80"/>
    <mergeCell ref="B81:B82"/>
    <mergeCell ref="C81:C82"/>
    <mergeCell ref="D81:D82"/>
    <mergeCell ref="F81:G81"/>
    <mergeCell ref="H81:I81"/>
    <mergeCell ref="J81:K81"/>
    <mergeCell ref="L81:M81"/>
    <mergeCell ref="N81:N82"/>
    <mergeCell ref="T76:U76"/>
    <mergeCell ref="AN76:AO76"/>
    <mergeCell ref="F77:G77"/>
    <mergeCell ref="H77:I77"/>
    <mergeCell ref="P77:U77"/>
    <mergeCell ref="A80:A81"/>
    <mergeCell ref="B80:M80"/>
    <mergeCell ref="N80:O80"/>
    <mergeCell ref="P80:V80"/>
    <mergeCell ref="X80:AL80"/>
    <mergeCell ref="F76:G76"/>
    <mergeCell ref="H76:I76"/>
    <mergeCell ref="J76:K76"/>
    <mergeCell ref="L76:M76"/>
    <mergeCell ref="P76:Q76"/>
    <mergeCell ref="R76:S76"/>
    <mergeCell ref="AY74:AY75"/>
    <mergeCell ref="AZ74:AZ75"/>
    <mergeCell ref="BA74:BA75"/>
    <mergeCell ref="BC74:BC75"/>
    <mergeCell ref="BD74:BD75"/>
    <mergeCell ref="BF74:BF75"/>
    <mergeCell ref="AR74:AR75"/>
    <mergeCell ref="AS74:AS75"/>
    <mergeCell ref="AT74:AT75"/>
    <mergeCell ref="AU74:AU75"/>
    <mergeCell ref="AV74:AV75"/>
    <mergeCell ref="AX74:AX75"/>
    <mergeCell ref="AI74:AI75"/>
    <mergeCell ref="AJ74:AJ75"/>
    <mergeCell ref="AK74:AK75"/>
    <mergeCell ref="AL74:AL75"/>
    <mergeCell ref="AM74:AM75"/>
    <mergeCell ref="AQ74:AQ75"/>
    <mergeCell ref="R74:S74"/>
    <mergeCell ref="T74:U74"/>
    <mergeCell ref="V74:V75"/>
    <mergeCell ref="AF74:AF75"/>
    <mergeCell ref="AG74:AG75"/>
    <mergeCell ref="AH74:AH75"/>
    <mergeCell ref="X73:AL73"/>
    <mergeCell ref="AQ73:AV73"/>
    <mergeCell ref="AX73:BA73"/>
    <mergeCell ref="B74:B75"/>
    <mergeCell ref="C74:C75"/>
    <mergeCell ref="D74:D75"/>
    <mergeCell ref="F74:G74"/>
    <mergeCell ref="H74:I74"/>
    <mergeCell ref="J74:K74"/>
    <mergeCell ref="L74:M74"/>
    <mergeCell ref="F66:G66"/>
    <mergeCell ref="H66:I66"/>
    <mergeCell ref="P66:U66"/>
    <mergeCell ref="A73:A74"/>
    <mergeCell ref="B73:M73"/>
    <mergeCell ref="N73:O73"/>
    <mergeCell ref="P73:V73"/>
    <mergeCell ref="N74:N75"/>
    <mergeCell ref="O74:O75"/>
    <mergeCell ref="P74:Q74"/>
    <mergeCell ref="BD63:BD64"/>
    <mergeCell ref="BF63:BF64"/>
    <mergeCell ref="F65:G65"/>
    <mergeCell ref="H65:I65"/>
    <mergeCell ref="J65:K65"/>
    <mergeCell ref="L65:M65"/>
    <mergeCell ref="P65:Q65"/>
    <mergeCell ref="R65:S65"/>
    <mergeCell ref="T65:U65"/>
    <mergeCell ref="AN65:AO65"/>
    <mergeCell ref="AV63:AV64"/>
    <mergeCell ref="AX63:AX64"/>
    <mergeCell ref="AY63:AY64"/>
    <mergeCell ref="AZ63:AZ64"/>
    <mergeCell ref="BA63:BA64"/>
    <mergeCell ref="BC63:BC64"/>
    <mergeCell ref="AM63:AM64"/>
    <mergeCell ref="AQ63:AQ64"/>
    <mergeCell ref="AR63:AR64"/>
    <mergeCell ref="AS63:AS64"/>
    <mergeCell ref="AT63:AT64"/>
    <mergeCell ref="AU63:AU64"/>
    <mergeCell ref="AG63:AG64"/>
    <mergeCell ref="AH63:AH64"/>
    <mergeCell ref="AI63:AI64"/>
    <mergeCell ref="AJ63:AJ64"/>
    <mergeCell ref="AK63:AK64"/>
    <mergeCell ref="AL63:AL64"/>
    <mergeCell ref="O63:O64"/>
    <mergeCell ref="P63:Q63"/>
    <mergeCell ref="R63:S63"/>
    <mergeCell ref="T63:U63"/>
    <mergeCell ref="V63:V64"/>
    <mergeCell ref="AF63:AF64"/>
    <mergeCell ref="AQ62:AV62"/>
    <mergeCell ref="AX62:BA62"/>
    <mergeCell ref="B63:B64"/>
    <mergeCell ref="C63:C64"/>
    <mergeCell ref="D63:D64"/>
    <mergeCell ref="F63:G63"/>
    <mergeCell ref="H63:I63"/>
    <mergeCell ref="J63:K63"/>
    <mergeCell ref="L63:M63"/>
    <mergeCell ref="N63:N64"/>
    <mergeCell ref="T55:U55"/>
    <mergeCell ref="AN55:AO55"/>
    <mergeCell ref="F56:G56"/>
    <mergeCell ref="H56:I56"/>
    <mergeCell ref="P56:U56"/>
    <mergeCell ref="A62:A63"/>
    <mergeCell ref="B62:M62"/>
    <mergeCell ref="N62:O62"/>
    <mergeCell ref="P62:V62"/>
    <mergeCell ref="X62:AL62"/>
    <mergeCell ref="F55:G55"/>
    <mergeCell ref="H55:I55"/>
    <mergeCell ref="J55:K55"/>
    <mergeCell ref="L55:M55"/>
    <mergeCell ref="P55:Q55"/>
    <mergeCell ref="R55:S55"/>
    <mergeCell ref="AY53:AY54"/>
    <mergeCell ref="AZ53:AZ54"/>
    <mergeCell ref="BA53:BA54"/>
    <mergeCell ref="BC53:BC54"/>
    <mergeCell ref="BD53:BD54"/>
    <mergeCell ref="BF53:BF54"/>
    <mergeCell ref="AR53:AR54"/>
    <mergeCell ref="AS53:AS54"/>
    <mergeCell ref="AT53:AT54"/>
    <mergeCell ref="AU53:AU54"/>
    <mergeCell ref="AV53:AV54"/>
    <mergeCell ref="AX53:AX54"/>
    <mergeCell ref="AI53:AI54"/>
    <mergeCell ref="AJ53:AJ54"/>
    <mergeCell ref="AK53:AK54"/>
    <mergeCell ref="AL53:AL54"/>
    <mergeCell ref="AM53:AM54"/>
    <mergeCell ref="AQ53:AQ54"/>
    <mergeCell ref="R53:S53"/>
    <mergeCell ref="T53:U53"/>
    <mergeCell ref="V53:V54"/>
    <mergeCell ref="AF53:AF54"/>
    <mergeCell ref="AG53:AG54"/>
    <mergeCell ref="AH53:AH54"/>
    <mergeCell ref="X52:AL52"/>
    <mergeCell ref="AQ52:AV52"/>
    <mergeCell ref="AX52:BA52"/>
    <mergeCell ref="B53:B54"/>
    <mergeCell ref="C53:C54"/>
    <mergeCell ref="D53:D54"/>
    <mergeCell ref="F53:G53"/>
    <mergeCell ref="H53:I53"/>
    <mergeCell ref="J53:K53"/>
    <mergeCell ref="L53:M53"/>
    <mergeCell ref="F49:G49"/>
    <mergeCell ref="H49:I49"/>
    <mergeCell ref="P49:U49"/>
    <mergeCell ref="A52:A53"/>
    <mergeCell ref="B52:M52"/>
    <mergeCell ref="N52:O52"/>
    <mergeCell ref="P52:V52"/>
    <mergeCell ref="N53:N54"/>
    <mergeCell ref="O53:O54"/>
    <mergeCell ref="P53:Q53"/>
    <mergeCell ref="BD46:BD47"/>
    <mergeCell ref="BF46:BF47"/>
    <mergeCell ref="F48:G48"/>
    <mergeCell ref="H48:I48"/>
    <mergeCell ref="J48:K48"/>
    <mergeCell ref="L48:M48"/>
    <mergeCell ref="P48:Q48"/>
    <mergeCell ref="R48:S48"/>
    <mergeCell ref="T48:U48"/>
    <mergeCell ref="AN48:AO48"/>
    <mergeCell ref="AV46:AV47"/>
    <mergeCell ref="AX46:AX47"/>
    <mergeCell ref="AY46:AY47"/>
    <mergeCell ref="AZ46:AZ47"/>
    <mergeCell ref="BA46:BA47"/>
    <mergeCell ref="BC46:BC47"/>
    <mergeCell ref="AM46:AM47"/>
    <mergeCell ref="AQ46:AQ47"/>
    <mergeCell ref="AR46:AR47"/>
    <mergeCell ref="AS46:AS47"/>
    <mergeCell ref="AT46:AT47"/>
    <mergeCell ref="AU46:AU47"/>
    <mergeCell ref="AG46:AG47"/>
    <mergeCell ref="AH46:AH47"/>
    <mergeCell ref="AI46:AI47"/>
    <mergeCell ref="AJ46:AJ47"/>
    <mergeCell ref="AK46:AK47"/>
    <mergeCell ref="AL46:AL47"/>
    <mergeCell ref="O46:O47"/>
    <mergeCell ref="P46:Q46"/>
    <mergeCell ref="R46:S46"/>
    <mergeCell ref="T46:U46"/>
    <mergeCell ref="V46:V47"/>
    <mergeCell ref="AF46:AF47"/>
    <mergeCell ref="AQ45:AV45"/>
    <mergeCell ref="AX45:BA45"/>
    <mergeCell ref="B46:B47"/>
    <mergeCell ref="C46:C47"/>
    <mergeCell ref="D46:D47"/>
    <mergeCell ref="F46:G46"/>
    <mergeCell ref="H46:I46"/>
    <mergeCell ref="J46:K46"/>
    <mergeCell ref="L46:M46"/>
    <mergeCell ref="N46:N47"/>
    <mergeCell ref="T38:U38"/>
    <mergeCell ref="AN38:AO38"/>
    <mergeCell ref="F39:G39"/>
    <mergeCell ref="H39:I39"/>
    <mergeCell ref="P39:U39"/>
    <mergeCell ref="A45:A46"/>
    <mergeCell ref="B45:M45"/>
    <mergeCell ref="N45:O45"/>
    <mergeCell ref="P45:V45"/>
    <mergeCell ref="X45:AL45"/>
    <mergeCell ref="F38:G38"/>
    <mergeCell ref="H38:I38"/>
    <mergeCell ref="J38:K38"/>
    <mergeCell ref="L38:M38"/>
    <mergeCell ref="P38:Q38"/>
    <mergeCell ref="R38:S38"/>
    <mergeCell ref="AY36:AY37"/>
    <mergeCell ref="AZ36:AZ37"/>
    <mergeCell ref="BA36:BA37"/>
    <mergeCell ref="BC36:BC37"/>
    <mergeCell ref="BD36:BD37"/>
    <mergeCell ref="BF36:BF37"/>
    <mergeCell ref="AR36:AR37"/>
    <mergeCell ref="AS36:AS37"/>
    <mergeCell ref="AT36:AT37"/>
    <mergeCell ref="AU36:AU37"/>
    <mergeCell ref="AV36:AV37"/>
    <mergeCell ref="AX36:AX37"/>
    <mergeCell ref="AI36:AI37"/>
    <mergeCell ref="AJ36:AJ37"/>
    <mergeCell ref="AK36:AK37"/>
    <mergeCell ref="AL36:AL37"/>
    <mergeCell ref="AM36:AM37"/>
    <mergeCell ref="AQ36:AQ37"/>
    <mergeCell ref="R36:S36"/>
    <mergeCell ref="T36:U36"/>
    <mergeCell ref="V36:V37"/>
    <mergeCell ref="AF36:AF37"/>
    <mergeCell ref="AG36:AG37"/>
    <mergeCell ref="AH36:AH37"/>
    <mergeCell ref="X35:AL35"/>
    <mergeCell ref="AQ35:AV35"/>
    <mergeCell ref="AX35:BA35"/>
    <mergeCell ref="B36:B37"/>
    <mergeCell ref="C36:C37"/>
    <mergeCell ref="D36:D37"/>
    <mergeCell ref="F36:G36"/>
    <mergeCell ref="H36:I36"/>
    <mergeCell ref="J36:K36"/>
    <mergeCell ref="L36:M36"/>
    <mergeCell ref="F29:G29"/>
    <mergeCell ref="H29:I29"/>
    <mergeCell ref="P29:U29"/>
    <mergeCell ref="A35:A36"/>
    <mergeCell ref="B35:M35"/>
    <mergeCell ref="N35:O35"/>
    <mergeCell ref="P35:V35"/>
    <mergeCell ref="N36:N37"/>
    <mergeCell ref="O36:O37"/>
    <mergeCell ref="P36:Q36"/>
    <mergeCell ref="BD26:BD27"/>
    <mergeCell ref="BF26:BF27"/>
    <mergeCell ref="F28:G28"/>
    <mergeCell ref="H28:I28"/>
    <mergeCell ref="J28:K28"/>
    <mergeCell ref="L28:M28"/>
    <mergeCell ref="P28:Q28"/>
    <mergeCell ref="R28:S28"/>
    <mergeCell ref="T28:U28"/>
    <mergeCell ref="AN28:AO28"/>
    <mergeCell ref="AV26:AV27"/>
    <mergeCell ref="AX26:AX27"/>
    <mergeCell ref="AY26:AY27"/>
    <mergeCell ref="AZ26:AZ27"/>
    <mergeCell ref="BA26:BA27"/>
    <mergeCell ref="BC26:BC27"/>
    <mergeCell ref="AM26:AM27"/>
    <mergeCell ref="AQ26:AQ27"/>
    <mergeCell ref="AR26:AR27"/>
    <mergeCell ref="AS26:AS27"/>
    <mergeCell ref="AT26:AT27"/>
    <mergeCell ref="AU26:AU27"/>
    <mergeCell ref="AG26:AG27"/>
    <mergeCell ref="AH26:AH27"/>
    <mergeCell ref="AI26:AI27"/>
    <mergeCell ref="AJ26:AJ27"/>
    <mergeCell ref="AK26:AK27"/>
    <mergeCell ref="AL26:AL27"/>
    <mergeCell ref="O26:O27"/>
    <mergeCell ref="P26:Q26"/>
    <mergeCell ref="R26:S26"/>
    <mergeCell ref="T26:U26"/>
    <mergeCell ref="V26:V27"/>
    <mergeCell ref="AF26:AF27"/>
    <mergeCell ref="AQ25:AV25"/>
    <mergeCell ref="AX25:BA25"/>
    <mergeCell ref="B26:B27"/>
    <mergeCell ref="C26:C27"/>
    <mergeCell ref="D26:D27"/>
    <mergeCell ref="F26:G26"/>
    <mergeCell ref="H26:I26"/>
    <mergeCell ref="J26:K26"/>
    <mergeCell ref="L26:M26"/>
    <mergeCell ref="N26:N27"/>
    <mergeCell ref="T21:U21"/>
    <mergeCell ref="AN21:AO21"/>
    <mergeCell ref="F22:G22"/>
    <mergeCell ref="H22:I22"/>
    <mergeCell ref="P22:U22"/>
    <mergeCell ref="A25:A26"/>
    <mergeCell ref="B25:M25"/>
    <mergeCell ref="N25:O25"/>
    <mergeCell ref="P25:V25"/>
    <mergeCell ref="X25:AL25"/>
    <mergeCell ref="F21:G21"/>
    <mergeCell ref="H21:I21"/>
    <mergeCell ref="J21:K21"/>
    <mergeCell ref="L21:M21"/>
    <mergeCell ref="P21:Q21"/>
    <mergeCell ref="R21:S21"/>
    <mergeCell ref="AY19:AY20"/>
    <mergeCell ref="AZ19:AZ20"/>
    <mergeCell ref="BA19:BA20"/>
    <mergeCell ref="BC19:BC20"/>
    <mergeCell ref="BD19:BD20"/>
    <mergeCell ref="BF19:BF20"/>
    <mergeCell ref="AR19:AR20"/>
    <mergeCell ref="AS19:AS20"/>
    <mergeCell ref="AT19:AT20"/>
    <mergeCell ref="AU19:AU20"/>
    <mergeCell ref="AV19:AV20"/>
    <mergeCell ref="AX19:AX20"/>
    <mergeCell ref="AI19:AI20"/>
    <mergeCell ref="AJ19:AJ20"/>
    <mergeCell ref="AK19:AK20"/>
    <mergeCell ref="AL19:AL20"/>
    <mergeCell ref="AM19:AM20"/>
    <mergeCell ref="AQ19:AQ20"/>
    <mergeCell ref="R19:S19"/>
    <mergeCell ref="T19:U19"/>
    <mergeCell ref="V19:V20"/>
    <mergeCell ref="AF19:AF20"/>
    <mergeCell ref="AG19:AG20"/>
    <mergeCell ref="AH19:AH20"/>
    <mergeCell ref="X18:AL18"/>
    <mergeCell ref="AQ18:AV18"/>
    <mergeCell ref="AX18:BA18"/>
    <mergeCell ref="B19:B20"/>
    <mergeCell ref="C19:C20"/>
    <mergeCell ref="D19:D20"/>
    <mergeCell ref="F19:G19"/>
    <mergeCell ref="H19:I19"/>
    <mergeCell ref="J19:K19"/>
    <mergeCell ref="L19:M19"/>
    <mergeCell ref="F15:G15"/>
    <mergeCell ref="H15:I15"/>
    <mergeCell ref="P15:U15"/>
    <mergeCell ref="A18:A19"/>
    <mergeCell ref="B18:M18"/>
    <mergeCell ref="N18:O18"/>
    <mergeCell ref="P18:V18"/>
    <mergeCell ref="N19:N20"/>
    <mergeCell ref="O19:O20"/>
    <mergeCell ref="P19:Q19"/>
    <mergeCell ref="BD12:BD13"/>
    <mergeCell ref="BF12:BF13"/>
    <mergeCell ref="F14:G14"/>
    <mergeCell ref="H14:I14"/>
    <mergeCell ref="J14:K14"/>
    <mergeCell ref="L14:M14"/>
    <mergeCell ref="P14:Q14"/>
    <mergeCell ref="R14:S14"/>
    <mergeCell ref="T14:U14"/>
    <mergeCell ref="AN14:AO14"/>
    <mergeCell ref="AV12:AV13"/>
    <mergeCell ref="AX12:AX13"/>
    <mergeCell ref="AY12:AY13"/>
    <mergeCell ref="AZ12:AZ13"/>
    <mergeCell ref="BA12:BA13"/>
    <mergeCell ref="BC12:BC13"/>
    <mergeCell ref="AM12:AM13"/>
    <mergeCell ref="AQ12:AQ13"/>
    <mergeCell ref="AR12:AR13"/>
    <mergeCell ref="AS12:AS13"/>
    <mergeCell ref="AT12:AT13"/>
    <mergeCell ref="AU12:AU13"/>
    <mergeCell ref="AG12:AG13"/>
    <mergeCell ref="AH12:AH13"/>
    <mergeCell ref="AI12:AI13"/>
    <mergeCell ref="AJ12:AJ13"/>
    <mergeCell ref="AK12:AK13"/>
    <mergeCell ref="AL12:AL13"/>
    <mergeCell ref="O12:O13"/>
    <mergeCell ref="P12:Q12"/>
    <mergeCell ref="R12:S12"/>
    <mergeCell ref="T12:U12"/>
    <mergeCell ref="V12:V13"/>
    <mergeCell ref="AF12:AF13"/>
    <mergeCell ref="AQ11:AV11"/>
    <mergeCell ref="AX11:BA11"/>
    <mergeCell ref="B12:B13"/>
    <mergeCell ref="C12:C13"/>
    <mergeCell ref="D12:D13"/>
    <mergeCell ref="F12:G12"/>
    <mergeCell ref="H12:I12"/>
    <mergeCell ref="J12:K12"/>
    <mergeCell ref="L12:M12"/>
    <mergeCell ref="N12:N13"/>
    <mergeCell ref="A1:C1"/>
    <mergeCell ref="G2:U3"/>
    <mergeCell ref="A3:E3"/>
    <mergeCell ref="Z3:AE3"/>
    <mergeCell ref="D4:O4"/>
    <mergeCell ref="A11:A12"/>
    <mergeCell ref="B11:M11"/>
    <mergeCell ref="N11:O11"/>
    <mergeCell ref="P11:V11"/>
    <mergeCell ref="X11:AL11"/>
  </mergeCells>
  <phoneticPr fontId="3" type="noConversion"/>
  <dataValidations count="1">
    <dataValidation type="list" allowBlank="1" showInputMessage="1" showErrorMessage="1" sqref="C90 C166 C21 C97 C173 C199 C38 C129 C48 C55 C192 C180 C28 C76 C83 C114 C65 C137 C144 C104 C14 C185 C151 C158 C119" xr:uid="{144AA50C-87A9-439F-8A18-E0733E3F8629}">
      <formula1>카테고리</formula1>
    </dataValidation>
  </dataValidations>
  <pageMargins left="0.7" right="0.7" top="0.75" bottom="0.75" header="0.3" footer="0.3"/>
  <pageSetup paperSize="9" orientation="portrait" r:id="rId1"/>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D235D9-DE03-49C7-BC4B-4FC2F2EBD1ED}">
  <dimension ref="A1:BF24"/>
  <sheetViews>
    <sheetView topLeftCell="A4" zoomScale="85" zoomScaleNormal="85" workbookViewId="0">
      <pane xSplit="1" topLeftCell="B1" activePane="topRight" state="frozen"/>
      <selection activeCell="E44" sqref="E44"/>
      <selection pane="topRight" activeCell="I20" sqref="I20"/>
    </sheetView>
  </sheetViews>
  <sheetFormatPr defaultColWidth="9" defaultRowHeight="16.5" x14ac:dyDescent="0.3"/>
  <cols>
    <col min="1" max="1" width="17.5" style="1" customWidth="1"/>
    <col min="2" max="2" width="7" style="1" bestFit="1" customWidth="1"/>
    <col min="3" max="3" width="8.25" style="1" bestFit="1" customWidth="1"/>
    <col min="4" max="4" width="10.625" style="1" customWidth="1"/>
    <col min="5" max="5" width="10" style="1" bestFit="1" customWidth="1"/>
    <col min="6" max="6" width="6.125" style="1" customWidth="1"/>
    <col min="7" max="7" width="10" style="1" bestFit="1" customWidth="1"/>
    <col min="8" max="8" width="7.25" style="1" bestFit="1" customWidth="1"/>
    <col min="9" max="9" width="8.625" style="1" customWidth="1"/>
    <col min="10" max="10" width="7.25" style="1" bestFit="1" customWidth="1"/>
    <col min="11" max="11" width="10" style="1" bestFit="1" customWidth="1"/>
    <col min="12" max="12" width="5.375" style="1" customWidth="1"/>
    <col min="13" max="13" width="8.625" style="1" customWidth="1"/>
    <col min="14" max="14" width="12.75" style="1" bestFit="1" customWidth="1"/>
    <col min="15" max="15" width="16" style="1" customWidth="1"/>
    <col min="16" max="16" width="5.375" style="1" bestFit="1" customWidth="1"/>
    <col min="17" max="17" width="9.875" style="1" bestFit="1" customWidth="1"/>
    <col min="18" max="18" width="5.375" style="1" bestFit="1" customWidth="1"/>
    <col min="19" max="19" width="7.5" style="1" bestFit="1" customWidth="1"/>
    <col min="20" max="20" width="5.375" style="1" bestFit="1" customWidth="1"/>
    <col min="21" max="21" width="7.5" style="1" bestFit="1" customWidth="1"/>
    <col min="22" max="22" width="15" style="1" bestFit="1" customWidth="1"/>
    <col min="23" max="23" width="2.625" style="1" customWidth="1"/>
    <col min="24" max="24" width="9.375" style="1" bestFit="1" customWidth="1"/>
    <col min="25" max="25" width="10.625" style="1" hidden="1" customWidth="1"/>
    <col min="26" max="26" width="11" style="1" customWidth="1"/>
    <col min="27" max="27" width="12.75" style="1" hidden="1" customWidth="1"/>
    <col min="28" max="28" width="10.625" style="1" hidden="1" customWidth="1"/>
    <col min="29" max="29" width="11.5" style="1" customWidth="1"/>
    <col min="30" max="30" width="12.75" style="1" customWidth="1"/>
    <col min="31" max="31" width="10.625" style="1" customWidth="1"/>
    <col min="32" max="32" width="5.375" style="1" hidden="1" customWidth="1"/>
    <col min="33" max="33" width="8.75" style="1" bestFit="1" customWidth="1"/>
    <col min="34" max="34" width="10.25" style="1" bestFit="1" customWidth="1"/>
    <col min="35" max="35" width="13.375" style="1" customWidth="1"/>
    <col min="36" max="36" width="9.5" style="1" bestFit="1" customWidth="1"/>
    <col min="37" max="37" width="9.625" style="1" customWidth="1"/>
    <col min="38" max="38" width="7.375" style="2" bestFit="1" customWidth="1"/>
    <col min="39" max="39" width="8.25" style="2" bestFit="1" customWidth="1"/>
    <col min="40" max="41" width="6.875" style="2" bestFit="1" customWidth="1"/>
    <col min="42" max="42" width="1.875" style="1" customWidth="1"/>
    <col min="43" max="43" width="9.375" style="1" customWidth="1"/>
    <col min="44" max="44" width="5.875" style="1" customWidth="1"/>
    <col min="45" max="45" width="9.5" style="1" hidden="1" customWidth="1"/>
    <col min="46" max="46" width="6.125" style="1" hidden="1" customWidth="1"/>
    <col min="47" max="47" width="9.875" style="1" bestFit="1" customWidth="1"/>
    <col min="48" max="48" width="7.375" style="1" bestFit="1" customWidth="1"/>
    <col min="49" max="49" width="2.625" style="1" customWidth="1"/>
    <col min="50" max="50" width="16.625" style="1" customWidth="1"/>
    <col min="51" max="51" width="9" style="1"/>
    <col min="52" max="52" width="12" style="1" customWidth="1"/>
    <col min="53" max="53" width="13.375" style="1" customWidth="1"/>
    <col min="54" max="54" width="2.875" style="1" customWidth="1"/>
    <col min="55" max="55" width="38.25" style="1" customWidth="1"/>
    <col min="56" max="56" width="5.375" style="1" bestFit="1" customWidth="1"/>
    <col min="57" max="57" width="1.375" style="1" customWidth="1"/>
    <col min="58" max="58" width="39.125" style="1" customWidth="1"/>
    <col min="59" max="59" width="1.125" style="1" customWidth="1"/>
    <col min="60" max="16384" width="9" style="1"/>
  </cols>
  <sheetData>
    <row r="1" spans="1:58" ht="45.75" customHeight="1" x14ac:dyDescent="0.3">
      <c r="A1" s="145"/>
      <c r="B1" s="145"/>
      <c r="C1" s="145"/>
      <c r="D1" s="44"/>
      <c r="E1" s="44"/>
      <c r="F1" s="44"/>
      <c r="G1" s="45"/>
      <c r="H1" s="45"/>
      <c r="I1" s="45"/>
      <c r="J1" s="45"/>
      <c r="K1" s="45"/>
      <c r="L1" s="45"/>
      <c r="M1" s="45"/>
      <c r="N1" s="45"/>
      <c r="O1" s="45"/>
      <c r="P1" s="45"/>
      <c r="Q1" s="45"/>
      <c r="R1" s="45"/>
      <c r="S1" s="45"/>
      <c r="T1" s="45"/>
      <c r="U1" s="45"/>
      <c r="V1" s="45"/>
      <c r="X1" s="44"/>
      <c r="Y1" s="44"/>
      <c r="Z1" s="44"/>
      <c r="AA1" s="44"/>
      <c r="AB1" s="44"/>
      <c r="AC1" s="44"/>
      <c r="AD1" s="44"/>
      <c r="AE1" s="44"/>
      <c r="AF1" s="44"/>
    </row>
    <row r="2" spans="1:58" ht="45.75" customHeight="1" x14ac:dyDescent="0.3">
      <c r="A2" s="45"/>
      <c r="B2" s="45"/>
      <c r="C2" s="45"/>
      <c r="D2" s="44"/>
      <c r="E2" s="44"/>
      <c r="F2" s="44"/>
      <c r="G2" s="146" t="s">
        <v>131</v>
      </c>
      <c r="H2" s="146"/>
      <c r="I2" s="146"/>
      <c r="J2" s="146"/>
      <c r="K2" s="146"/>
      <c r="L2" s="146"/>
      <c r="M2" s="146"/>
      <c r="N2" s="146"/>
      <c r="O2" s="146"/>
      <c r="P2" s="146"/>
      <c r="Q2" s="146"/>
      <c r="R2" s="146"/>
      <c r="S2" s="146"/>
      <c r="T2" s="146"/>
      <c r="U2" s="146"/>
      <c r="V2" s="104"/>
      <c r="X2" s="44"/>
      <c r="Y2" s="44"/>
      <c r="Z2" s="44"/>
      <c r="AA2" s="44"/>
      <c r="AB2" s="45" t="s">
        <v>120</v>
      </c>
      <c r="AC2" s="44"/>
      <c r="AD2" s="44"/>
      <c r="AE2" s="44"/>
      <c r="AF2" s="44"/>
      <c r="AI2" s="1" t="s">
        <v>119</v>
      </c>
    </row>
    <row r="3" spans="1:58" s="45" customFormat="1" ht="409.5" customHeight="1" x14ac:dyDescent="0.3">
      <c r="A3" s="146" t="s">
        <v>116</v>
      </c>
      <c r="B3" s="146"/>
      <c r="C3" s="146"/>
      <c r="D3" s="146"/>
      <c r="E3" s="146"/>
      <c r="G3" s="146"/>
      <c r="H3" s="146"/>
      <c r="I3" s="146"/>
      <c r="J3" s="146"/>
      <c r="K3" s="146"/>
      <c r="L3" s="146"/>
      <c r="M3" s="146"/>
      <c r="N3" s="146"/>
      <c r="O3" s="146"/>
      <c r="P3" s="146"/>
      <c r="Q3" s="146"/>
      <c r="R3" s="146"/>
      <c r="S3" s="146"/>
      <c r="T3" s="146"/>
      <c r="U3" s="146"/>
      <c r="V3" s="104"/>
      <c r="Y3" s="46"/>
      <c r="Z3" s="146"/>
      <c r="AA3" s="146"/>
      <c r="AB3" s="146"/>
      <c r="AC3" s="146"/>
      <c r="AD3" s="146"/>
      <c r="AE3" s="146"/>
    </row>
    <row r="4" spans="1:58" s="45" customFormat="1" ht="18" customHeight="1" x14ac:dyDescent="0.3">
      <c r="D4" s="147"/>
      <c r="E4" s="147"/>
      <c r="F4" s="147"/>
      <c r="G4" s="147"/>
      <c r="H4" s="147"/>
      <c r="I4" s="147"/>
      <c r="J4" s="147"/>
      <c r="K4" s="147"/>
      <c r="L4" s="147"/>
      <c r="M4" s="147"/>
      <c r="N4" s="147"/>
      <c r="O4" s="147"/>
      <c r="P4" s="103"/>
      <c r="Q4" s="103"/>
      <c r="R4" s="103"/>
      <c r="S4" s="103"/>
      <c r="T4" s="103"/>
      <c r="U4" s="103"/>
      <c r="V4" s="103"/>
    </row>
    <row r="5" spans="1:58" x14ac:dyDescent="0.3">
      <c r="A5" s="43"/>
      <c r="B5" s="43"/>
      <c r="C5" s="43"/>
    </row>
    <row r="6" spans="1:58" x14ac:dyDescent="0.3">
      <c r="W6" s="41"/>
      <c r="AK6" s="41"/>
      <c r="AL6" s="40"/>
      <c r="AM6" s="40"/>
      <c r="AN6" s="40"/>
      <c r="AO6" s="40"/>
    </row>
    <row r="7" spans="1:58" x14ac:dyDescent="0.3">
      <c r="A7" s="43"/>
      <c r="B7" s="43"/>
      <c r="C7" s="43"/>
      <c r="D7" s="5"/>
    </row>
    <row r="8" spans="1:58" x14ac:dyDescent="0.3">
      <c r="A8" s="43"/>
      <c r="B8" s="43"/>
      <c r="C8" s="43"/>
      <c r="D8" s="5"/>
    </row>
    <row r="9" spans="1:58" x14ac:dyDescent="0.3">
      <c r="D9" s="5"/>
      <c r="E9" s="4"/>
      <c r="F9" s="42"/>
      <c r="G9" s="42"/>
      <c r="I9" s="54"/>
      <c r="O9" s="4"/>
      <c r="P9" s="4"/>
      <c r="Q9" s="4"/>
      <c r="R9" s="4"/>
      <c r="S9" s="4"/>
      <c r="T9" s="4"/>
      <c r="U9" s="4"/>
      <c r="V9" s="4"/>
      <c r="AB9" s="3"/>
      <c r="AC9" s="3"/>
      <c r="AD9" s="3"/>
      <c r="AK9" s="57"/>
    </row>
    <row r="10" spans="1:58" x14ac:dyDescent="0.3">
      <c r="D10" s="5"/>
      <c r="E10" s="4"/>
      <c r="F10" s="42"/>
      <c r="G10" s="42"/>
      <c r="I10" s="54"/>
      <c r="AB10" s="3"/>
      <c r="AC10" s="3"/>
      <c r="AD10" s="3"/>
    </row>
    <row r="11" spans="1:58" s="87" customFormat="1" ht="30" customHeight="1" x14ac:dyDescent="0.3">
      <c r="A11" s="84" t="s">
        <v>171</v>
      </c>
      <c r="B11" s="85"/>
      <c r="C11" s="85"/>
      <c r="D11" s="86"/>
      <c r="AL11" s="88"/>
      <c r="AM11" s="88"/>
      <c r="AN11" s="88"/>
      <c r="AO11" s="88"/>
    </row>
    <row r="12" spans="1:58" x14ac:dyDescent="0.3">
      <c r="A12" s="43"/>
      <c r="B12" s="43"/>
      <c r="C12" s="43"/>
      <c r="D12" s="5"/>
    </row>
    <row r="13" spans="1:58" ht="27" customHeight="1" x14ac:dyDescent="0.3">
      <c r="A13" s="153" t="s">
        <v>34</v>
      </c>
      <c r="B13" s="127" t="s">
        <v>173</v>
      </c>
      <c r="C13" s="128"/>
      <c r="D13" s="128"/>
      <c r="E13" s="128"/>
      <c r="F13" s="128"/>
      <c r="G13" s="128"/>
      <c r="H13" s="128"/>
      <c r="I13" s="128"/>
      <c r="J13" s="128"/>
      <c r="K13" s="128"/>
      <c r="L13" s="128"/>
      <c r="M13" s="156"/>
      <c r="N13" s="127" t="s">
        <v>141</v>
      </c>
      <c r="O13" s="156"/>
      <c r="P13" s="127" t="s">
        <v>167</v>
      </c>
      <c r="Q13" s="128"/>
      <c r="R13" s="128"/>
      <c r="S13" s="128"/>
      <c r="T13" s="128"/>
      <c r="U13" s="128"/>
      <c r="V13" s="156"/>
      <c r="X13" s="130" t="s">
        <v>33</v>
      </c>
      <c r="Y13" s="131"/>
      <c r="Z13" s="131"/>
      <c r="AA13" s="131"/>
      <c r="AB13" s="131"/>
      <c r="AC13" s="131"/>
      <c r="AD13" s="131"/>
      <c r="AE13" s="131"/>
      <c r="AF13" s="131"/>
      <c r="AG13" s="131"/>
      <c r="AH13" s="131"/>
      <c r="AI13" s="131"/>
      <c r="AJ13" s="131"/>
      <c r="AK13" s="131"/>
      <c r="AL13" s="132"/>
      <c r="AM13" s="37"/>
      <c r="AQ13" s="130" t="s">
        <v>32</v>
      </c>
      <c r="AR13" s="131"/>
      <c r="AS13" s="131"/>
      <c r="AT13" s="131"/>
      <c r="AU13" s="131"/>
      <c r="AV13" s="132"/>
      <c r="AX13" s="130" t="s">
        <v>31</v>
      </c>
      <c r="AY13" s="131"/>
      <c r="AZ13" s="131"/>
      <c r="BA13" s="132"/>
      <c r="BC13" s="47" t="s">
        <v>36</v>
      </c>
      <c r="BD13" s="48"/>
      <c r="BF13" s="36"/>
    </row>
    <row r="14" spans="1:58" ht="32.25" customHeight="1" x14ac:dyDescent="0.3">
      <c r="A14" s="153"/>
      <c r="B14" s="133" t="s">
        <v>30</v>
      </c>
      <c r="C14" s="133" t="s">
        <v>29</v>
      </c>
      <c r="D14" s="116" t="s">
        <v>27</v>
      </c>
      <c r="E14" s="34" t="s">
        <v>26</v>
      </c>
      <c r="F14" s="122" t="s">
        <v>63</v>
      </c>
      <c r="G14" s="123"/>
      <c r="H14" s="122" t="s">
        <v>50</v>
      </c>
      <c r="I14" s="123"/>
      <c r="J14" s="122" t="s">
        <v>146</v>
      </c>
      <c r="K14" s="123"/>
      <c r="L14" s="122" t="s">
        <v>25</v>
      </c>
      <c r="M14" s="123"/>
      <c r="N14" s="106" t="s">
        <v>23</v>
      </c>
      <c r="O14" s="151" t="s">
        <v>137</v>
      </c>
      <c r="P14" s="122" t="s">
        <v>136</v>
      </c>
      <c r="Q14" s="123"/>
      <c r="R14" s="122" t="s">
        <v>143</v>
      </c>
      <c r="S14" s="123"/>
      <c r="T14" s="122" t="s">
        <v>144</v>
      </c>
      <c r="U14" s="123"/>
      <c r="V14" s="159" t="s">
        <v>142</v>
      </c>
      <c r="W14" s="21"/>
      <c r="X14" s="34" t="s">
        <v>21</v>
      </c>
      <c r="Y14" s="34" t="s">
        <v>20</v>
      </c>
      <c r="Z14" s="34" t="s">
        <v>95</v>
      </c>
      <c r="AA14" s="34" t="s">
        <v>19</v>
      </c>
      <c r="AB14" s="34" t="s">
        <v>18</v>
      </c>
      <c r="AC14" s="34" t="s">
        <v>48</v>
      </c>
      <c r="AD14" s="34" t="s">
        <v>49</v>
      </c>
      <c r="AE14" s="34" t="s">
        <v>17</v>
      </c>
      <c r="AF14" s="106" t="s">
        <v>16</v>
      </c>
      <c r="AG14" s="106" t="s">
        <v>15</v>
      </c>
      <c r="AH14" s="106" t="s">
        <v>14</v>
      </c>
      <c r="AI14" s="106" t="s">
        <v>13</v>
      </c>
      <c r="AJ14" s="106" t="s">
        <v>12</v>
      </c>
      <c r="AK14" s="116" t="s">
        <v>11</v>
      </c>
      <c r="AL14" s="118" t="s">
        <v>10</v>
      </c>
      <c r="AM14" s="120" t="s">
        <v>9</v>
      </c>
      <c r="AN14" s="35">
        <f>(1-O16/E16)</f>
        <v>0.17585164835164835</v>
      </c>
      <c r="AO14" s="35">
        <f>1-(AH16+AQ16)/E16</f>
        <v>0.15906593406593406</v>
      </c>
      <c r="AQ14" s="106" t="s">
        <v>8</v>
      </c>
      <c r="AR14" s="106" t="s">
        <v>7</v>
      </c>
      <c r="AS14" s="106" t="s">
        <v>37</v>
      </c>
      <c r="AT14" s="106" t="s">
        <v>38</v>
      </c>
      <c r="AU14" s="106" t="s">
        <v>6</v>
      </c>
      <c r="AV14" s="106" t="s">
        <v>5</v>
      </c>
      <c r="AX14" s="106" t="s">
        <v>4</v>
      </c>
      <c r="AY14" s="106" t="s">
        <v>3</v>
      </c>
      <c r="AZ14" s="106" t="s">
        <v>2</v>
      </c>
      <c r="BA14" s="106" t="s">
        <v>1</v>
      </c>
      <c r="BC14" s="108"/>
      <c r="BD14" s="108"/>
      <c r="BF14" s="106"/>
    </row>
    <row r="15" spans="1:58" ht="27" customHeight="1" x14ac:dyDescent="0.3">
      <c r="A15" s="154" t="s">
        <v>157</v>
      </c>
      <c r="B15" s="134"/>
      <c r="C15" s="134"/>
      <c r="D15" s="117"/>
      <c r="E15" s="31">
        <v>0</v>
      </c>
      <c r="F15" s="33">
        <v>0.09</v>
      </c>
      <c r="G15" s="32">
        <v>1000000</v>
      </c>
      <c r="H15" s="31">
        <v>1</v>
      </c>
      <c r="I15" s="32">
        <v>100000</v>
      </c>
      <c r="J15" s="31">
        <v>1</v>
      </c>
      <c r="K15" s="32">
        <v>0</v>
      </c>
      <c r="L15" s="31">
        <v>7.0000000000000007E-2</v>
      </c>
      <c r="M15" s="32">
        <v>150000</v>
      </c>
      <c r="N15" s="107"/>
      <c r="O15" s="152"/>
      <c r="P15" s="31">
        <v>0.02</v>
      </c>
      <c r="Q15" s="32">
        <v>1000000</v>
      </c>
      <c r="R15" s="31">
        <v>0.05</v>
      </c>
      <c r="S15" s="32">
        <v>10000</v>
      </c>
      <c r="T15" s="31">
        <v>0.02</v>
      </c>
      <c r="U15" s="32">
        <v>60000</v>
      </c>
      <c r="V15" s="159"/>
      <c r="W15" s="21"/>
      <c r="X15" s="31">
        <f>IF(C16="노트북",7%,IF(C16="저장&amp;주변기기",9%,IF(C16="모니터",7%)))</f>
        <v>7.0000000000000007E-2</v>
      </c>
      <c r="Y15" s="31">
        <v>0</v>
      </c>
      <c r="Z15" s="31">
        <v>0.03</v>
      </c>
      <c r="AA15" s="31">
        <f>IF(F15=0%,20%,0%)</f>
        <v>0</v>
      </c>
      <c r="AB15" s="30">
        <v>0</v>
      </c>
      <c r="AC15" s="30">
        <v>1</v>
      </c>
      <c r="AD15" s="53">
        <v>1</v>
      </c>
      <c r="AE15" s="29">
        <v>0.5</v>
      </c>
      <c r="AF15" s="107"/>
      <c r="AG15" s="107"/>
      <c r="AH15" s="107"/>
      <c r="AI15" s="107"/>
      <c r="AJ15" s="107"/>
      <c r="AK15" s="117"/>
      <c r="AL15" s="119"/>
      <c r="AM15" s="121"/>
      <c r="AN15" s="55" t="s">
        <v>52</v>
      </c>
      <c r="AO15" s="56">
        <f>AN14-AO14</f>
        <v>1.6785714285714293E-2</v>
      </c>
      <c r="AQ15" s="107"/>
      <c r="AR15" s="107"/>
      <c r="AS15" s="107"/>
      <c r="AT15" s="107"/>
      <c r="AU15" s="107"/>
      <c r="AV15" s="107"/>
      <c r="AW15" s="39"/>
      <c r="AX15" s="107"/>
      <c r="AY15" s="117"/>
      <c r="AZ15" s="107"/>
      <c r="BA15" s="107"/>
      <c r="BC15" s="109"/>
      <c r="BD15" s="109"/>
      <c r="BF15" s="107"/>
    </row>
    <row r="16" spans="1:58" ht="27" customHeight="1" x14ac:dyDescent="0.3">
      <c r="A16" s="51">
        <v>4627000479</v>
      </c>
      <c r="B16" s="38" t="s">
        <v>35</v>
      </c>
      <c r="C16" s="27" t="s">
        <v>80</v>
      </c>
      <c r="D16" s="25">
        <v>2912000</v>
      </c>
      <c r="E16" s="24">
        <f>ROUNDDOWN(D16/(1-E15),-1)</f>
        <v>2912000</v>
      </c>
      <c r="F16" s="110">
        <f>ROUNDDOWN(IF(E16*F15&gt;G15,G15,E16*F15),-1)</f>
        <v>262080</v>
      </c>
      <c r="G16" s="111"/>
      <c r="H16" s="112">
        <f>ROUNDDOWN(IF(E16*H15&gt;I15,I15,E16*H15),-1)</f>
        <v>100000</v>
      </c>
      <c r="I16" s="113"/>
      <c r="J16" s="112">
        <f>ROUNDDOWN(IF(E16*J15&gt;K15,K15,E16*J15),-1)</f>
        <v>0</v>
      </c>
      <c r="K16" s="113"/>
      <c r="L16" s="110">
        <f>ROUNDDOWN(IF(N16*L15&gt;M15,M15,N16*L15),-1)</f>
        <v>150000</v>
      </c>
      <c r="M16" s="111"/>
      <c r="N16" s="23">
        <f>E16-F16-H16-J16</f>
        <v>2549920</v>
      </c>
      <c r="O16" s="22">
        <f>E16-F16-H16-J16-L16</f>
        <v>2399920</v>
      </c>
      <c r="P16" s="110">
        <f>ROUNDDOWN(IF(N16*P15&gt;Q15,Q15,N16*P15),-1)</f>
        <v>50990</v>
      </c>
      <c r="Q16" s="111"/>
      <c r="R16" s="110">
        <f>ROUNDDOWN(IF(N16*R15&gt;S15,S15,N16*R15),-1)</f>
        <v>10000</v>
      </c>
      <c r="S16" s="111"/>
      <c r="T16" s="110">
        <f>ROUNDDOWN(IF(N16*T15&gt;U15,U15,N16*T15),-1)</f>
        <v>50990</v>
      </c>
      <c r="U16" s="111"/>
      <c r="V16" s="158">
        <f>O16-P16-R16-T16</f>
        <v>2287940</v>
      </c>
      <c r="W16" s="21"/>
      <c r="X16" s="20">
        <f>E16*X15</f>
        <v>203840.00000000003</v>
      </c>
      <c r="Y16" s="20">
        <f>E16*Y15</f>
        <v>0</v>
      </c>
      <c r="Z16" s="20">
        <f>(E16-H16)*Z15</f>
        <v>84360</v>
      </c>
      <c r="AA16" s="19">
        <f>(E16*E15)*AA15</f>
        <v>0</v>
      </c>
      <c r="AB16" s="19">
        <f>F16*AB15</f>
        <v>0</v>
      </c>
      <c r="AC16" s="19">
        <f>H16*AC15</f>
        <v>100000</v>
      </c>
      <c r="AD16" s="19">
        <f>J16*AD15</f>
        <v>0</v>
      </c>
      <c r="AE16" s="19">
        <f>L16*AE15</f>
        <v>75000</v>
      </c>
      <c r="AF16" s="19">
        <v>0</v>
      </c>
      <c r="AG16" s="16">
        <v>8000</v>
      </c>
      <c r="AH16" s="18">
        <f>E16-X16-Y16-Z16-AA16-AE16-AB16-AC16-AD16-AF16</f>
        <v>2448800</v>
      </c>
      <c r="AI16" s="18">
        <f>E16-X16-Y16-Z16-AA16-AB16-AC16-AD16-AE16-AF16-AG16</f>
        <v>2440800</v>
      </c>
      <c r="AJ16" s="17">
        <f>AI16-AK16</f>
        <v>561800</v>
      </c>
      <c r="AK16" s="16">
        <v>1879000</v>
      </c>
      <c r="AL16" s="15">
        <f>AJ16/AK16</f>
        <v>0.29898882384246939</v>
      </c>
      <c r="AM16" s="14">
        <f>1-O16/(AK16-AQ16-AR16-AS16)</f>
        <v>-0.27723257051623196</v>
      </c>
      <c r="AN16" s="114">
        <f>(1-O16/E16)-(1-(AH16)/E16)</f>
        <v>1.6785714285714293E-2</v>
      </c>
      <c r="AO16" s="115"/>
      <c r="AQ16" s="13">
        <v>0</v>
      </c>
      <c r="AR16" s="12">
        <f>AB16*AR15</f>
        <v>0</v>
      </c>
      <c r="AS16" s="12">
        <v>0</v>
      </c>
      <c r="AT16" s="12"/>
      <c r="AU16" s="11">
        <f>AI16-(AK16-AQ16-AR16-AS16-AT16)</f>
        <v>561800</v>
      </c>
      <c r="AV16" s="8">
        <f>AU16/AK16</f>
        <v>0.29898882384246939</v>
      </c>
      <c r="AX16" s="10">
        <v>0</v>
      </c>
      <c r="AY16" s="10">
        <v>0</v>
      </c>
      <c r="AZ16" s="9">
        <f>AU16-AX16-AY16</f>
        <v>561800</v>
      </c>
      <c r="BA16" s="8">
        <f>AZ16/AK16</f>
        <v>0.29898882384246939</v>
      </c>
      <c r="BC16" s="49"/>
      <c r="BD16" s="50"/>
      <c r="BF16" s="6"/>
    </row>
    <row r="17" spans="1:58" x14ac:dyDescent="0.3">
      <c r="D17" s="4">
        <v>2099000</v>
      </c>
      <c r="E17" s="4">
        <f>ROUNDDOWN(D17/(1-E15),-1)</f>
        <v>2099000</v>
      </c>
      <c r="F17" s="138">
        <f>E16-F16</f>
        <v>2649920</v>
      </c>
      <c r="G17" s="138"/>
      <c r="H17" s="157">
        <f>E16-F16-H16</f>
        <v>2549920</v>
      </c>
      <c r="I17" s="157"/>
      <c r="O17" s="4"/>
      <c r="P17" s="162">
        <f>SUM(P16:U16)</f>
        <v>111980</v>
      </c>
      <c r="Q17" s="163"/>
      <c r="R17" s="163"/>
      <c r="S17" s="163"/>
      <c r="T17" s="163"/>
      <c r="U17" s="164"/>
      <c r="V17" s="4"/>
      <c r="AB17" s="3">
        <f>F17*AB15</f>
        <v>0</v>
      </c>
      <c r="AC17" s="3"/>
      <c r="AD17" s="3"/>
    </row>
    <row r="18" spans="1:58" ht="27" customHeight="1" x14ac:dyDescent="0.3">
      <c r="A18" s="153" t="s">
        <v>34</v>
      </c>
      <c r="B18" s="127" t="s">
        <v>174</v>
      </c>
      <c r="C18" s="128"/>
      <c r="D18" s="128"/>
      <c r="E18" s="128"/>
      <c r="F18" s="128"/>
      <c r="G18" s="128"/>
      <c r="H18" s="128"/>
      <c r="I18" s="128"/>
      <c r="J18" s="128"/>
      <c r="K18" s="128"/>
      <c r="L18" s="128"/>
      <c r="M18" s="156"/>
      <c r="N18" s="127" t="s">
        <v>141</v>
      </c>
      <c r="O18" s="156"/>
      <c r="P18" s="127" t="s">
        <v>167</v>
      </c>
      <c r="Q18" s="128"/>
      <c r="R18" s="128"/>
      <c r="S18" s="128"/>
      <c r="T18" s="128"/>
      <c r="U18" s="128"/>
      <c r="V18" s="156"/>
      <c r="X18" s="130" t="s">
        <v>33</v>
      </c>
      <c r="Y18" s="131"/>
      <c r="Z18" s="131"/>
      <c r="AA18" s="131"/>
      <c r="AB18" s="131"/>
      <c r="AC18" s="131"/>
      <c r="AD18" s="131"/>
      <c r="AE18" s="131"/>
      <c r="AF18" s="131"/>
      <c r="AG18" s="131"/>
      <c r="AH18" s="131"/>
      <c r="AI18" s="131"/>
      <c r="AJ18" s="131"/>
      <c r="AK18" s="131"/>
      <c r="AL18" s="132"/>
      <c r="AM18" s="37"/>
      <c r="AQ18" s="130" t="s">
        <v>32</v>
      </c>
      <c r="AR18" s="131"/>
      <c r="AS18" s="131"/>
      <c r="AT18" s="131"/>
      <c r="AU18" s="131"/>
      <c r="AV18" s="132"/>
      <c r="AX18" s="130" t="s">
        <v>31</v>
      </c>
      <c r="AY18" s="131"/>
      <c r="AZ18" s="131"/>
      <c r="BA18" s="132"/>
      <c r="BC18" s="47" t="s">
        <v>36</v>
      </c>
      <c r="BD18" s="48"/>
      <c r="BF18" s="36"/>
    </row>
    <row r="19" spans="1:58" ht="32.25" customHeight="1" x14ac:dyDescent="0.3">
      <c r="A19" s="153"/>
      <c r="B19" s="133" t="s">
        <v>30</v>
      </c>
      <c r="C19" s="133" t="s">
        <v>29</v>
      </c>
      <c r="D19" s="116" t="s">
        <v>27</v>
      </c>
      <c r="E19" s="34" t="s">
        <v>26</v>
      </c>
      <c r="F19" s="122" t="s">
        <v>63</v>
      </c>
      <c r="G19" s="123"/>
      <c r="H19" s="122" t="s">
        <v>50</v>
      </c>
      <c r="I19" s="123"/>
      <c r="J19" s="122" t="s">
        <v>146</v>
      </c>
      <c r="K19" s="123"/>
      <c r="L19" s="122" t="s">
        <v>25</v>
      </c>
      <c r="M19" s="123"/>
      <c r="N19" s="106" t="s">
        <v>23</v>
      </c>
      <c r="O19" s="151" t="s">
        <v>137</v>
      </c>
      <c r="P19" s="122" t="s">
        <v>136</v>
      </c>
      <c r="Q19" s="123"/>
      <c r="R19" s="122" t="s">
        <v>143</v>
      </c>
      <c r="S19" s="123"/>
      <c r="T19" s="122" t="s">
        <v>144</v>
      </c>
      <c r="U19" s="123"/>
      <c r="V19" s="159" t="s">
        <v>142</v>
      </c>
      <c r="W19" s="21"/>
      <c r="X19" s="34" t="s">
        <v>21</v>
      </c>
      <c r="Y19" s="34" t="s">
        <v>20</v>
      </c>
      <c r="Z19" s="34" t="s">
        <v>95</v>
      </c>
      <c r="AA19" s="34" t="s">
        <v>19</v>
      </c>
      <c r="AB19" s="34" t="s">
        <v>18</v>
      </c>
      <c r="AC19" s="34" t="s">
        <v>48</v>
      </c>
      <c r="AD19" s="34" t="s">
        <v>49</v>
      </c>
      <c r="AE19" s="34" t="s">
        <v>17</v>
      </c>
      <c r="AF19" s="106" t="s">
        <v>16</v>
      </c>
      <c r="AG19" s="106" t="s">
        <v>15</v>
      </c>
      <c r="AH19" s="106" t="s">
        <v>14</v>
      </c>
      <c r="AI19" s="106" t="s">
        <v>13</v>
      </c>
      <c r="AJ19" s="106" t="s">
        <v>12</v>
      </c>
      <c r="AK19" s="116" t="s">
        <v>11</v>
      </c>
      <c r="AL19" s="118" t="s">
        <v>10</v>
      </c>
      <c r="AM19" s="120" t="s">
        <v>9</v>
      </c>
      <c r="AN19" s="35">
        <f>(1-O21/E21)</f>
        <v>0.12533568904593639</v>
      </c>
      <c r="AO19" s="35">
        <f>1-(AH21+AQ21)/E21</f>
        <v>0.13427561837455826</v>
      </c>
      <c r="AQ19" s="106" t="s">
        <v>8</v>
      </c>
      <c r="AR19" s="106" t="s">
        <v>7</v>
      </c>
      <c r="AS19" s="106" t="s">
        <v>37</v>
      </c>
      <c r="AT19" s="106" t="s">
        <v>38</v>
      </c>
      <c r="AU19" s="106" t="s">
        <v>6</v>
      </c>
      <c r="AV19" s="106" t="s">
        <v>5</v>
      </c>
      <c r="AX19" s="106" t="s">
        <v>4</v>
      </c>
      <c r="AY19" s="106" t="s">
        <v>3</v>
      </c>
      <c r="AZ19" s="106" t="s">
        <v>2</v>
      </c>
      <c r="BA19" s="106" t="s">
        <v>1</v>
      </c>
      <c r="BC19" s="108"/>
      <c r="BD19" s="108"/>
      <c r="BF19" s="106"/>
    </row>
    <row r="20" spans="1:58" ht="27" customHeight="1" x14ac:dyDescent="0.3">
      <c r="A20" s="154" t="s">
        <v>157</v>
      </c>
      <c r="B20" s="134"/>
      <c r="C20" s="134"/>
      <c r="D20" s="117"/>
      <c r="E20" s="31">
        <v>0</v>
      </c>
      <c r="F20" s="33">
        <v>0.09</v>
      </c>
      <c r="G20" s="32">
        <v>1000000</v>
      </c>
      <c r="H20" s="31">
        <v>1</v>
      </c>
      <c r="I20" s="32">
        <v>100000</v>
      </c>
      <c r="J20" s="31">
        <v>1</v>
      </c>
      <c r="K20" s="32">
        <v>0</v>
      </c>
      <c r="L20" s="31">
        <v>0</v>
      </c>
      <c r="M20" s="32">
        <v>150000</v>
      </c>
      <c r="N20" s="107"/>
      <c r="O20" s="152"/>
      <c r="P20" s="31">
        <v>0.02</v>
      </c>
      <c r="Q20" s="32">
        <v>1000000</v>
      </c>
      <c r="R20" s="31">
        <v>0.05</v>
      </c>
      <c r="S20" s="32">
        <v>10000</v>
      </c>
      <c r="T20" s="31">
        <v>0.02</v>
      </c>
      <c r="U20" s="32">
        <v>60000</v>
      </c>
      <c r="V20" s="159"/>
      <c r="W20" s="21"/>
      <c r="X20" s="31">
        <f>IF(C21="노트북",7%,IF(C21="저장&amp;주변기기",9%,IF(C21="모니터",7%)))</f>
        <v>7.0000000000000007E-2</v>
      </c>
      <c r="Y20" s="31">
        <v>0</v>
      </c>
      <c r="Z20" s="31">
        <v>0.03</v>
      </c>
      <c r="AA20" s="31">
        <f>IF(F20=0%,20%,0%)</f>
        <v>0</v>
      </c>
      <c r="AB20" s="30">
        <v>0</v>
      </c>
      <c r="AC20" s="30">
        <v>1</v>
      </c>
      <c r="AD20" s="53">
        <v>1</v>
      </c>
      <c r="AE20" s="29">
        <v>0.5</v>
      </c>
      <c r="AF20" s="107"/>
      <c r="AG20" s="107"/>
      <c r="AH20" s="107"/>
      <c r="AI20" s="107"/>
      <c r="AJ20" s="107"/>
      <c r="AK20" s="117"/>
      <c r="AL20" s="119"/>
      <c r="AM20" s="121"/>
      <c r="AN20" s="55" t="s">
        <v>52</v>
      </c>
      <c r="AO20" s="56">
        <f>AN19-AO19</f>
        <v>-8.9399293286218651E-3</v>
      </c>
      <c r="AQ20" s="107"/>
      <c r="AR20" s="107"/>
      <c r="AS20" s="107"/>
      <c r="AT20" s="107"/>
      <c r="AU20" s="107"/>
      <c r="AV20" s="107"/>
      <c r="AW20" s="39"/>
      <c r="AX20" s="107"/>
      <c r="AY20" s="117"/>
      <c r="AZ20" s="107"/>
      <c r="BA20" s="107"/>
      <c r="BC20" s="109"/>
      <c r="BD20" s="109"/>
      <c r="BF20" s="107"/>
    </row>
    <row r="21" spans="1:58" ht="27" customHeight="1" x14ac:dyDescent="0.3">
      <c r="A21" s="51">
        <v>4627000479</v>
      </c>
      <c r="B21" s="38" t="s">
        <v>35</v>
      </c>
      <c r="C21" s="27" t="s">
        <v>80</v>
      </c>
      <c r="D21" s="25">
        <v>2830000</v>
      </c>
      <c r="E21" s="24">
        <f>ROUNDDOWN(D21/(1-E20),-1)</f>
        <v>2830000</v>
      </c>
      <c r="F21" s="110">
        <f>ROUNDDOWN(IF(E21*F20&gt;G20,G20,E21*F20),-1)</f>
        <v>254700</v>
      </c>
      <c r="G21" s="111"/>
      <c r="H21" s="112">
        <f>ROUNDDOWN(IF(E21*H20&gt;I20,I20,E21*H20),-1)</f>
        <v>100000</v>
      </c>
      <c r="I21" s="113"/>
      <c r="J21" s="112">
        <f>ROUNDDOWN(IF(E21*J20&gt;K20,K20,E21*J20),-1)</f>
        <v>0</v>
      </c>
      <c r="K21" s="113"/>
      <c r="L21" s="110">
        <f>ROUNDDOWN(IF(N21*L20&gt;M20,M20,N21*L20),-1)</f>
        <v>0</v>
      </c>
      <c r="M21" s="111"/>
      <c r="N21" s="23">
        <f>E21-F21-H21-J21</f>
        <v>2475300</v>
      </c>
      <c r="O21" s="22">
        <f>E21-F21-H21-J21-L21</f>
        <v>2475300</v>
      </c>
      <c r="P21" s="110">
        <f>ROUNDDOWN(IF(N21*P20&gt;Q20,Q20,N21*P20),-1)</f>
        <v>49500</v>
      </c>
      <c r="Q21" s="111"/>
      <c r="R21" s="110">
        <f>ROUNDDOWN(IF(N21*R20&gt;S20,S20,N21*R20),-1)</f>
        <v>10000</v>
      </c>
      <c r="S21" s="111"/>
      <c r="T21" s="110">
        <f>ROUNDDOWN(IF(N21*T20&gt;U20,U20,N21*T20),-1)</f>
        <v>49500</v>
      </c>
      <c r="U21" s="111"/>
      <c r="V21" s="158">
        <f>O21-P21-R21-T21</f>
        <v>2366300</v>
      </c>
      <c r="W21" s="21"/>
      <c r="X21" s="20">
        <f>E21*X20</f>
        <v>198100.00000000003</v>
      </c>
      <c r="Y21" s="20">
        <f>E21*Y20</f>
        <v>0</v>
      </c>
      <c r="Z21" s="20">
        <f>(E21-H21)*Z20</f>
        <v>81900</v>
      </c>
      <c r="AA21" s="19">
        <f>(E21*E20)*AA20</f>
        <v>0</v>
      </c>
      <c r="AB21" s="19">
        <f>F21*AB20</f>
        <v>0</v>
      </c>
      <c r="AC21" s="19">
        <f>H21*AC20</f>
        <v>100000</v>
      </c>
      <c r="AD21" s="19">
        <f>J21*AD20</f>
        <v>0</v>
      </c>
      <c r="AE21" s="19">
        <f>L21*AE20</f>
        <v>0</v>
      </c>
      <c r="AF21" s="19">
        <v>0</v>
      </c>
      <c r="AG21" s="16">
        <v>8000</v>
      </c>
      <c r="AH21" s="18">
        <f>E21-X21-Y21-Z21-AA21-AE21-AB21-AC21-AD21-AF21</f>
        <v>2450000</v>
      </c>
      <c r="AI21" s="18">
        <f>E21-X21-Y21-Z21-AA21-AB21-AC21-AD21-AE21-AF21-AG21</f>
        <v>2442000</v>
      </c>
      <c r="AJ21" s="17">
        <f>AI21-AK21</f>
        <v>563000</v>
      </c>
      <c r="AK21" s="16">
        <v>1879000</v>
      </c>
      <c r="AL21" s="15">
        <f>AJ21/AK21</f>
        <v>0.29962746141564661</v>
      </c>
      <c r="AM21" s="14">
        <f>1-O21/(AK21-AQ21-AR21-AS21)</f>
        <v>-0.31734965407131455</v>
      </c>
      <c r="AN21" s="114">
        <f>(1-O21/E21)-(1-(AH21)/E21)</f>
        <v>-8.9399293286218651E-3</v>
      </c>
      <c r="AO21" s="115"/>
      <c r="AQ21" s="13">
        <v>0</v>
      </c>
      <c r="AR21" s="12">
        <f>AB21*AR20</f>
        <v>0</v>
      </c>
      <c r="AS21" s="12">
        <v>0</v>
      </c>
      <c r="AT21" s="12"/>
      <c r="AU21" s="11">
        <f>AI21-(AK21-AQ21-AR21-AS21-AT21)</f>
        <v>563000</v>
      </c>
      <c r="AV21" s="8">
        <f>AU21/AK21</f>
        <v>0.29962746141564661</v>
      </c>
      <c r="AX21" s="10">
        <v>0</v>
      </c>
      <c r="AY21" s="10">
        <v>0</v>
      </c>
      <c r="AZ21" s="9">
        <f>AU21-AX21-AY21</f>
        <v>563000</v>
      </c>
      <c r="BA21" s="8">
        <f>AZ21/AK21</f>
        <v>0.29962746141564661</v>
      </c>
      <c r="BC21" s="49"/>
      <c r="BD21" s="50"/>
      <c r="BF21" s="6"/>
    </row>
    <row r="22" spans="1:58" x14ac:dyDescent="0.3">
      <c r="D22" s="4">
        <v>2099000</v>
      </c>
      <c r="E22" s="4">
        <f>ROUNDDOWN(D22/(1-E20),-1)</f>
        <v>2099000</v>
      </c>
      <c r="F22" s="138">
        <f>E21-F21</f>
        <v>2575300</v>
      </c>
      <c r="G22" s="138"/>
      <c r="H22" s="157">
        <f>E21-F21-H21</f>
        <v>2475300</v>
      </c>
      <c r="I22" s="157"/>
      <c r="O22" s="4"/>
      <c r="P22" s="162">
        <f>SUM(P21:U21)</f>
        <v>109000</v>
      </c>
      <c r="Q22" s="163"/>
      <c r="R22" s="163"/>
      <c r="S22" s="163"/>
      <c r="T22" s="163"/>
      <c r="U22" s="164"/>
      <c r="V22" s="4"/>
      <c r="AB22" s="3">
        <f>F22*AB20</f>
        <v>0</v>
      </c>
      <c r="AC22" s="3"/>
      <c r="AD22" s="3"/>
    </row>
    <row r="23" spans="1:58" x14ac:dyDescent="0.3">
      <c r="D23" s="4"/>
      <c r="E23" s="4"/>
      <c r="F23" s="42"/>
      <c r="G23" s="42"/>
      <c r="H23" s="160"/>
      <c r="I23" s="160"/>
      <c r="O23" s="4"/>
      <c r="P23" s="155"/>
      <c r="Q23" s="155"/>
      <c r="R23" s="155"/>
      <c r="S23" s="155"/>
      <c r="T23" s="155"/>
      <c r="U23" s="155"/>
      <c r="V23" s="4"/>
      <c r="AB23" s="3"/>
      <c r="AC23" s="3"/>
      <c r="AD23" s="3"/>
    </row>
    <row r="24" spans="1:58" x14ac:dyDescent="0.3">
      <c r="A24" s="43"/>
      <c r="B24" s="43"/>
      <c r="C24" s="43"/>
      <c r="D24" s="5"/>
    </row>
  </sheetData>
  <mergeCells count="109">
    <mergeCell ref="T16:U16"/>
    <mergeCell ref="AN16:AO16"/>
    <mergeCell ref="F17:G17"/>
    <mergeCell ref="H17:I17"/>
    <mergeCell ref="P17:U17"/>
    <mergeCell ref="F16:G16"/>
    <mergeCell ref="H16:I16"/>
    <mergeCell ref="J16:K16"/>
    <mergeCell ref="L16:M16"/>
    <mergeCell ref="P16:Q16"/>
    <mergeCell ref="R16:S16"/>
    <mergeCell ref="AY14:AY15"/>
    <mergeCell ref="AZ14:AZ15"/>
    <mergeCell ref="BA14:BA15"/>
    <mergeCell ref="BC14:BC15"/>
    <mergeCell ref="BD14:BD15"/>
    <mergeCell ref="BF14:BF15"/>
    <mergeCell ref="AR14:AR15"/>
    <mergeCell ref="AS14:AS15"/>
    <mergeCell ref="AT14:AT15"/>
    <mergeCell ref="AU14:AU15"/>
    <mergeCell ref="AV14:AV15"/>
    <mergeCell ref="AX14:AX15"/>
    <mergeCell ref="AI14:AI15"/>
    <mergeCell ref="AJ14:AJ15"/>
    <mergeCell ref="AK14:AK15"/>
    <mergeCell ref="AL14:AL15"/>
    <mergeCell ref="AM14:AM15"/>
    <mergeCell ref="AQ14:AQ15"/>
    <mergeCell ref="R14:S14"/>
    <mergeCell ref="T14:U14"/>
    <mergeCell ref="V14:V15"/>
    <mergeCell ref="AF14:AF15"/>
    <mergeCell ref="AG14:AG15"/>
    <mergeCell ref="AH14:AH15"/>
    <mergeCell ref="X13:AL13"/>
    <mergeCell ref="AQ13:AV13"/>
    <mergeCell ref="AX13:BA13"/>
    <mergeCell ref="B14:B15"/>
    <mergeCell ref="C14:C15"/>
    <mergeCell ref="D14:D15"/>
    <mergeCell ref="F14:G14"/>
    <mergeCell ref="H14:I14"/>
    <mergeCell ref="J14:K14"/>
    <mergeCell ref="L14:M14"/>
    <mergeCell ref="A13:A14"/>
    <mergeCell ref="B13:M13"/>
    <mergeCell ref="N13:O13"/>
    <mergeCell ref="P13:V13"/>
    <mergeCell ref="N14:N15"/>
    <mergeCell ref="O14:O15"/>
    <mergeCell ref="P14:Q14"/>
    <mergeCell ref="T21:U21"/>
    <mergeCell ref="AN21:AO21"/>
    <mergeCell ref="F22:G22"/>
    <mergeCell ref="H22:I22"/>
    <mergeCell ref="P22:U22"/>
    <mergeCell ref="F21:G21"/>
    <mergeCell ref="H21:I21"/>
    <mergeCell ref="J21:K21"/>
    <mergeCell ref="L21:M21"/>
    <mergeCell ref="P21:Q21"/>
    <mergeCell ref="R21:S21"/>
    <mergeCell ref="AY19:AY20"/>
    <mergeCell ref="AZ19:AZ20"/>
    <mergeCell ref="BA19:BA20"/>
    <mergeCell ref="BC19:BC20"/>
    <mergeCell ref="BD19:BD20"/>
    <mergeCell ref="BF19:BF20"/>
    <mergeCell ref="AR19:AR20"/>
    <mergeCell ref="AS19:AS20"/>
    <mergeCell ref="AT19:AT20"/>
    <mergeCell ref="AU19:AU20"/>
    <mergeCell ref="AV19:AV20"/>
    <mergeCell ref="AX19:AX20"/>
    <mergeCell ref="AI19:AI20"/>
    <mergeCell ref="AJ19:AJ20"/>
    <mergeCell ref="AK19:AK20"/>
    <mergeCell ref="AL19:AL20"/>
    <mergeCell ref="AM19:AM20"/>
    <mergeCell ref="AQ19:AQ20"/>
    <mergeCell ref="R19:S19"/>
    <mergeCell ref="T19:U19"/>
    <mergeCell ref="V19:V20"/>
    <mergeCell ref="AF19:AF20"/>
    <mergeCell ref="AG19:AG20"/>
    <mergeCell ref="AH19:AH20"/>
    <mergeCell ref="X18:AL18"/>
    <mergeCell ref="AQ18:AV18"/>
    <mergeCell ref="AX18:BA18"/>
    <mergeCell ref="B19:B20"/>
    <mergeCell ref="C19:C20"/>
    <mergeCell ref="D19:D20"/>
    <mergeCell ref="F19:G19"/>
    <mergeCell ref="H19:I19"/>
    <mergeCell ref="J19:K19"/>
    <mergeCell ref="L19:M19"/>
    <mergeCell ref="A18:A19"/>
    <mergeCell ref="B18:M18"/>
    <mergeCell ref="N18:O18"/>
    <mergeCell ref="P18:V18"/>
    <mergeCell ref="N19:N20"/>
    <mergeCell ref="O19:O20"/>
    <mergeCell ref="P19:Q19"/>
    <mergeCell ref="A1:C1"/>
    <mergeCell ref="G2:U3"/>
    <mergeCell ref="A3:E3"/>
    <mergeCell ref="Z3:AE3"/>
    <mergeCell ref="D4:O4"/>
  </mergeCells>
  <phoneticPr fontId="3" type="noConversion"/>
  <dataValidations count="1">
    <dataValidation type="list" allowBlank="1" showInputMessage="1" showErrorMessage="1" sqref="C16 C21" xr:uid="{37FDE2AE-B177-4FB6-88E8-F0575DFB6457}">
      <formula1>카테고리</formula1>
    </dataValidation>
  </dataValidations>
  <pageMargins left="0.7" right="0.7" top="0.75" bottom="0.75" header="0.3" footer="0.3"/>
  <pageSetup paperSize="9" orientation="portrait" r:id="rId1"/>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F62B59-538E-4035-8129-D2CF7378CF60}">
  <dimension ref="A1:BB328"/>
  <sheetViews>
    <sheetView topLeftCell="A166" zoomScale="85" zoomScaleNormal="85" workbookViewId="0">
      <pane xSplit="1" topLeftCell="B1" activePane="topRight" state="frozen"/>
      <selection activeCell="E44" sqref="E44"/>
      <selection pane="topRight" activeCell="R206" sqref="R206"/>
    </sheetView>
  </sheetViews>
  <sheetFormatPr defaultColWidth="9" defaultRowHeight="16.5" x14ac:dyDescent="0.3"/>
  <cols>
    <col min="1" max="1" width="22.25" style="1" customWidth="1"/>
    <col min="2" max="2" width="7" style="1" bestFit="1" customWidth="1"/>
    <col min="3" max="3" width="8.25" style="1" bestFit="1" customWidth="1"/>
    <col min="4" max="4" width="11.25" style="1" bestFit="1" customWidth="1"/>
    <col min="5" max="5" width="10.625" style="1" customWidth="1"/>
    <col min="6" max="6" width="10" style="1" bestFit="1" customWidth="1"/>
    <col min="7" max="7" width="6.125" style="1" customWidth="1"/>
    <col min="8" max="8" width="10" style="1" bestFit="1" customWidth="1"/>
    <col min="9" max="9" width="7.25" style="1" bestFit="1" customWidth="1"/>
    <col min="10" max="10" width="8.625" style="1" customWidth="1"/>
    <col min="11" max="11" width="7.25" style="1" bestFit="1" customWidth="1"/>
    <col min="12" max="12" width="10" style="1" bestFit="1" customWidth="1"/>
    <col min="13" max="13" width="5.375" style="1" customWidth="1"/>
    <col min="14" max="14" width="8.625" style="1" customWidth="1"/>
    <col min="15" max="15" width="5.375" style="1" hidden="1" customWidth="1"/>
    <col min="16" max="16" width="8.625" style="1" hidden="1" customWidth="1"/>
    <col min="17" max="17" width="12.75" style="1" bestFit="1" customWidth="1"/>
    <col min="18" max="18" width="22.125" style="1" customWidth="1"/>
    <col min="19" max="19" width="2.625" style="1" customWidth="1"/>
    <col min="20" max="20" width="9.375" style="1" bestFit="1" customWidth="1"/>
    <col min="21" max="21" width="10.625" style="1" hidden="1" customWidth="1"/>
    <col min="22" max="22" width="11" style="1" customWidth="1"/>
    <col min="23" max="23" width="12.75" style="1" customWidth="1"/>
    <col min="24" max="24" width="10.625" style="1" customWidth="1"/>
    <col min="25" max="25" width="11.5" style="1" customWidth="1"/>
    <col min="26" max="26" width="12.75" style="1" customWidth="1"/>
    <col min="27" max="27" width="10.625" style="1" customWidth="1"/>
    <col min="28" max="28" width="5.375" style="1" customWidth="1"/>
    <col min="29" max="29" width="8.75" style="1" bestFit="1" customWidth="1"/>
    <col min="30" max="30" width="10.25" style="1" bestFit="1" customWidth="1"/>
    <col min="31" max="31" width="13.375" style="1" customWidth="1"/>
    <col min="32" max="32" width="8.625" style="1" bestFit="1" customWidth="1"/>
    <col min="33" max="33" width="9.625" style="1" customWidth="1"/>
    <col min="34" max="34" width="7.375" style="2" bestFit="1" customWidth="1"/>
    <col min="35" max="35" width="7.375" style="2" customWidth="1"/>
    <col min="36" max="37" width="6.875" style="2" bestFit="1" customWidth="1"/>
    <col min="38" max="38" width="1.875" style="1" customWidth="1"/>
    <col min="39" max="39" width="9.375" style="1" customWidth="1"/>
    <col min="40" max="40" width="7.75" style="1" customWidth="1"/>
    <col min="41" max="41" width="9.5" style="1" hidden="1" customWidth="1"/>
    <col min="42" max="42" width="6.125" style="1" hidden="1" customWidth="1"/>
    <col min="43" max="43" width="9.875" style="1" bestFit="1" customWidth="1"/>
    <col min="44" max="44" width="7.375" style="1" bestFit="1" customWidth="1"/>
    <col min="45" max="45" width="2.625" style="1" customWidth="1"/>
    <col min="46" max="46" width="16.625" style="1" customWidth="1"/>
    <col min="47" max="47" width="9" style="1"/>
    <col min="48" max="48" width="12" style="1" customWidth="1"/>
    <col min="49" max="49" width="13.375" style="1" customWidth="1"/>
    <col min="50" max="50" width="2.875" style="1" customWidth="1"/>
    <col min="51" max="51" width="38.25" style="1" customWidth="1"/>
    <col min="52" max="52" width="5.375" style="1" bestFit="1" customWidth="1"/>
    <col min="53" max="53" width="1.375" style="1" customWidth="1"/>
    <col min="54" max="54" width="39.125" style="1" customWidth="1"/>
    <col min="55" max="55" width="1.125" style="1" customWidth="1"/>
    <col min="56" max="16384" width="9" style="1"/>
  </cols>
  <sheetData>
    <row r="1" spans="1:54" ht="45.75" customHeight="1" x14ac:dyDescent="0.3">
      <c r="A1" s="145"/>
      <c r="B1" s="145"/>
      <c r="C1" s="145"/>
      <c r="D1" s="44"/>
      <c r="E1" s="44"/>
      <c r="F1" s="44"/>
      <c r="G1" s="44"/>
      <c r="H1" s="44"/>
      <c r="I1" s="44"/>
      <c r="J1" s="44"/>
      <c r="K1" s="44"/>
      <c r="L1" s="44"/>
      <c r="M1" s="44"/>
      <c r="N1" s="44"/>
      <c r="O1" s="44"/>
      <c r="P1" s="44"/>
      <c r="Q1" s="44"/>
      <c r="R1" s="44"/>
      <c r="T1" s="44"/>
      <c r="U1" s="44"/>
      <c r="V1" s="44"/>
      <c r="W1" s="44"/>
      <c r="X1" s="44"/>
      <c r="Y1" s="44"/>
      <c r="Z1" s="44"/>
      <c r="AA1" s="44"/>
      <c r="AB1" s="44"/>
    </row>
    <row r="2" spans="1:54" ht="45.75" customHeight="1" x14ac:dyDescent="0.3">
      <c r="A2" s="45"/>
      <c r="B2" s="45"/>
      <c r="C2" s="45"/>
      <c r="D2" s="44"/>
      <c r="E2" s="44"/>
      <c r="F2" s="44"/>
      <c r="G2" s="44"/>
      <c r="H2" s="44"/>
      <c r="I2" s="44"/>
      <c r="J2" s="44"/>
      <c r="K2" s="44"/>
      <c r="L2" s="44"/>
      <c r="M2" s="44"/>
      <c r="N2" s="44"/>
      <c r="O2" s="44"/>
      <c r="P2" s="44"/>
      <c r="Q2" s="44"/>
      <c r="R2" s="44"/>
      <c r="T2" s="44"/>
      <c r="U2" s="44"/>
      <c r="V2" s="44"/>
      <c r="W2" s="44"/>
      <c r="X2" s="45"/>
      <c r="Y2" s="44"/>
      <c r="Z2" s="44"/>
      <c r="AA2" s="44"/>
      <c r="AB2" s="44"/>
    </row>
    <row r="3" spans="1:54" s="45" customFormat="1" ht="319.5" customHeight="1" x14ac:dyDescent="0.3">
      <c r="A3" s="146" t="s">
        <v>67</v>
      </c>
      <c r="B3" s="146"/>
      <c r="C3" s="146"/>
      <c r="D3" s="146"/>
      <c r="E3" s="146"/>
      <c r="F3" s="146"/>
      <c r="H3" s="146"/>
      <c r="I3" s="146"/>
      <c r="J3" s="146"/>
      <c r="K3" s="146"/>
      <c r="L3" s="146"/>
      <c r="M3" s="146"/>
      <c r="N3" s="146"/>
      <c r="O3" s="146"/>
      <c r="P3" s="146"/>
      <c r="Q3" s="146"/>
      <c r="R3" s="146"/>
      <c r="U3" s="46"/>
    </row>
    <row r="4" spans="1:54" s="45" customFormat="1" ht="18" customHeight="1" x14ac:dyDescent="0.3">
      <c r="E4" s="147"/>
      <c r="F4" s="147"/>
      <c r="G4" s="147"/>
      <c r="H4" s="147"/>
      <c r="I4" s="147"/>
      <c r="J4" s="147"/>
      <c r="K4" s="147"/>
      <c r="L4" s="147"/>
      <c r="M4" s="147"/>
      <c r="N4" s="147"/>
      <c r="O4" s="147"/>
      <c r="P4" s="147"/>
      <c r="Q4" s="147"/>
      <c r="R4" s="147"/>
    </row>
    <row r="5" spans="1:54" x14ac:dyDescent="0.3">
      <c r="A5" s="43"/>
      <c r="B5" s="43"/>
      <c r="C5" s="43"/>
      <c r="D5" s="43"/>
    </row>
    <row r="6" spans="1:54" x14ac:dyDescent="0.3">
      <c r="S6" s="41"/>
      <c r="AG6" s="41"/>
      <c r="AH6" s="40"/>
      <c r="AI6" s="40"/>
      <c r="AJ6" s="40"/>
      <c r="AK6" s="40"/>
    </row>
    <row r="7" spans="1:54" x14ac:dyDescent="0.3">
      <c r="A7" s="43"/>
      <c r="B7" s="43"/>
      <c r="C7" s="43"/>
      <c r="D7" s="43"/>
      <c r="E7" s="5"/>
    </row>
    <row r="8" spans="1:54" x14ac:dyDescent="0.3">
      <c r="A8" s="43"/>
      <c r="B8" s="43"/>
      <c r="C8" s="43"/>
      <c r="D8" s="43"/>
      <c r="E8" s="5"/>
    </row>
    <row r="9" spans="1:54" s="64" customFormat="1" ht="19.5" x14ac:dyDescent="0.3">
      <c r="A9" s="61" t="s">
        <v>40</v>
      </c>
      <c r="B9" s="62"/>
      <c r="C9" s="62"/>
      <c r="D9" s="62"/>
      <c r="E9" s="63"/>
      <c r="AH9" s="65"/>
      <c r="AI9" s="65"/>
      <c r="AJ9" s="65"/>
      <c r="AK9" s="65"/>
    </row>
    <row r="10" spans="1:54" x14ac:dyDescent="0.3">
      <c r="A10" s="43"/>
      <c r="B10" s="43"/>
      <c r="C10" s="43"/>
      <c r="D10" s="43"/>
      <c r="E10" s="5"/>
    </row>
    <row r="11" spans="1:54" ht="27" customHeight="1" x14ac:dyDescent="0.3">
      <c r="A11" s="124" t="s">
        <v>34</v>
      </c>
      <c r="B11" s="127" t="s">
        <v>70</v>
      </c>
      <c r="C11" s="128"/>
      <c r="D11" s="128"/>
      <c r="E11" s="128"/>
      <c r="F11" s="128"/>
      <c r="G11" s="128"/>
      <c r="H11" s="128"/>
      <c r="I11" s="128"/>
      <c r="J11" s="128"/>
      <c r="K11" s="128"/>
      <c r="L11" s="128"/>
      <c r="M11" s="128"/>
      <c r="N11" s="128"/>
      <c r="O11" s="128"/>
      <c r="P11" s="128"/>
      <c r="Q11" s="128"/>
      <c r="R11" s="129"/>
      <c r="T11" s="130" t="s">
        <v>33</v>
      </c>
      <c r="U11" s="131"/>
      <c r="V11" s="131"/>
      <c r="W11" s="131"/>
      <c r="X11" s="131"/>
      <c r="Y11" s="131"/>
      <c r="Z11" s="131"/>
      <c r="AA11" s="131"/>
      <c r="AB11" s="131"/>
      <c r="AC11" s="131"/>
      <c r="AD11" s="131"/>
      <c r="AE11" s="131"/>
      <c r="AF11" s="131"/>
      <c r="AG11" s="131"/>
      <c r="AH11" s="132"/>
      <c r="AI11" s="37"/>
      <c r="AM11" s="130" t="s">
        <v>32</v>
      </c>
      <c r="AN11" s="131"/>
      <c r="AO11" s="131"/>
      <c r="AP11" s="131"/>
      <c r="AQ11" s="131"/>
      <c r="AR11" s="132"/>
      <c r="AT11" s="130" t="s">
        <v>31</v>
      </c>
      <c r="AU11" s="131"/>
      <c r="AV11" s="131"/>
      <c r="AW11" s="132"/>
      <c r="AY11" s="47" t="s">
        <v>36</v>
      </c>
      <c r="AZ11" s="48"/>
      <c r="BB11" s="36"/>
    </row>
    <row r="12" spans="1:54" ht="32.25" customHeight="1" x14ac:dyDescent="0.3">
      <c r="A12" s="125"/>
      <c r="B12" s="133" t="s">
        <v>30</v>
      </c>
      <c r="C12" s="133" t="s">
        <v>29</v>
      </c>
      <c r="D12" s="116" t="s">
        <v>28</v>
      </c>
      <c r="E12" s="116" t="s">
        <v>27</v>
      </c>
      <c r="F12" s="34" t="s">
        <v>26</v>
      </c>
      <c r="G12" s="122" t="s">
        <v>63</v>
      </c>
      <c r="H12" s="123"/>
      <c r="I12" s="122" t="s">
        <v>50</v>
      </c>
      <c r="J12" s="123"/>
      <c r="K12" s="122" t="s">
        <v>62</v>
      </c>
      <c r="L12" s="123"/>
      <c r="M12" s="122" t="s">
        <v>25</v>
      </c>
      <c r="N12" s="123"/>
      <c r="O12" s="122" t="s">
        <v>24</v>
      </c>
      <c r="P12" s="123"/>
      <c r="Q12" s="106" t="s">
        <v>23</v>
      </c>
      <c r="R12" s="106" t="s">
        <v>22</v>
      </c>
      <c r="S12" s="21"/>
      <c r="T12" s="34" t="s">
        <v>21</v>
      </c>
      <c r="U12" s="34" t="s">
        <v>20</v>
      </c>
      <c r="V12" s="34" t="s">
        <v>69</v>
      </c>
      <c r="W12" s="34" t="s">
        <v>19</v>
      </c>
      <c r="X12" s="34" t="s">
        <v>18</v>
      </c>
      <c r="Y12" s="34" t="s">
        <v>48</v>
      </c>
      <c r="Z12" s="34" t="s">
        <v>49</v>
      </c>
      <c r="AA12" s="34" t="s">
        <v>17</v>
      </c>
      <c r="AB12" s="106" t="s">
        <v>16</v>
      </c>
      <c r="AC12" s="106" t="s">
        <v>15</v>
      </c>
      <c r="AD12" s="106" t="s">
        <v>14</v>
      </c>
      <c r="AE12" s="106" t="s">
        <v>13</v>
      </c>
      <c r="AF12" s="106" t="s">
        <v>12</v>
      </c>
      <c r="AG12" s="116" t="s">
        <v>11</v>
      </c>
      <c r="AH12" s="118" t="s">
        <v>10</v>
      </c>
      <c r="AI12" s="120" t="s">
        <v>9</v>
      </c>
      <c r="AJ12" s="35">
        <f>(1-R14/F14)</f>
        <v>0.15483370288248333</v>
      </c>
      <c r="AK12" s="35">
        <f>1-(AD14+AM14)/F14</f>
        <v>0.15513303769401332</v>
      </c>
      <c r="AM12" s="106" t="s">
        <v>8</v>
      </c>
      <c r="AN12" s="106" t="s">
        <v>7</v>
      </c>
      <c r="AO12" s="106" t="s">
        <v>37</v>
      </c>
      <c r="AP12" s="106" t="s">
        <v>38</v>
      </c>
      <c r="AQ12" s="106" t="s">
        <v>6</v>
      </c>
      <c r="AR12" s="106" t="s">
        <v>5</v>
      </c>
      <c r="AT12" s="106" t="s">
        <v>4</v>
      </c>
      <c r="AU12" s="106" t="s">
        <v>3</v>
      </c>
      <c r="AV12" s="106" t="s">
        <v>2</v>
      </c>
      <c r="AW12" s="106" t="s">
        <v>1</v>
      </c>
      <c r="AY12" s="108"/>
      <c r="AZ12" s="108"/>
      <c r="BB12" s="106"/>
    </row>
    <row r="13" spans="1:54" ht="27" customHeight="1" x14ac:dyDescent="0.3">
      <c r="A13" s="126"/>
      <c r="B13" s="134"/>
      <c r="C13" s="134"/>
      <c r="D13" s="117"/>
      <c r="E13" s="117"/>
      <c r="F13" s="31">
        <v>0</v>
      </c>
      <c r="G13" s="33">
        <v>0.08</v>
      </c>
      <c r="H13" s="32">
        <v>1000000</v>
      </c>
      <c r="I13" s="31">
        <v>1</v>
      </c>
      <c r="J13" s="32">
        <v>0</v>
      </c>
      <c r="K13" s="31">
        <v>1</v>
      </c>
      <c r="L13" s="32">
        <v>200000</v>
      </c>
      <c r="M13" s="31">
        <v>7.0000000000000007E-2</v>
      </c>
      <c r="N13" s="32">
        <v>70000</v>
      </c>
      <c r="O13" s="31">
        <v>0</v>
      </c>
      <c r="P13" s="32">
        <v>0</v>
      </c>
      <c r="Q13" s="107"/>
      <c r="R13" s="107"/>
      <c r="S13" s="21"/>
      <c r="T13" s="31">
        <f>IF(C14="노트북",7%,IF(C14="저장&amp;주변기기",9%,IF(C14="모니터",7%)))</f>
        <v>7.0000000000000007E-2</v>
      </c>
      <c r="U13" s="31">
        <v>0</v>
      </c>
      <c r="V13" s="31">
        <v>0.02</v>
      </c>
      <c r="W13" s="31">
        <f>IF(G13=0%,20%,0%)</f>
        <v>0</v>
      </c>
      <c r="X13" s="30">
        <v>0</v>
      </c>
      <c r="Y13" s="30">
        <v>1</v>
      </c>
      <c r="Z13" s="53">
        <v>1</v>
      </c>
      <c r="AA13" s="29">
        <v>0.5</v>
      </c>
      <c r="AB13" s="107"/>
      <c r="AC13" s="107"/>
      <c r="AD13" s="107"/>
      <c r="AE13" s="107"/>
      <c r="AF13" s="107"/>
      <c r="AG13" s="117"/>
      <c r="AH13" s="119"/>
      <c r="AI13" s="121"/>
      <c r="AJ13" s="55" t="s">
        <v>52</v>
      </c>
      <c r="AK13" s="56">
        <f>AJ12-AK12</f>
        <v>-2.993348115299943E-4</v>
      </c>
      <c r="AM13" s="107"/>
      <c r="AN13" s="107"/>
      <c r="AO13" s="107"/>
      <c r="AP13" s="107"/>
      <c r="AQ13" s="107"/>
      <c r="AR13" s="107"/>
      <c r="AS13" s="39"/>
      <c r="AT13" s="107"/>
      <c r="AU13" s="117"/>
      <c r="AV13" s="107"/>
      <c r="AW13" s="107"/>
      <c r="AY13" s="109"/>
      <c r="AZ13" s="109"/>
      <c r="BB13" s="107"/>
    </row>
    <row r="14" spans="1:54" ht="27" customHeight="1" x14ac:dyDescent="0.3">
      <c r="A14" s="28" t="s">
        <v>44</v>
      </c>
      <c r="B14" s="38" t="s">
        <v>35</v>
      </c>
      <c r="C14" s="27" t="s">
        <v>0</v>
      </c>
      <c r="D14" s="26">
        <v>4321441081</v>
      </c>
      <c r="E14" s="25">
        <v>3608000</v>
      </c>
      <c r="F14" s="24">
        <f>ROUNDDOWN(E14/(1-F13),-1)</f>
        <v>3608000</v>
      </c>
      <c r="G14" s="110">
        <f>ROUNDDOWN(IF(F14*G13&gt;H13,H13,F14*G13),-1)</f>
        <v>288640</v>
      </c>
      <c r="H14" s="111"/>
      <c r="I14" s="112">
        <f>ROUNDDOWN(IF(F14*I13&gt;J13,J13,F14*I13),-1)</f>
        <v>0</v>
      </c>
      <c r="J14" s="113"/>
      <c r="K14" s="112">
        <f>ROUNDDOWN(IF(F14*K13&gt;L13,L13,F14*K13),-1)</f>
        <v>200000</v>
      </c>
      <c r="L14" s="113"/>
      <c r="M14" s="110">
        <f>ROUNDDOWN(IF(Q14*M13&gt;N13,N13,Q14*M13),-1)</f>
        <v>70000</v>
      </c>
      <c r="N14" s="111"/>
      <c r="O14" s="110">
        <f>ROUNDDOWN(IF(F14*O13&gt;P13,P13,F14*O13),-1)</f>
        <v>0</v>
      </c>
      <c r="P14" s="111"/>
      <c r="Q14" s="23">
        <f>F14-G14-I14-K14</f>
        <v>3119360</v>
      </c>
      <c r="R14" s="22">
        <f>F14-G14-I14-K14-M14-O14</f>
        <v>3049360</v>
      </c>
      <c r="S14" s="21"/>
      <c r="T14" s="20">
        <f>F14*T13</f>
        <v>252560.00000000003</v>
      </c>
      <c r="U14" s="20">
        <f>F14*U13</f>
        <v>0</v>
      </c>
      <c r="V14" s="20">
        <f>(F14-I14)*V13</f>
        <v>72160</v>
      </c>
      <c r="W14" s="19">
        <f>(F14*F13)*W13</f>
        <v>0</v>
      </c>
      <c r="X14" s="19">
        <f>G14*X13</f>
        <v>0</v>
      </c>
      <c r="Y14" s="19">
        <f>I14*Y13</f>
        <v>0</v>
      </c>
      <c r="Z14" s="19">
        <f>K14*Z13</f>
        <v>200000</v>
      </c>
      <c r="AA14" s="19">
        <f>M14*AA13</f>
        <v>35000</v>
      </c>
      <c r="AB14" s="19">
        <v>0</v>
      </c>
      <c r="AC14" s="16">
        <v>15000</v>
      </c>
      <c r="AD14" s="18">
        <f>F14-T14-U14-V14-W14-AA14-X14-Y14-Z14-AB14</f>
        <v>3048280</v>
      </c>
      <c r="AE14" s="18">
        <f>F14-T14-U14-V14-W14-X14-Y14-Z14-AA14-AB14-AC14</f>
        <v>3033280</v>
      </c>
      <c r="AF14" s="17">
        <f>AE14-AG14</f>
        <v>58280</v>
      </c>
      <c r="AG14" s="16">
        <v>2975000</v>
      </c>
      <c r="AH14" s="15">
        <f>AF14/AG14</f>
        <v>1.9589915966386554E-2</v>
      </c>
      <c r="AI14" s="14">
        <f>1-R14/(AG14-AM14-AN14-AO14)</f>
        <v>-2.4994957983193178E-2</v>
      </c>
      <c r="AJ14" s="114">
        <f>(1-R14/F14)-(1-(AD14)/F14)</f>
        <v>-2.993348115299943E-4</v>
      </c>
      <c r="AK14" s="115"/>
      <c r="AM14" s="13"/>
      <c r="AN14" s="12">
        <f>X14*AN13</f>
        <v>0</v>
      </c>
      <c r="AO14" s="12">
        <v>0</v>
      </c>
      <c r="AP14" s="12"/>
      <c r="AQ14" s="11">
        <f>AE14-(AG14-AM14-AN14-AO14-AP14)</f>
        <v>58280</v>
      </c>
      <c r="AR14" s="8">
        <f>AQ14/AG14</f>
        <v>1.9589915966386554E-2</v>
      </c>
      <c r="AT14" s="10">
        <v>0</v>
      </c>
      <c r="AU14" s="10">
        <v>0</v>
      </c>
      <c r="AV14" s="9">
        <f>AQ14-AT14-AU14</f>
        <v>58280</v>
      </c>
      <c r="AW14" s="8">
        <f>AV14/AG14</f>
        <v>1.9589915966386554E-2</v>
      </c>
      <c r="AY14" s="49"/>
      <c r="AZ14" s="50"/>
      <c r="BB14" s="6"/>
    </row>
    <row r="15" spans="1:54" x14ac:dyDescent="0.3">
      <c r="E15" s="5">
        <v>3199000</v>
      </c>
      <c r="F15" s="4">
        <f>ROUNDDOWN(E15/(1-F13),-1)</f>
        <v>3199000</v>
      </c>
      <c r="G15" s="138">
        <f>ROUNDDOWN(IF(F15*G13&gt;H13,H13,F15*G13),-1)</f>
        <v>255920</v>
      </c>
      <c r="H15" s="138"/>
      <c r="J15" s="54">
        <f>F14*4%</f>
        <v>144320</v>
      </c>
      <c r="X15" s="3">
        <f>G15*X13</f>
        <v>0</v>
      </c>
      <c r="Y15" s="3"/>
      <c r="Z15" s="3"/>
    </row>
    <row r="16" spans="1:54" x14ac:dyDescent="0.3">
      <c r="A16" s="43"/>
      <c r="B16" s="43"/>
      <c r="C16" s="43"/>
      <c r="D16" s="43"/>
      <c r="E16" s="5"/>
    </row>
    <row r="18" spans="1:54" ht="27" customHeight="1" x14ac:dyDescent="0.3">
      <c r="A18" s="124" t="s">
        <v>34</v>
      </c>
      <c r="B18" s="127" t="s">
        <v>70</v>
      </c>
      <c r="C18" s="128"/>
      <c r="D18" s="128"/>
      <c r="E18" s="128"/>
      <c r="F18" s="128"/>
      <c r="G18" s="128"/>
      <c r="H18" s="128"/>
      <c r="I18" s="128"/>
      <c r="J18" s="128"/>
      <c r="K18" s="128"/>
      <c r="L18" s="128"/>
      <c r="M18" s="128"/>
      <c r="N18" s="128"/>
      <c r="O18" s="128"/>
      <c r="P18" s="128"/>
      <c r="Q18" s="128"/>
      <c r="R18" s="129"/>
      <c r="T18" s="130" t="s">
        <v>33</v>
      </c>
      <c r="U18" s="131"/>
      <c r="V18" s="131"/>
      <c r="W18" s="131"/>
      <c r="X18" s="131"/>
      <c r="Y18" s="131"/>
      <c r="Z18" s="131"/>
      <c r="AA18" s="131"/>
      <c r="AB18" s="131"/>
      <c r="AC18" s="131"/>
      <c r="AD18" s="131"/>
      <c r="AE18" s="131"/>
      <c r="AF18" s="131"/>
      <c r="AG18" s="131"/>
      <c r="AH18" s="132"/>
      <c r="AI18" s="37"/>
      <c r="AM18" s="130" t="s">
        <v>32</v>
      </c>
      <c r="AN18" s="131"/>
      <c r="AO18" s="131"/>
      <c r="AP18" s="131"/>
      <c r="AQ18" s="131"/>
      <c r="AR18" s="132"/>
      <c r="AT18" s="130" t="s">
        <v>31</v>
      </c>
      <c r="AU18" s="131"/>
      <c r="AV18" s="131"/>
      <c r="AW18" s="132"/>
      <c r="AY18" s="47" t="s">
        <v>36</v>
      </c>
      <c r="AZ18" s="48"/>
      <c r="BB18" s="36"/>
    </row>
    <row r="19" spans="1:54" ht="32.25" customHeight="1" x14ac:dyDescent="0.3">
      <c r="A19" s="125"/>
      <c r="B19" s="133" t="s">
        <v>30</v>
      </c>
      <c r="C19" s="133" t="s">
        <v>29</v>
      </c>
      <c r="D19" s="116" t="s">
        <v>28</v>
      </c>
      <c r="E19" s="116" t="s">
        <v>27</v>
      </c>
      <c r="F19" s="34" t="s">
        <v>26</v>
      </c>
      <c r="G19" s="122" t="s">
        <v>63</v>
      </c>
      <c r="H19" s="123"/>
      <c r="I19" s="122" t="s">
        <v>50</v>
      </c>
      <c r="J19" s="123"/>
      <c r="K19" s="122" t="s">
        <v>62</v>
      </c>
      <c r="L19" s="123"/>
      <c r="M19" s="122" t="s">
        <v>25</v>
      </c>
      <c r="N19" s="123"/>
      <c r="O19" s="122" t="s">
        <v>24</v>
      </c>
      <c r="P19" s="123"/>
      <c r="Q19" s="106" t="s">
        <v>23</v>
      </c>
      <c r="R19" s="106" t="s">
        <v>22</v>
      </c>
      <c r="S19" s="21"/>
      <c r="T19" s="34" t="s">
        <v>21</v>
      </c>
      <c r="U19" s="34" t="s">
        <v>20</v>
      </c>
      <c r="V19" s="34" t="s">
        <v>69</v>
      </c>
      <c r="W19" s="34" t="s">
        <v>19</v>
      </c>
      <c r="X19" s="34" t="s">
        <v>18</v>
      </c>
      <c r="Y19" s="34" t="s">
        <v>48</v>
      </c>
      <c r="Z19" s="34" t="s">
        <v>49</v>
      </c>
      <c r="AA19" s="34" t="s">
        <v>17</v>
      </c>
      <c r="AB19" s="106" t="s">
        <v>16</v>
      </c>
      <c r="AC19" s="106" t="s">
        <v>15</v>
      </c>
      <c r="AD19" s="106" t="s">
        <v>14</v>
      </c>
      <c r="AE19" s="106" t="s">
        <v>13</v>
      </c>
      <c r="AF19" s="106" t="s">
        <v>12</v>
      </c>
      <c r="AG19" s="116" t="s">
        <v>11</v>
      </c>
      <c r="AH19" s="118" t="s">
        <v>10</v>
      </c>
      <c r="AI19" s="120" t="s">
        <v>9</v>
      </c>
      <c r="AJ19" s="35">
        <f>(1-R21/F21)</f>
        <v>0.15159904534606206</v>
      </c>
      <c r="AK19" s="35">
        <f>1-(AD21+AM21)/F21</f>
        <v>0.15231768761601694</v>
      </c>
      <c r="AM19" s="106" t="s">
        <v>8</v>
      </c>
      <c r="AN19" s="106" t="s">
        <v>7</v>
      </c>
      <c r="AO19" s="106" t="s">
        <v>37</v>
      </c>
      <c r="AP19" s="106" t="s">
        <v>38</v>
      </c>
      <c r="AQ19" s="106" t="s">
        <v>6</v>
      </c>
      <c r="AR19" s="106" t="s">
        <v>5</v>
      </c>
      <c r="AT19" s="106" t="s">
        <v>4</v>
      </c>
      <c r="AU19" s="106" t="s">
        <v>3</v>
      </c>
      <c r="AV19" s="106" t="s">
        <v>2</v>
      </c>
      <c r="AW19" s="106" t="s">
        <v>1</v>
      </c>
      <c r="AY19" s="108"/>
      <c r="AZ19" s="108"/>
      <c r="BB19" s="106"/>
    </row>
    <row r="20" spans="1:54" ht="27" customHeight="1" x14ac:dyDescent="0.3">
      <c r="A20" s="126"/>
      <c r="B20" s="134"/>
      <c r="C20" s="134"/>
      <c r="D20" s="117"/>
      <c r="E20" s="117"/>
      <c r="F20" s="31">
        <v>0</v>
      </c>
      <c r="G20" s="33">
        <v>0.08</v>
      </c>
      <c r="H20" s="32">
        <v>1000000</v>
      </c>
      <c r="I20" s="31">
        <v>1</v>
      </c>
      <c r="J20" s="32"/>
      <c r="K20" s="31">
        <v>1</v>
      </c>
      <c r="L20" s="32">
        <v>200000</v>
      </c>
      <c r="M20" s="31">
        <v>7.0000000000000007E-2</v>
      </c>
      <c r="N20" s="32">
        <v>70000</v>
      </c>
      <c r="O20" s="31">
        <v>0</v>
      </c>
      <c r="P20" s="32">
        <v>0</v>
      </c>
      <c r="Q20" s="107"/>
      <c r="R20" s="107"/>
      <c r="S20" s="21"/>
      <c r="T20" s="31">
        <f>IF(C21="노트북",7%,IF(C21="저장&amp;주변기기",9%,IF(C21="모니터",7%)))</f>
        <v>7.0000000000000007E-2</v>
      </c>
      <c r="U20" s="31">
        <v>0</v>
      </c>
      <c r="V20" s="31">
        <v>0.02</v>
      </c>
      <c r="W20" s="31">
        <f>IF(G20=0%,20%,0%)</f>
        <v>0</v>
      </c>
      <c r="X20" s="30">
        <v>0</v>
      </c>
      <c r="Y20" s="30">
        <v>1</v>
      </c>
      <c r="Z20" s="53">
        <v>1</v>
      </c>
      <c r="AA20" s="29">
        <v>0.5</v>
      </c>
      <c r="AB20" s="107"/>
      <c r="AC20" s="107"/>
      <c r="AD20" s="107"/>
      <c r="AE20" s="107"/>
      <c r="AF20" s="107"/>
      <c r="AG20" s="117"/>
      <c r="AH20" s="119"/>
      <c r="AI20" s="121"/>
      <c r="AJ20" s="55" t="s">
        <v>52</v>
      </c>
      <c r="AK20" s="56">
        <f>AJ19-AK19</f>
        <v>-7.1864226995488334E-4</v>
      </c>
      <c r="AM20" s="107"/>
      <c r="AN20" s="107"/>
      <c r="AO20" s="107"/>
      <c r="AP20" s="107"/>
      <c r="AQ20" s="107"/>
      <c r="AR20" s="107"/>
      <c r="AS20" s="39"/>
      <c r="AT20" s="107"/>
      <c r="AU20" s="117"/>
      <c r="AV20" s="107"/>
      <c r="AW20" s="107"/>
      <c r="AY20" s="109"/>
      <c r="AZ20" s="109"/>
      <c r="BB20" s="107"/>
    </row>
    <row r="21" spans="1:54" ht="27" customHeight="1" x14ac:dyDescent="0.3">
      <c r="A21" s="28" t="s">
        <v>45</v>
      </c>
      <c r="B21" s="38" t="s">
        <v>35</v>
      </c>
      <c r="C21" s="27" t="s">
        <v>0</v>
      </c>
      <c r="D21" s="26">
        <v>4321436481</v>
      </c>
      <c r="E21" s="25">
        <v>3771000</v>
      </c>
      <c r="F21" s="24">
        <f>ROUNDDOWN(E21/(1-F20),-1)</f>
        <v>3771000</v>
      </c>
      <c r="G21" s="110">
        <f>ROUNDDOWN(IF(F21*G20&gt;H20,H20,F21*G20),-1)</f>
        <v>301680</v>
      </c>
      <c r="H21" s="111"/>
      <c r="I21" s="112">
        <f>ROUNDDOWN(IF(F21*I20&gt;J20,J20,F21*I20),-1)</f>
        <v>0</v>
      </c>
      <c r="J21" s="113"/>
      <c r="K21" s="112">
        <f>ROUNDDOWN(IF(F21*K20&gt;L20,L20,F21*K20),-1)</f>
        <v>200000</v>
      </c>
      <c r="L21" s="113"/>
      <c r="M21" s="110">
        <f>ROUNDDOWN(IF(Q21*M20&gt;N20,N20,Q21*M20),-1)</f>
        <v>70000</v>
      </c>
      <c r="N21" s="111"/>
      <c r="O21" s="110">
        <f>ROUNDDOWN(IF(F21*O20&gt;P20,P20,F21*O20),-1)</f>
        <v>0</v>
      </c>
      <c r="P21" s="111"/>
      <c r="Q21" s="23">
        <f>F21-G21-I21-K21</f>
        <v>3269320</v>
      </c>
      <c r="R21" s="22">
        <f>F21-G21-I21-K21-M21-O21</f>
        <v>3199320</v>
      </c>
      <c r="S21" s="21"/>
      <c r="T21" s="20">
        <f>F21*T20</f>
        <v>263970</v>
      </c>
      <c r="U21" s="20">
        <f>F21*U20</f>
        <v>0</v>
      </c>
      <c r="V21" s="20">
        <f>(F21-I21)*V20</f>
        <v>75420</v>
      </c>
      <c r="W21" s="19">
        <f>(F21*F20)*W20</f>
        <v>0</v>
      </c>
      <c r="X21" s="19">
        <f>G21*X20</f>
        <v>0</v>
      </c>
      <c r="Y21" s="19">
        <f>I21*Y20</f>
        <v>0</v>
      </c>
      <c r="Z21" s="19">
        <f>K21*Z20</f>
        <v>200000</v>
      </c>
      <c r="AA21" s="19">
        <f>M21*AA20</f>
        <v>35000</v>
      </c>
      <c r="AB21" s="19">
        <v>0</v>
      </c>
      <c r="AC21" s="16">
        <v>15000</v>
      </c>
      <c r="AD21" s="18">
        <f>F21-T21-U21-V21-W21-AA21-X21-Y21-Z21-AB21</f>
        <v>3196610</v>
      </c>
      <c r="AE21" s="18">
        <f>F21-T21-U21-V21-W21-X21-Y21-Z21-AA21-AB21-AC21</f>
        <v>3181610</v>
      </c>
      <c r="AF21" s="17">
        <f>AE21-AG21</f>
        <v>37610</v>
      </c>
      <c r="AG21" s="16">
        <v>3144000</v>
      </c>
      <c r="AH21" s="15">
        <f>AF21/AG21</f>
        <v>1.1962468193384224E-2</v>
      </c>
      <c r="AI21" s="14">
        <f>1-R21/(AG21-AM21-AN21-AO21)</f>
        <v>-1.7595419847328264E-2</v>
      </c>
      <c r="AJ21" s="114">
        <f>(1-R21/F21)-(1-(AD21)/F21)</f>
        <v>-7.1864226995488334E-4</v>
      </c>
      <c r="AK21" s="115"/>
      <c r="AM21" s="13"/>
      <c r="AN21" s="12">
        <f>X21*AN20</f>
        <v>0</v>
      </c>
      <c r="AO21" s="12">
        <v>0</v>
      </c>
      <c r="AP21" s="12"/>
      <c r="AQ21" s="11">
        <f>AE21-(AG21-AM21-AN21-AO21-AP21)</f>
        <v>37610</v>
      </c>
      <c r="AR21" s="8">
        <f>AQ21/AG21</f>
        <v>1.1962468193384224E-2</v>
      </c>
      <c r="AT21" s="10">
        <v>0</v>
      </c>
      <c r="AU21" s="10">
        <v>0</v>
      </c>
      <c r="AV21" s="9">
        <f>AQ21-AT21-AU21</f>
        <v>37610</v>
      </c>
      <c r="AW21" s="8">
        <f>AV21/AG21</f>
        <v>1.1962468193384224E-2</v>
      </c>
      <c r="AY21" s="49"/>
      <c r="AZ21" s="50"/>
      <c r="BB21" s="6"/>
    </row>
    <row r="22" spans="1:54" x14ac:dyDescent="0.3">
      <c r="E22" s="5">
        <v>3399000</v>
      </c>
      <c r="F22" s="4">
        <f>ROUNDDOWN(E22/(1-F20),-1)</f>
        <v>3399000</v>
      </c>
      <c r="G22" s="138">
        <f>ROUNDDOWN(IF(F22*G20&gt;H20,H20,F22*G20),-1)</f>
        <v>271920</v>
      </c>
      <c r="H22" s="138"/>
      <c r="J22" s="54">
        <f>F21*4%</f>
        <v>150840</v>
      </c>
      <c r="X22" s="3">
        <f>G22*X20</f>
        <v>0</v>
      </c>
      <c r="Y22" s="3"/>
      <c r="Z22" s="3"/>
    </row>
    <row r="23" spans="1:54" x14ac:dyDescent="0.3">
      <c r="E23" s="5"/>
      <c r="F23" s="4"/>
      <c r="G23" s="42"/>
      <c r="H23" s="42"/>
      <c r="J23" s="54"/>
      <c r="X23" s="3"/>
      <c r="Y23" s="3"/>
      <c r="Z23" s="3"/>
    </row>
    <row r="24" spans="1:54" x14ac:dyDescent="0.3">
      <c r="A24" s="43"/>
      <c r="B24" s="43"/>
      <c r="C24" s="43"/>
      <c r="D24" s="43"/>
      <c r="E24" s="5"/>
    </row>
    <row r="25" spans="1:54" ht="27" customHeight="1" x14ac:dyDescent="0.3">
      <c r="A25" s="124" t="s">
        <v>34</v>
      </c>
      <c r="B25" s="127" t="s">
        <v>70</v>
      </c>
      <c r="C25" s="128"/>
      <c r="D25" s="128"/>
      <c r="E25" s="128"/>
      <c r="F25" s="128"/>
      <c r="G25" s="128"/>
      <c r="H25" s="128"/>
      <c r="I25" s="128"/>
      <c r="J25" s="128"/>
      <c r="K25" s="128"/>
      <c r="L25" s="128"/>
      <c r="M25" s="128"/>
      <c r="N25" s="128"/>
      <c r="O25" s="128"/>
      <c r="P25" s="128"/>
      <c r="Q25" s="128"/>
      <c r="R25" s="129"/>
      <c r="T25" s="130" t="s">
        <v>33</v>
      </c>
      <c r="U25" s="131"/>
      <c r="V25" s="131"/>
      <c r="W25" s="131"/>
      <c r="X25" s="131"/>
      <c r="Y25" s="131"/>
      <c r="Z25" s="131"/>
      <c r="AA25" s="131"/>
      <c r="AB25" s="131"/>
      <c r="AC25" s="131"/>
      <c r="AD25" s="131"/>
      <c r="AE25" s="131"/>
      <c r="AF25" s="131"/>
      <c r="AG25" s="131"/>
      <c r="AH25" s="132"/>
      <c r="AI25" s="37"/>
      <c r="AM25" s="130" t="s">
        <v>32</v>
      </c>
      <c r="AN25" s="131"/>
      <c r="AO25" s="131"/>
      <c r="AP25" s="131"/>
      <c r="AQ25" s="131"/>
      <c r="AR25" s="132"/>
      <c r="AT25" s="130" t="s">
        <v>31</v>
      </c>
      <c r="AU25" s="131"/>
      <c r="AV25" s="131"/>
      <c r="AW25" s="132"/>
      <c r="AY25" s="47" t="s">
        <v>36</v>
      </c>
      <c r="AZ25" s="48"/>
      <c r="BB25" s="36"/>
    </row>
    <row r="26" spans="1:54" ht="32.25" customHeight="1" x14ac:dyDescent="0.3">
      <c r="A26" s="125"/>
      <c r="B26" s="133" t="s">
        <v>30</v>
      </c>
      <c r="C26" s="133" t="s">
        <v>29</v>
      </c>
      <c r="D26" s="116" t="s">
        <v>28</v>
      </c>
      <c r="E26" s="116" t="s">
        <v>27</v>
      </c>
      <c r="F26" s="34" t="s">
        <v>26</v>
      </c>
      <c r="G26" s="122" t="s">
        <v>63</v>
      </c>
      <c r="H26" s="123"/>
      <c r="I26" s="122" t="s">
        <v>50</v>
      </c>
      <c r="J26" s="123"/>
      <c r="K26" s="122" t="s">
        <v>62</v>
      </c>
      <c r="L26" s="123"/>
      <c r="M26" s="122" t="s">
        <v>25</v>
      </c>
      <c r="N26" s="123"/>
      <c r="O26" s="122" t="s">
        <v>24</v>
      </c>
      <c r="P26" s="123"/>
      <c r="Q26" s="106" t="s">
        <v>23</v>
      </c>
      <c r="R26" s="106" t="s">
        <v>22</v>
      </c>
      <c r="S26" s="21"/>
      <c r="T26" s="34" t="s">
        <v>21</v>
      </c>
      <c r="U26" s="34" t="s">
        <v>20</v>
      </c>
      <c r="V26" s="34" t="s">
        <v>69</v>
      </c>
      <c r="W26" s="34" t="s">
        <v>19</v>
      </c>
      <c r="X26" s="34" t="s">
        <v>18</v>
      </c>
      <c r="Y26" s="34" t="s">
        <v>48</v>
      </c>
      <c r="Z26" s="34" t="s">
        <v>49</v>
      </c>
      <c r="AA26" s="34" t="s">
        <v>17</v>
      </c>
      <c r="AB26" s="106" t="s">
        <v>16</v>
      </c>
      <c r="AC26" s="106" t="s">
        <v>15</v>
      </c>
      <c r="AD26" s="106" t="s">
        <v>14</v>
      </c>
      <c r="AE26" s="106" t="s">
        <v>13</v>
      </c>
      <c r="AF26" s="106" t="s">
        <v>12</v>
      </c>
      <c r="AG26" s="116" t="s">
        <v>11</v>
      </c>
      <c r="AH26" s="118" t="s">
        <v>10</v>
      </c>
      <c r="AI26" s="120" t="s">
        <v>9</v>
      </c>
      <c r="AJ26" s="35">
        <f>(1-R28/F28)</f>
        <v>0.14768613687641008</v>
      </c>
      <c r="AK26" s="35">
        <f>1-(AD28+AM28)/F28</f>
        <v>9.8774128854349441E-2</v>
      </c>
      <c r="AM26" s="106" t="s">
        <v>8</v>
      </c>
      <c r="AN26" s="106" t="s">
        <v>7</v>
      </c>
      <c r="AO26" s="106" t="s">
        <v>37</v>
      </c>
      <c r="AP26" s="106" t="s">
        <v>38</v>
      </c>
      <c r="AQ26" s="106" t="s">
        <v>6</v>
      </c>
      <c r="AR26" s="106" t="s">
        <v>5</v>
      </c>
      <c r="AT26" s="106" t="s">
        <v>4</v>
      </c>
      <c r="AU26" s="106" t="s">
        <v>3</v>
      </c>
      <c r="AV26" s="106" t="s">
        <v>2</v>
      </c>
      <c r="AW26" s="106" t="s">
        <v>1</v>
      </c>
      <c r="AY26" s="108"/>
      <c r="AZ26" s="108"/>
      <c r="BB26" s="106"/>
    </row>
    <row r="27" spans="1:54" ht="27" customHeight="1" x14ac:dyDescent="0.3">
      <c r="A27" s="126"/>
      <c r="B27" s="134"/>
      <c r="C27" s="134"/>
      <c r="D27" s="117"/>
      <c r="E27" s="117"/>
      <c r="F27" s="31">
        <v>0</v>
      </c>
      <c r="G27" s="33">
        <v>0.08</v>
      </c>
      <c r="H27" s="32">
        <v>1000000</v>
      </c>
      <c r="I27" s="31">
        <v>1</v>
      </c>
      <c r="J27" s="32">
        <v>0</v>
      </c>
      <c r="K27" s="31">
        <v>1</v>
      </c>
      <c r="L27" s="32">
        <v>200000</v>
      </c>
      <c r="M27" s="31">
        <v>7.0000000000000007E-2</v>
      </c>
      <c r="N27" s="32">
        <v>70000</v>
      </c>
      <c r="O27" s="31">
        <v>0</v>
      </c>
      <c r="P27" s="32">
        <v>0</v>
      </c>
      <c r="Q27" s="107"/>
      <c r="R27" s="107"/>
      <c r="S27" s="21"/>
      <c r="T27" s="31">
        <f>IF(C28="노트북",7%,IF(C28="저장&amp;주변기기",9%,IF(C28="모니터",7%)))</f>
        <v>7.0000000000000007E-2</v>
      </c>
      <c r="U27" s="31">
        <v>0</v>
      </c>
      <c r="V27" s="31">
        <v>0.02</v>
      </c>
      <c r="W27" s="31">
        <v>0</v>
      </c>
      <c r="X27" s="30">
        <v>0</v>
      </c>
      <c r="Y27" s="30">
        <v>1</v>
      </c>
      <c r="Z27" s="53">
        <v>1</v>
      </c>
      <c r="AA27" s="29">
        <v>0.5</v>
      </c>
      <c r="AB27" s="107"/>
      <c r="AC27" s="107"/>
      <c r="AD27" s="107"/>
      <c r="AE27" s="107"/>
      <c r="AF27" s="107"/>
      <c r="AG27" s="117"/>
      <c r="AH27" s="119"/>
      <c r="AI27" s="121"/>
      <c r="AJ27" s="55" t="s">
        <v>52</v>
      </c>
      <c r="AK27" s="56">
        <f>AJ26-AK26</f>
        <v>4.8912008022060638E-2</v>
      </c>
      <c r="AM27" s="107"/>
      <c r="AN27" s="107"/>
      <c r="AO27" s="107"/>
      <c r="AP27" s="107"/>
      <c r="AQ27" s="107"/>
      <c r="AR27" s="107"/>
      <c r="AS27" s="39"/>
      <c r="AT27" s="107"/>
      <c r="AU27" s="117"/>
      <c r="AV27" s="107"/>
      <c r="AW27" s="107"/>
      <c r="AY27" s="109"/>
      <c r="AZ27" s="109"/>
      <c r="BB27" s="107"/>
    </row>
    <row r="28" spans="1:54" ht="27" customHeight="1" x14ac:dyDescent="0.3">
      <c r="A28" s="28" t="s">
        <v>39</v>
      </c>
      <c r="B28" s="38" t="s">
        <v>35</v>
      </c>
      <c r="C28" s="27" t="s">
        <v>0</v>
      </c>
      <c r="D28" s="26">
        <v>4321378893</v>
      </c>
      <c r="E28" s="25">
        <v>3989000</v>
      </c>
      <c r="F28" s="24">
        <f>ROUNDDOWN(E28/(1-F27),-1)</f>
        <v>3989000</v>
      </c>
      <c r="G28" s="110">
        <f>ROUNDDOWN(IF(F28*G27&gt;H27,H27,F28*G27),-1)</f>
        <v>319120</v>
      </c>
      <c r="H28" s="111"/>
      <c r="I28" s="112">
        <f>ROUNDDOWN(IF(F28*I27&gt;J27,J27,F28*I27),-1)</f>
        <v>0</v>
      </c>
      <c r="J28" s="113"/>
      <c r="K28" s="112">
        <f>ROUNDDOWN(IF(F28*K27&gt;L27,L27,F28*K27),-1)</f>
        <v>200000</v>
      </c>
      <c r="L28" s="113"/>
      <c r="M28" s="110">
        <f>ROUNDDOWN(IF(Q28*M27&gt;N27,N27,Q28*M27),-1)</f>
        <v>70000</v>
      </c>
      <c r="N28" s="111"/>
      <c r="O28" s="110">
        <f>ROUNDDOWN(IF(F28*O27&gt;P27,P27,F28*O27),-1)</f>
        <v>0</v>
      </c>
      <c r="P28" s="111"/>
      <c r="Q28" s="23">
        <f>F28-G28-I28-K28</f>
        <v>3469880</v>
      </c>
      <c r="R28" s="22">
        <f>F28-G28-I28-K28-M28-O28</f>
        <v>3399880</v>
      </c>
      <c r="S28" s="21"/>
      <c r="T28" s="20">
        <f>F28*T27</f>
        <v>279230</v>
      </c>
      <c r="U28" s="20">
        <f>F28*U27</f>
        <v>0</v>
      </c>
      <c r="V28" s="20">
        <f>(F28-I28)*V27</f>
        <v>79780</v>
      </c>
      <c r="W28" s="19">
        <f>(F28*F27)*W27</f>
        <v>0</v>
      </c>
      <c r="X28" s="19">
        <f>G28*X27</f>
        <v>0</v>
      </c>
      <c r="Y28" s="19">
        <f>I28*Y27</f>
        <v>0</v>
      </c>
      <c r="Z28" s="19">
        <f>K28*Z27</f>
        <v>200000</v>
      </c>
      <c r="AA28" s="19">
        <f>M28*AA27</f>
        <v>35000</v>
      </c>
      <c r="AB28" s="19">
        <v>0</v>
      </c>
      <c r="AC28" s="16">
        <v>15000</v>
      </c>
      <c r="AD28" s="18">
        <f>F28-T28-U28-V28-W28-AA28-X28-Y28-Z28-AB28</f>
        <v>3394990</v>
      </c>
      <c r="AE28" s="18">
        <f>F28-T28-U28-V28-W28-X28-Y28-Z28-AA28-AB28-AC28</f>
        <v>3379990</v>
      </c>
      <c r="AF28" s="17">
        <f>AE28-AG28</f>
        <v>-134010</v>
      </c>
      <c r="AG28" s="16">
        <v>3514000</v>
      </c>
      <c r="AH28" s="15">
        <f>AF28/AG28</f>
        <v>-3.8136027319294254E-2</v>
      </c>
      <c r="AI28" s="14">
        <f>1-R28/(AG28-AM28-AN28-AO28)</f>
        <v>-2.591430295715158E-2</v>
      </c>
      <c r="AJ28" s="114">
        <f>(1-R28/F28)-(1-(AD28)/F28)</f>
        <v>-1.2258711456505367E-3</v>
      </c>
      <c r="AK28" s="115"/>
      <c r="AM28" s="13">
        <v>200000</v>
      </c>
      <c r="AN28" s="12">
        <f>X28*AN27</f>
        <v>0</v>
      </c>
      <c r="AO28" s="12">
        <v>0</v>
      </c>
      <c r="AP28" s="12"/>
      <c r="AQ28" s="11">
        <f>AE28-(AG28-AM28-AN28-AO28-AP28)</f>
        <v>65990</v>
      </c>
      <c r="AR28" s="8">
        <f>AQ28/AG28</f>
        <v>1.8779169038133182E-2</v>
      </c>
      <c r="AT28" s="10">
        <v>0</v>
      </c>
      <c r="AU28" s="10">
        <v>0</v>
      </c>
      <c r="AV28" s="9">
        <f>AQ28-AT28-AU28</f>
        <v>65990</v>
      </c>
      <c r="AW28" s="8">
        <f>AV28/AG28</f>
        <v>1.8779169038133182E-2</v>
      </c>
      <c r="AY28" s="49"/>
      <c r="AZ28" s="50"/>
      <c r="BB28" s="6"/>
    </row>
    <row r="29" spans="1:54" x14ac:dyDescent="0.3">
      <c r="A29" s="43"/>
      <c r="B29" s="43"/>
      <c r="C29" s="43"/>
      <c r="D29" s="43"/>
      <c r="E29" s="5">
        <v>3799000</v>
      </c>
      <c r="F29" s="4">
        <f>ROUNDDOWN(E29/(1-F27),-1)</f>
        <v>3799000</v>
      </c>
      <c r="G29" s="138">
        <f>ROUNDDOWN(IF(F29*G27&gt;H27,H27,F29*G27),-1)</f>
        <v>303920</v>
      </c>
      <c r="H29" s="138"/>
      <c r="J29" s="54">
        <f>F28*4%</f>
        <v>159560</v>
      </c>
    </row>
    <row r="30" spans="1:54" ht="27" customHeight="1" x14ac:dyDescent="0.3">
      <c r="A30" s="124" t="s">
        <v>34</v>
      </c>
      <c r="B30" s="127" t="s">
        <v>70</v>
      </c>
      <c r="C30" s="128"/>
      <c r="D30" s="128"/>
      <c r="E30" s="128"/>
      <c r="F30" s="128"/>
      <c r="G30" s="128"/>
      <c r="H30" s="128"/>
      <c r="I30" s="128"/>
      <c r="J30" s="128"/>
      <c r="K30" s="128"/>
      <c r="L30" s="128"/>
      <c r="M30" s="128"/>
      <c r="N30" s="128"/>
      <c r="O30" s="128"/>
      <c r="P30" s="128"/>
      <c r="Q30" s="128"/>
      <c r="R30" s="129"/>
      <c r="T30" s="130" t="s">
        <v>33</v>
      </c>
      <c r="U30" s="131"/>
      <c r="V30" s="131"/>
      <c r="W30" s="131"/>
      <c r="X30" s="131"/>
      <c r="Y30" s="131"/>
      <c r="Z30" s="131"/>
      <c r="AA30" s="131"/>
      <c r="AB30" s="131"/>
      <c r="AC30" s="131"/>
      <c r="AD30" s="131"/>
      <c r="AE30" s="131"/>
      <c r="AF30" s="131"/>
      <c r="AG30" s="131"/>
      <c r="AH30" s="132"/>
      <c r="AI30" s="37"/>
      <c r="AM30" s="130" t="s">
        <v>32</v>
      </c>
      <c r="AN30" s="131"/>
      <c r="AO30" s="131"/>
      <c r="AP30" s="131"/>
      <c r="AQ30" s="131"/>
      <c r="AR30" s="132"/>
      <c r="AT30" s="130" t="s">
        <v>31</v>
      </c>
      <c r="AU30" s="131"/>
      <c r="AV30" s="131"/>
      <c r="AW30" s="132"/>
      <c r="AY30" s="47" t="s">
        <v>36</v>
      </c>
      <c r="AZ30" s="48"/>
      <c r="BB30" s="36"/>
    </row>
    <row r="31" spans="1:54" ht="32.25" customHeight="1" x14ac:dyDescent="0.3">
      <c r="A31" s="125"/>
      <c r="B31" s="133" t="s">
        <v>30</v>
      </c>
      <c r="C31" s="133" t="s">
        <v>29</v>
      </c>
      <c r="D31" s="116" t="s">
        <v>28</v>
      </c>
      <c r="E31" s="116" t="s">
        <v>27</v>
      </c>
      <c r="F31" s="34" t="s">
        <v>26</v>
      </c>
      <c r="G31" s="122" t="s">
        <v>63</v>
      </c>
      <c r="H31" s="123"/>
      <c r="I31" s="122" t="s">
        <v>50</v>
      </c>
      <c r="J31" s="123"/>
      <c r="K31" s="122" t="s">
        <v>62</v>
      </c>
      <c r="L31" s="123"/>
      <c r="M31" s="122" t="s">
        <v>25</v>
      </c>
      <c r="N31" s="123"/>
      <c r="O31" s="122" t="s">
        <v>24</v>
      </c>
      <c r="P31" s="123"/>
      <c r="Q31" s="106" t="s">
        <v>23</v>
      </c>
      <c r="R31" s="106" t="s">
        <v>22</v>
      </c>
      <c r="S31" s="21"/>
      <c r="T31" s="34" t="s">
        <v>21</v>
      </c>
      <c r="U31" s="34" t="s">
        <v>20</v>
      </c>
      <c r="V31" s="34" t="s">
        <v>69</v>
      </c>
      <c r="W31" s="34" t="s">
        <v>19</v>
      </c>
      <c r="X31" s="34" t="s">
        <v>18</v>
      </c>
      <c r="Y31" s="34" t="s">
        <v>48</v>
      </c>
      <c r="Z31" s="34" t="s">
        <v>49</v>
      </c>
      <c r="AA31" s="34" t="s">
        <v>17</v>
      </c>
      <c r="AB31" s="106" t="s">
        <v>16</v>
      </c>
      <c r="AC31" s="106" t="s">
        <v>15</v>
      </c>
      <c r="AD31" s="106" t="s">
        <v>14</v>
      </c>
      <c r="AE31" s="106" t="s">
        <v>13</v>
      </c>
      <c r="AF31" s="106" t="s">
        <v>12</v>
      </c>
      <c r="AG31" s="116" t="s">
        <v>11</v>
      </c>
      <c r="AH31" s="118" t="s">
        <v>10</v>
      </c>
      <c r="AI31" s="120" t="s">
        <v>9</v>
      </c>
      <c r="AJ31" s="35">
        <f>(1-R33/F33)</f>
        <v>0.17520681875156685</v>
      </c>
      <c r="AK31" s="35">
        <f>1-(AD33+AM33)/F33</f>
        <v>0.10614439709200296</v>
      </c>
      <c r="AM31" s="106" t="s">
        <v>8</v>
      </c>
      <c r="AN31" s="106" t="s">
        <v>7</v>
      </c>
      <c r="AO31" s="106" t="s">
        <v>37</v>
      </c>
      <c r="AP31" s="106" t="s">
        <v>38</v>
      </c>
      <c r="AQ31" s="106" t="s">
        <v>6</v>
      </c>
      <c r="AR31" s="106" t="s">
        <v>5</v>
      </c>
      <c r="AT31" s="106" t="s">
        <v>4</v>
      </c>
      <c r="AU31" s="106" t="s">
        <v>3</v>
      </c>
      <c r="AV31" s="106" t="s">
        <v>2</v>
      </c>
      <c r="AW31" s="106" t="s">
        <v>1</v>
      </c>
      <c r="AY31" s="108"/>
      <c r="AZ31" s="108"/>
      <c r="BB31" s="106"/>
    </row>
    <row r="32" spans="1:54" ht="27" customHeight="1" x14ac:dyDescent="0.3">
      <c r="A32" s="126"/>
      <c r="B32" s="134"/>
      <c r="C32" s="134"/>
      <c r="D32" s="117"/>
      <c r="E32" s="117"/>
      <c r="F32" s="31">
        <v>0</v>
      </c>
      <c r="G32" s="33">
        <v>0.1</v>
      </c>
      <c r="H32" s="32">
        <v>1000000</v>
      </c>
      <c r="I32" s="31">
        <v>1</v>
      </c>
      <c r="J32" s="32">
        <v>30000</v>
      </c>
      <c r="K32" s="31">
        <v>1</v>
      </c>
      <c r="L32" s="32">
        <v>200000</v>
      </c>
      <c r="M32" s="31">
        <v>7.0000000000000007E-2</v>
      </c>
      <c r="N32" s="32">
        <v>70000</v>
      </c>
      <c r="O32" s="31">
        <v>0</v>
      </c>
      <c r="P32" s="32">
        <v>0</v>
      </c>
      <c r="Q32" s="107"/>
      <c r="R32" s="107"/>
      <c r="S32" s="21"/>
      <c r="T32" s="31">
        <f>IF(C33="노트북",7%,IF(C33="저장&amp;주변기기",9%,IF(C33="모니터",7%)))</f>
        <v>7.0000000000000007E-2</v>
      </c>
      <c r="U32" s="31">
        <v>0</v>
      </c>
      <c r="V32" s="31">
        <v>0.02</v>
      </c>
      <c r="W32" s="31">
        <v>0</v>
      </c>
      <c r="X32" s="30">
        <v>0</v>
      </c>
      <c r="Y32" s="30">
        <v>1</v>
      </c>
      <c r="Z32" s="53">
        <v>1</v>
      </c>
      <c r="AA32" s="29">
        <v>0.5</v>
      </c>
      <c r="AB32" s="107"/>
      <c r="AC32" s="107"/>
      <c r="AD32" s="107"/>
      <c r="AE32" s="107"/>
      <c r="AF32" s="107"/>
      <c r="AG32" s="117"/>
      <c r="AH32" s="119"/>
      <c r="AI32" s="121"/>
      <c r="AJ32" s="55" t="s">
        <v>52</v>
      </c>
      <c r="AK32" s="56">
        <f>AJ31-AK31</f>
        <v>6.9062421659563888E-2</v>
      </c>
      <c r="AM32" s="107"/>
      <c r="AN32" s="107"/>
      <c r="AO32" s="107"/>
      <c r="AP32" s="107"/>
      <c r="AQ32" s="107"/>
      <c r="AR32" s="107"/>
      <c r="AS32" s="39"/>
      <c r="AT32" s="107"/>
      <c r="AU32" s="117"/>
      <c r="AV32" s="107"/>
      <c r="AW32" s="107"/>
      <c r="AY32" s="109"/>
      <c r="AZ32" s="109"/>
      <c r="BB32" s="107"/>
    </row>
    <row r="33" spans="1:54" ht="27" customHeight="1" x14ac:dyDescent="0.3">
      <c r="A33" s="28" t="s">
        <v>39</v>
      </c>
      <c r="B33" s="38" t="s">
        <v>35</v>
      </c>
      <c r="C33" s="27" t="s">
        <v>0</v>
      </c>
      <c r="D33" s="26">
        <v>4321378893</v>
      </c>
      <c r="E33" s="25">
        <v>3989000</v>
      </c>
      <c r="F33" s="24">
        <f>ROUNDDOWN(E33/(1-F32),-1)</f>
        <v>3989000</v>
      </c>
      <c r="G33" s="110">
        <f>ROUNDDOWN(IF(F33*G32&gt;H32,H32,F33*G32),-1)</f>
        <v>398900</v>
      </c>
      <c r="H33" s="111"/>
      <c r="I33" s="112">
        <f>ROUNDDOWN(IF(F33*I32&gt;J32,J32,F33*I32),-1)</f>
        <v>30000</v>
      </c>
      <c r="J33" s="113"/>
      <c r="K33" s="112">
        <f>ROUNDDOWN(IF(F33*K32&gt;L32,L32,F33*K32),-1)</f>
        <v>200000</v>
      </c>
      <c r="L33" s="113"/>
      <c r="M33" s="110">
        <f>ROUNDDOWN(IF(Q33*M32&gt;N32,N32,Q33*M32),-1)</f>
        <v>70000</v>
      </c>
      <c r="N33" s="111"/>
      <c r="O33" s="110">
        <f>ROUNDDOWN(IF(F33*O32&gt;P32,P32,F33*O32),-1)</f>
        <v>0</v>
      </c>
      <c r="P33" s="111"/>
      <c r="Q33" s="23">
        <f>F33-G33-I33-K33</f>
        <v>3360100</v>
      </c>
      <c r="R33" s="22">
        <f>F33-G33-I33-K33-M33-O33</f>
        <v>3290100</v>
      </c>
      <c r="S33" s="21"/>
      <c r="T33" s="20">
        <f>F33*T32</f>
        <v>279230</v>
      </c>
      <c r="U33" s="20">
        <f>F33*U32</f>
        <v>0</v>
      </c>
      <c r="V33" s="20">
        <f>(F33-I33)*V32</f>
        <v>79180</v>
      </c>
      <c r="W33" s="19">
        <f>(F33*F32)*W32</f>
        <v>0</v>
      </c>
      <c r="X33" s="19">
        <f>G33*X32</f>
        <v>0</v>
      </c>
      <c r="Y33" s="19">
        <f>I33*Y32</f>
        <v>30000</v>
      </c>
      <c r="Z33" s="19">
        <f>K33*Z32</f>
        <v>200000</v>
      </c>
      <c r="AA33" s="19">
        <f>M33*AA32</f>
        <v>35000</v>
      </c>
      <c r="AB33" s="19">
        <v>0</v>
      </c>
      <c r="AC33" s="16">
        <v>15000</v>
      </c>
      <c r="AD33" s="18">
        <f>F33-T33-U33-V33-W33-AA33-X33-Y33-Z33-AB33</f>
        <v>3365590</v>
      </c>
      <c r="AE33" s="18">
        <f>F33-T33-U33-V33-W33-X33-Y33-Z33-AA33-AB33-AC33</f>
        <v>3350590</v>
      </c>
      <c r="AF33" s="17">
        <f>AE33-AG33</f>
        <v>-163410</v>
      </c>
      <c r="AG33" s="16">
        <v>3514000</v>
      </c>
      <c r="AH33" s="15">
        <f>AF33/AG33</f>
        <v>-4.6502561183836083E-2</v>
      </c>
      <c r="AI33" s="14">
        <f>1-R33/(AG33-AM33-AN33-AO33)</f>
        <v>7.2118286059142944E-3</v>
      </c>
      <c r="AJ33" s="114">
        <f>(1-R33/F33)-(1-(AD33)/F33)</f>
        <v>1.8924542491852603E-2</v>
      </c>
      <c r="AK33" s="115"/>
      <c r="AM33" s="13">
        <v>200000</v>
      </c>
      <c r="AN33" s="12">
        <f>X33*AN32</f>
        <v>0</v>
      </c>
      <c r="AO33" s="12">
        <v>0</v>
      </c>
      <c r="AP33" s="12"/>
      <c r="AQ33" s="11">
        <f>AE33-(AG33-AM33-AN33-AO33-AP33)</f>
        <v>36590</v>
      </c>
      <c r="AR33" s="8">
        <f>AQ33/AG33</f>
        <v>1.041263517359135E-2</v>
      </c>
      <c r="AT33" s="10">
        <v>0</v>
      </c>
      <c r="AU33" s="10">
        <v>0</v>
      </c>
      <c r="AV33" s="9">
        <f>AQ33-AT33-AU33</f>
        <v>36590</v>
      </c>
      <c r="AW33" s="8">
        <f>AV33/AG33</f>
        <v>1.041263517359135E-2</v>
      </c>
      <c r="AY33" s="49"/>
      <c r="AZ33" s="50"/>
      <c r="BB33" s="6"/>
    </row>
    <row r="34" spans="1:54" x14ac:dyDescent="0.3">
      <c r="A34" s="43"/>
      <c r="B34" s="43"/>
      <c r="C34" s="43"/>
      <c r="D34" s="43"/>
      <c r="E34" s="5">
        <v>3799000</v>
      </c>
      <c r="F34" s="4">
        <f>ROUNDDOWN(E34/(1-F32),-1)</f>
        <v>3799000</v>
      </c>
      <c r="G34" s="138">
        <f>ROUNDDOWN(IF(F34*G32&gt;H32,H32,F34*G32),-1)</f>
        <v>379900</v>
      </c>
      <c r="H34" s="138"/>
      <c r="J34" s="54">
        <f>F33*4%</f>
        <v>159560</v>
      </c>
    </row>
    <row r="35" spans="1:54" ht="27" customHeight="1" x14ac:dyDescent="0.3">
      <c r="A35" s="124" t="s">
        <v>34</v>
      </c>
      <c r="B35" s="127" t="s">
        <v>114</v>
      </c>
      <c r="C35" s="128"/>
      <c r="D35" s="128"/>
      <c r="E35" s="128"/>
      <c r="F35" s="128"/>
      <c r="G35" s="128"/>
      <c r="H35" s="128"/>
      <c r="I35" s="128"/>
      <c r="J35" s="128"/>
      <c r="K35" s="128"/>
      <c r="L35" s="128"/>
      <c r="M35" s="128"/>
      <c r="N35" s="128"/>
      <c r="O35" s="128"/>
      <c r="P35" s="128"/>
      <c r="Q35" s="128"/>
      <c r="R35" s="129"/>
      <c r="T35" s="130" t="s">
        <v>33</v>
      </c>
      <c r="U35" s="131"/>
      <c r="V35" s="131"/>
      <c r="W35" s="131"/>
      <c r="X35" s="131"/>
      <c r="Y35" s="131"/>
      <c r="Z35" s="131"/>
      <c r="AA35" s="131"/>
      <c r="AB35" s="131"/>
      <c r="AC35" s="131"/>
      <c r="AD35" s="131"/>
      <c r="AE35" s="131"/>
      <c r="AF35" s="131"/>
      <c r="AG35" s="131"/>
      <c r="AH35" s="132"/>
      <c r="AI35" s="37"/>
      <c r="AM35" s="130" t="s">
        <v>32</v>
      </c>
      <c r="AN35" s="131"/>
      <c r="AO35" s="131"/>
      <c r="AP35" s="131"/>
      <c r="AQ35" s="131"/>
      <c r="AR35" s="132"/>
      <c r="AT35" s="130" t="s">
        <v>31</v>
      </c>
      <c r="AU35" s="131"/>
      <c r="AV35" s="131"/>
      <c r="AW35" s="132"/>
      <c r="AY35" s="47" t="s">
        <v>36</v>
      </c>
      <c r="AZ35" s="48"/>
      <c r="BB35" s="36"/>
    </row>
    <row r="36" spans="1:54" ht="32.25" customHeight="1" x14ac:dyDescent="0.3">
      <c r="A36" s="125"/>
      <c r="B36" s="133" t="s">
        <v>30</v>
      </c>
      <c r="C36" s="133" t="s">
        <v>29</v>
      </c>
      <c r="D36" s="116" t="s">
        <v>28</v>
      </c>
      <c r="E36" s="116" t="s">
        <v>27</v>
      </c>
      <c r="F36" s="34" t="s">
        <v>26</v>
      </c>
      <c r="G36" s="122" t="s">
        <v>63</v>
      </c>
      <c r="H36" s="123"/>
      <c r="I36" s="122" t="s">
        <v>50</v>
      </c>
      <c r="J36" s="123"/>
      <c r="K36" s="122" t="s">
        <v>62</v>
      </c>
      <c r="L36" s="123"/>
      <c r="M36" s="122" t="s">
        <v>25</v>
      </c>
      <c r="N36" s="123"/>
      <c r="O36" s="122" t="s">
        <v>24</v>
      </c>
      <c r="P36" s="123"/>
      <c r="Q36" s="106" t="s">
        <v>23</v>
      </c>
      <c r="R36" s="106" t="s">
        <v>22</v>
      </c>
      <c r="S36" s="21"/>
      <c r="T36" s="34" t="s">
        <v>21</v>
      </c>
      <c r="U36" s="34" t="s">
        <v>20</v>
      </c>
      <c r="V36" s="34" t="s">
        <v>69</v>
      </c>
      <c r="W36" s="34" t="s">
        <v>19</v>
      </c>
      <c r="X36" s="34" t="s">
        <v>18</v>
      </c>
      <c r="Y36" s="34" t="s">
        <v>48</v>
      </c>
      <c r="Z36" s="34" t="s">
        <v>49</v>
      </c>
      <c r="AA36" s="34" t="s">
        <v>17</v>
      </c>
      <c r="AB36" s="106" t="s">
        <v>16</v>
      </c>
      <c r="AC36" s="106" t="s">
        <v>15</v>
      </c>
      <c r="AD36" s="106" t="s">
        <v>14</v>
      </c>
      <c r="AE36" s="106" t="s">
        <v>13</v>
      </c>
      <c r="AF36" s="106" t="s">
        <v>12</v>
      </c>
      <c r="AG36" s="116" t="s">
        <v>11</v>
      </c>
      <c r="AH36" s="118" t="s">
        <v>10</v>
      </c>
      <c r="AI36" s="120" t="s">
        <v>9</v>
      </c>
      <c r="AJ36" s="35">
        <f>(1-R38/F38)</f>
        <v>0.16294728203597841</v>
      </c>
      <c r="AK36" s="35">
        <f>1-(AD38+AM38)/F38</f>
        <v>9.8159953744719308E-2</v>
      </c>
      <c r="AM36" s="106" t="s">
        <v>8</v>
      </c>
      <c r="AN36" s="106" t="s">
        <v>7</v>
      </c>
      <c r="AO36" s="106" t="s">
        <v>37</v>
      </c>
      <c r="AP36" s="106" t="s">
        <v>38</v>
      </c>
      <c r="AQ36" s="106" t="s">
        <v>6</v>
      </c>
      <c r="AR36" s="106" t="s">
        <v>5</v>
      </c>
      <c r="AT36" s="106" t="s">
        <v>4</v>
      </c>
      <c r="AU36" s="106" t="s">
        <v>3</v>
      </c>
      <c r="AV36" s="106" t="s">
        <v>2</v>
      </c>
      <c r="AW36" s="106" t="s">
        <v>1</v>
      </c>
      <c r="AY36" s="108"/>
      <c r="AZ36" s="108"/>
      <c r="BB36" s="106"/>
    </row>
    <row r="37" spans="1:54" ht="27" customHeight="1" x14ac:dyDescent="0.3">
      <c r="A37" s="126"/>
      <c r="B37" s="134"/>
      <c r="C37" s="134"/>
      <c r="D37" s="117"/>
      <c r="E37" s="117"/>
      <c r="F37" s="31">
        <v>7.0000000000000007E-2</v>
      </c>
      <c r="G37" s="33">
        <v>0.1</v>
      </c>
      <c r="H37" s="32">
        <v>1000000</v>
      </c>
      <c r="I37" s="31">
        <v>1</v>
      </c>
      <c r="J37" s="32">
        <v>0</v>
      </c>
      <c r="K37" s="31">
        <v>1</v>
      </c>
      <c r="L37" s="32">
        <v>200000</v>
      </c>
      <c r="M37" s="31">
        <v>7.0000000000000007E-2</v>
      </c>
      <c r="N37" s="32">
        <v>70000</v>
      </c>
      <c r="O37" s="31">
        <v>0</v>
      </c>
      <c r="P37" s="32">
        <v>0</v>
      </c>
      <c r="Q37" s="107"/>
      <c r="R37" s="107"/>
      <c r="S37" s="21"/>
      <c r="T37" s="31">
        <f>IF(C38="노트북",7%,IF(C38="저장&amp;주변기기",9%,IF(C38="모니터",7%)))</f>
        <v>7.0000000000000007E-2</v>
      </c>
      <c r="U37" s="31">
        <v>0</v>
      </c>
      <c r="V37" s="31">
        <v>0.02</v>
      </c>
      <c r="W37" s="31">
        <v>0</v>
      </c>
      <c r="X37" s="30">
        <v>0</v>
      </c>
      <c r="Y37" s="30">
        <v>1</v>
      </c>
      <c r="Z37" s="53">
        <v>1</v>
      </c>
      <c r="AA37" s="29">
        <v>0.5</v>
      </c>
      <c r="AB37" s="107"/>
      <c r="AC37" s="107"/>
      <c r="AD37" s="107"/>
      <c r="AE37" s="107"/>
      <c r="AF37" s="107"/>
      <c r="AG37" s="117"/>
      <c r="AH37" s="119"/>
      <c r="AI37" s="121"/>
      <c r="AJ37" s="55" t="s">
        <v>52</v>
      </c>
      <c r="AK37" s="56">
        <f>AJ36-AK36</f>
        <v>6.4787328291259105E-2</v>
      </c>
      <c r="AM37" s="107"/>
      <c r="AN37" s="107"/>
      <c r="AO37" s="107"/>
      <c r="AP37" s="107"/>
      <c r="AQ37" s="107"/>
      <c r="AR37" s="107"/>
      <c r="AS37" s="39"/>
      <c r="AT37" s="107"/>
      <c r="AU37" s="117"/>
      <c r="AV37" s="107"/>
      <c r="AW37" s="107"/>
      <c r="AY37" s="109"/>
      <c r="AZ37" s="109"/>
      <c r="BB37" s="107"/>
    </row>
    <row r="38" spans="1:54" ht="27" customHeight="1" x14ac:dyDescent="0.3">
      <c r="A38" s="28" t="s">
        <v>39</v>
      </c>
      <c r="B38" s="38" t="s">
        <v>35</v>
      </c>
      <c r="C38" s="27" t="s">
        <v>0</v>
      </c>
      <c r="D38" s="26">
        <v>4321378893</v>
      </c>
      <c r="E38" s="25">
        <v>3989000</v>
      </c>
      <c r="F38" s="24">
        <f>ROUNDDOWN(E38/(1-F37),-1)</f>
        <v>4289240</v>
      </c>
      <c r="G38" s="110">
        <f>ROUNDDOWN(IF(F38*G37&gt;H37,H37,F38*G37),-1)</f>
        <v>428920</v>
      </c>
      <c r="H38" s="111"/>
      <c r="I38" s="112">
        <f>ROUNDDOWN(IF(F38*I37&gt;J37,J37,F38*I37),-1)</f>
        <v>0</v>
      </c>
      <c r="J38" s="113"/>
      <c r="K38" s="112">
        <f>ROUNDDOWN(IF(F38*K37&gt;L37,L37,F38*K37),-1)</f>
        <v>200000</v>
      </c>
      <c r="L38" s="113"/>
      <c r="M38" s="110">
        <f>ROUNDDOWN(IF(Q38*M37&gt;N37,N37,Q38*M37),-1)</f>
        <v>70000</v>
      </c>
      <c r="N38" s="111"/>
      <c r="O38" s="110">
        <f>ROUNDDOWN(IF(F38*O37&gt;P37,P37,F38*O37),-1)</f>
        <v>0</v>
      </c>
      <c r="P38" s="111"/>
      <c r="Q38" s="23">
        <f>F38-G38-I38-K38</f>
        <v>3660320</v>
      </c>
      <c r="R38" s="22">
        <f>F38-G38-I38-K38-M38-O38</f>
        <v>3590320</v>
      </c>
      <c r="S38" s="21"/>
      <c r="T38" s="20">
        <f>F38*T37</f>
        <v>300246.80000000005</v>
      </c>
      <c r="U38" s="20">
        <f>F38*U37</f>
        <v>0</v>
      </c>
      <c r="V38" s="20">
        <f>(F38-I38)*V37</f>
        <v>85784.8</v>
      </c>
      <c r="W38" s="19">
        <f>(F38*F37)*W37</f>
        <v>0</v>
      </c>
      <c r="X38" s="19">
        <f>G38*X37</f>
        <v>0</v>
      </c>
      <c r="Y38" s="19">
        <f>I38*Y37</f>
        <v>0</v>
      </c>
      <c r="Z38" s="19">
        <f>K38*Z37</f>
        <v>200000</v>
      </c>
      <c r="AA38" s="19">
        <f>M38*AA37</f>
        <v>35000</v>
      </c>
      <c r="AB38" s="19">
        <v>0</v>
      </c>
      <c r="AC38" s="16">
        <v>15000</v>
      </c>
      <c r="AD38" s="18">
        <f>F38-T38-U38-V38-W38-AA38-X38-Y38-Z38-AB38</f>
        <v>3668208.4000000004</v>
      </c>
      <c r="AE38" s="18">
        <f>F38-T38-U38-V38-W38-X38-Y38-Z38-AA38-AB38-AC38</f>
        <v>3653208.4000000004</v>
      </c>
      <c r="AF38" s="17">
        <f>AE38-AG38</f>
        <v>139208.40000000037</v>
      </c>
      <c r="AG38" s="16">
        <v>3514000</v>
      </c>
      <c r="AH38" s="15">
        <f>AF38/AG38</f>
        <v>3.9615367103016615E-2</v>
      </c>
      <c r="AI38" s="14">
        <f>1-R38/(AG38-AM38-AN38-AO38)</f>
        <v>-8.3379601689800742E-2</v>
      </c>
      <c r="AJ38" s="114">
        <f>(1-R38/F38)-(1-(AD38)/F38)</f>
        <v>1.815902117857715E-2</v>
      </c>
      <c r="AK38" s="115"/>
      <c r="AM38" s="13">
        <v>200000</v>
      </c>
      <c r="AN38" s="12">
        <f>X38*AN37</f>
        <v>0</v>
      </c>
      <c r="AO38" s="12">
        <v>0</v>
      </c>
      <c r="AP38" s="12"/>
      <c r="AQ38" s="11">
        <f>AE38-(AG38-AM38-AN38-AO38-AP38)</f>
        <v>339208.40000000037</v>
      </c>
      <c r="AR38" s="8">
        <f>AQ38/AG38</f>
        <v>9.6530563460444044E-2</v>
      </c>
      <c r="AT38" s="10">
        <v>0</v>
      </c>
      <c r="AU38" s="10">
        <v>0</v>
      </c>
      <c r="AV38" s="9">
        <f>AQ38-AT38-AU38</f>
        <v>339208.40000000037</v>
      </c>
      <c r="AW38" s="8">
        <f>AV38/AG38</f>
        <v>9.6530563460444044E-2</v>
      </c>
      <c r="AY38" s="49"/>
      <c r="AZ38" s="50"/>
      <c r="BB38" s="6"/>
    </row>
    <row r="39" spans="1:54" x14ac:dyDescent="0.3">
      <c r="A39" s="43"/>
      <c r="B39" s="43"/>
      <c r="C39" s="43"/>
      <c r="D39" s="43"/>
      <c r="E39" s="5">
        <v>3799000</v>
      </c>
      <c r="F39" s="4">
        <f>ROUNDDOWN(E39/(1-F37),-1)</f>
        <v>4084940</v>
      </c>
      <c r="G39" s="138">
        <f>ROUNDDOWN(IF(F39*G37&gt;H37,H37,F39*G37),-1)</f>
        <v>408490</v>
      </c>
      <c r="H39" s="138"/>
      <c r="J39" s="54">
        <f>F38*4%</f>
        <v>171569.6</v>
      </c>
    </row>
    <row r="40" spans="1:54" ht="27" customHeight="1" x14ac:dyDescent="0.3">
      <c r="A40" s="124" t="s">
        <v>34</v>
      </c>
      <c r="B40" s="127" t="s">
        <v>115</v>
      </c>
      <c r="C40" s="128"/>
      <c r="D40" s="128"/>
      <c r="E40" s="128"/>
      <c r="F40" s="128"/>
      <c r="G40" s="128"/>
      <c r="H40" s="128"/>
      <c r="I40" s="128"/>
      <c r="J40" s="128"/>
      <c r="K40" s="128"/>
      <c r="L40" s="128"/>
      <c r="M40" s="128"/>
      <c r="N40" s="128"/>
      <c r="O40" s="128"/>
      <c r="P40" s="128"/>
      <c r="Q40" s="128"/>
      <c r="R40" s="129"/>
      <c r="T40" s="130" t="s">
        <v>33</v>
      </c>
      <c r="U40" s="131"/>
      <c r="V40" s="131"/>
      <c r="W40" s="131"/>
      <c r="X40" s="131"/>
      <c r="Y40" s="131"/>
      <c r="Z40" s="131"/>
      <c r="AA40" s="131"/>
      <c r="AB40" s="131"/>
      <c r="AC40" s="131"/>
      <c r="AD40" s="131"/>
      <c r="AE40" s="131"/>
      <c r="AF40" s="131"/>
      <c r="AG40" s="131"/>
      <c r="AH40" s="132"/>
      <c r="AI40" s="37"/>
      <c r="AM40" s="130" t="s">
        <v>32</v>
      </c>
      <c r="AN40" s="131"/>
      <c r="AO40" s="131"/>
      <c r="AP40" s="131"/>
      <c r="AQ40" s="131"/>
      <c r="AR40" s="132"/>
      <c r="AT40" s="130" t="s">
        <v>31</v>
      </c>
      <c r="AU40" s="131"/>
      <c r="AV40" s="131"/>
      <c r="AW40" s="132"/>
      <c r="AY40" s="47" t="s">
        <v>36</v>
      </c>
      <c r="AZ40" s="48"/>
      <c r="BB40" s="36"/>
    </row>
    <row r="41" spans="1:54" ht="32.25" customHeight="1" x14ac:dyDescent="0.3">
      <c r="A41" s="125"/>
      <c r="B41" s="133" t="s">
        <v>30</v>
      </c>
      <c r="C41" s="133" t="s">
        <v>29</v>
      </c>
      <c r="D41" s="116" t="s">
        <v>28</v>
      </c>
      <c r="E41" s="116" t="s">
        <v>27</v>
      </c>
      <c r="F41" s="34" t="s">
        <v>26</v>
      </c>
      <c r="G41" s="122" t="s">
        <v>63</v>
      </c>
      <c r="H41" s="123"/>
      <c r="I41" s="122" t="s">
        <v>50</v>
      </c>
      <c r="J41" s="123"/>
      <c r="K41" s="122" t="s">
        <v>62</v>
      </c>
      <c r="L41" s="123"/>
      <c r="M41" s="122" t="s">
        <v>25</v>
      </c>
      <c r="N41" s="123"/>
      <c r="O41" s="122" t="s">
        <v>24</v>
      </c>
      <c r="P41" s="123"/>
      <c r="Q41" s="106" t="s">
        <v>23</v>
      </c>
      <c r="R41" s="106" t="s">
        <v>22</v>
      </c>
      <c r="S41" s="21"/>
      <c r="T41" s="34" t="s">
        <v>21</v>
      </c>
      <c r="U41" s="34" t="s">
        <v>20</v>
      </c>
      <c r="V41" s="34" t="s">
        <v>95</v>
      </c>
      <c r="W41" s="34" t="s">
        <v>19</v>
      </c>
      <c r="X41" s="34" t="s">
        <v>18</v>
      </c>
      <c r="Y41" s="34" t="s">
        <v>48</v>
      </c>
      <c r="Z41" s="34" t="s">
        <v>49</v>
      </c>
      <c r="AA41" s="34" t="s">
        <v>17</v>
      </c>
      <c r="AB41" s="106" t="s">
        <v>16</v>
      </c>
      <c r="AC41" s="106" t="s">
        <v>15</v>
      </c>
      <c r="AD41" s="106" t="s">
        <v>14</v>
      </c>
      <c r="AE41" s="106" t="s">
        <v>13</v>
      </c>
      <c r="AF41" s="106" t="s">
        <v>12</v>
      </c>
      <c r="AG41" s="116" t="s">
        <v>11</v>
      </c>
      <c r="AH41" s="118" t="s">
        <v>10</v>
      </c>
      <c r="AI41" s="120" t="s">
        <v>9</v>
      </c>
      <c r="AJ41" s="35">
        <f>(1-R43/F43)</f>
        <v>0.16445682451253485</v>
      </c>
      <c r="AK41" s="35">
        <f>1-(AD43+AM43)/F43</f>
        <v>0.15704735376044565</v>
      </c>
      <c r="AM41" s="106" t="s">
        <v>8</v>
      </c>
      <c r="AN41" s="106" t="s">
        <v>7</v>
      </c>
      <c r="AO41" s="106" t="s">
        <v>37</v>
      </c>
      <c r="AP41" s="106" t="s">
        <v>38</v>
      </c>
      <c r="AQ41" s="106" t="s">
        <v>6</v>
      </c>
      <c r="AR41" s="106" t="s">
        <v>5</v>
      </c>
      <c r="AT41" s="106" t="s">
        <v>4</v>
      </c>
      <c r="AU41" s="106" t="s">
        <v>3</v>
      </c>
      <c r="AV41" s="106" t="s">
        <v>2</v>
      </c>
      <c r="AW41" s="106" t="s">
        <v>1</v>
      </c>
      <c r="AY41" s="108"/>
      <c r="AZ41" s="108"/>
      <c r="BB41" s="106"/>
    </row>
    <row r="42" spans="1:54" ht="27" customHeight="1" x14ac:dyDescent="0.3">
      <c r="A42" s="126"/>
      <c r="B42" s="134"/>
      <c r="C42" s="134"/>
      <c r="D42" s="117"/>
      <c r="E42" s="117"/>
      <c r="F42" s="31">
        <v>0</v>
      </c>
      <c r="G42" s="33">
        <v>0.06</v>
      </c>
      <c r="H42" s="32">
        <v>1000000</v>
      </c>
      <c r="I42" s="31">
        <v>1</v>
      </c>
      <c r="J42" s="32">
        <v>0</v>
      </c>
      <c r="K42" s="31">
        <v>1</v>
      </c>
      <c r="L42" s="32">
        <v>300000</v>
      </c>
      <c r="M42" s="31">
        <v>7.0000000000000007E-2</v>
      </c>
      <c r="N42" s="32">
        <v>150000</v>
      </c>
      <c r="O42" s="31">
        <v>0</v>
      </c>
      <c r="P42" s="32">
        <v>0</v>
      </c>
      <c r="Q42" s="107"/>
      <c r="R42" s="107"/>
      <c r="S42" s="21"/>
      <c r="T42" s="31">
        <f>IF(C43="노트북",7%,IF(C43="저장&amp;주변기기",9%,IF(C43="모니터",7%)))</f>
        <v>7.0000000000000007E-2</v>
      </c>
      <c r="U42" s="31">
        <v>0</v>
      </c>
      <c r="V42" s="31">
        <v>0</v>
      </c>
      <c r="W42" s="31">
        <f>IF(G42=0%,20%,0%)</f>
        <v>0</v>
      </c>
      <c r="X42" s="30">
        <v>0</v>
      </c>
      <c r="Y42" s="30">
        <v>1</v>
      </c>
      <c r="Z42" s="53">
        <v>1</v>
      </c>
      <c r="AA42" s="29">
        <v>0.5</v>
      </c>
      <c r="AB42" s="107"/>
      <c r="AC42" s="107"/>
      <c r="AD42" s="107"/>
      <c r="AE42" s="107"/>
      <c r="AF42" s="107"/>
      <c r="AG42" s="117"/>
      <c r="AH42" s="119"/>
      <c r="AI42" s="121"/>
      <c r="AJ42" s="55" t="s">
        <v>52</v>
      </c>
      <c r="AK42" s="56">
        <f>AJ41-AK41</f>
        <v>7.4094707520891978E-3</v>
      </c>
      <c r="AM42" s="107"/>
      <c r="AN42" s="107"/>
      <c r="AO42" s="107"/>
      <c r="AP42" s="107"/>
      <c r="AQ42" s="107"/>
      <c r="AR42" s="107"/>
      <c r="AS42" s="39"/>
      <c r="AT42" s="107"/>
      <c r="AU42" s="117"/>
      <c r="AV42" s="107"/>
      <c r="AW42" s="107"/>
      <c r="AY42" s="109"/>
      <c r="AZ42" s="109"/>
      <c r="BB42" s="107"/>
    </row>
    <row r="43" spans="1:54" ht="27" customHeight="1" x14ac:dyDescent="0.3">
      <c r="A43" s="28" t="s">
        <v>39</v>
      </c>
      <c r="B43" s="38" t="s">
        <v>35</v>
      </c>
      <c r="C43" s="27" t="s">
        <v>0</v>
      </c>
      <c r="D43" s="26">
        <v>4321378893</v>
      </c>
      <c r="E43" s="25">
        <v>4308000</v>
      </c>
      <c r="F43" s="24">
        <f>ROUNDDOWN(E43/(1-F42),-1)</f>
        <v>4308000</v>
      </c>
      <c r="G43" s="110">
        <f>ROUNDDOWN(IF(F43*G42&gt;H42,H42,F43*G42),-1)</f>
        <v>258480</v>
      </c>
      <c r="H43" s="111"/>
      <c r="I43" s="112">
        <f>ROUNDDOWN(IF(F43*I42&gt;J42,J42,F43*I42),-1)</f>
        <v>0</v>
      </c>
      <c r="J43" s="113"/>
      <c r="K43" s="112">
        <f>ROUNDDOWN(IF(F43*K42&gt;L42,L42,F43*K42),-1)</f>
        <v>300000</v>
      </c>
      <c r="L43" s="113"/>
      <c r="M43" s="110">
        <f>ROUNDDOWN(IF(Q43*M42&gt;N42,N42,Q43*M42),-1)</f>
        <v>150000</v>
      </c>
      <c r="N43" s="111"/>
      <c r="O43" s="110">
        <f>ROUNDDOWN(IF(F43*O42&gt;P42,P42,F43*O42),-1)</f>
        <v>0</v>
      </c>
      <c r="P43" s="111"/>
      <c r="Q43" s="23">
        <f>F43-G43-I43-K43</f>
        <v>3749520</v>
      </c>
      <c r="R43" s="22">
        <f>F43-G43-I43-K43-M43-O43</f>
        <v>3599520</v>
      </c>
      <c r="S43" s="21"/>
      <c r="T43" s="20">
        <f>F43*T42</f>
        <v>301560</v>
      </c>
      <c r="U43" s="20">
        <f>F43*U42</f>
        <v>0</v>
      </c>
      <c r="V43" s="20">
        <f>(F43-I43)*V42</f>
        <v>0</v>
      </c>
      <c r="W43" s="19">
        <f>(F43*F42)*W42</f>
        <v>0</v>
      </c>
      <c r="X43" s="19">
        <f>G43*X42</f>
        <v>0</v>
      </c>
      <c r="Y43" s="19">
        <f>I43*Y42</f>
        <v>0</v>
      </c>
      <c r="Z43" s="19">
        <f>K43*Z42</f>
        <v>300000</v>
      </c>
      <c r="AA43" s="19">
        <f>M43*AA42</f>
        <v>75000</v>
      </c>
      <c r="AB43" s="19">
        <v>0</v>
      </c>
      <c r="AC43" s="16">
        <v>15000</v>
      </c>
      <c r="AD43" s="18">
        <f>F43-T43-U43-V43-W43-AA43-X43-Y43-Z43-AB43</f>
        <v>3631440</v>
      </c>
      <c r="AE43" s="18">
        <f>F43-T43-U43-V43-W43-X43-Y43-Z43-AA43-AB43-AC43</f>
        <v>3616440</v>
      </c>
      <c r="AF43" s="17">
        <f>AE43-AG43</f>
        <v>102440</v>
      </c>
      <c r="AG43" s="16">
        <v>3514000</v>
      </c>
      <c r="AH43" s="15">
        <f>AF43/AG43</f>
        <v>2.9151963574274332E-2</v>
      </c>
      <c r="AI43" s="14">
        <f>1-R43/(AG43-AM43-AN43-AO43)</f>
        <v>-2.4336937962436078E-2</v>
      </c>
      <c r="AJ43" s="114">
        <f>AJ41-AK41</f>
        <v>7.4094707520891978E-3</v>
      </c>
      <c r="AK43" s="115"/>
      <c r="AM43" s="13">
        <v>0</v>
      </c>
      <c r="AN43" s="12">
        <f>X43*AN42</f>
        <v>0</v>
      </c>
      <c r="AO43" s="12">
        <v>0</v>
      </c>
      <c r="AP43" s="12"/>
      <c r="AQ43" s="11">
        <f>AE43-(AG43-AM43-AN43-AO43-AP43)</f>
        <v>102440</v>
      </c>
      <c r="AR43" s="8">
        <f>AQ43/AG43</f>
        <v>2.9151963574274332E-2</v>
      </c>
      <c r="AT43" s="10">
        <v>0</v>
      </c>
      <c r="AU43" s="10">
        <v>0</v>
      </c>
      <c r="AV43" s="9">
        <f>AQ43-AT43-AU43</f>
        <v>102440</v>
      </c>
      <c r="AW43" s="8">
        <f>AV43/AG43</f>
        <v>2.9151963574274332E-2</v>
      </c>
      <c r="AY43" s="49"/>
      <c r="AZ43" s="50"/>
      <c r="BB43" s="6"/>
    </row>
    <row r="44" spans="1:54" x14ac:dyDescent="0.3">
      <c r="A44" s="43"/>
      <c r="B44" s="43"/>
      <c r="C44" s="43"/>
      <c r="D44" s="43"/>
      <c r="E44" s="5">
        <v>3799000</v>
      </c>
      <c r="F44" s="4">
        <f>ROUNDDOWN(E44/(1-F42),-1)</f>
        <v>3799000</v>
      </c>
      <c r="G44" s="138">
        <f>ROUNDDOWN(IF(F44*G42&gt;H42,H42,F44*G42),-1)</f>
        <v>227940</v>
      </c>
      <c r="H44" s="138"/>
      <c r="J44" s="54">
        <f>F43*4%</f>
        <v>172320</v>
      </c>
      <c r="R44" s="4">
        <v>3299000</v>
      </c>
    </row>
    <row r="45" spans="1:54" ht="27" customHeight="1" x14ac:dyDescent="0.3">
      <c r="A45" s="124" t="s">
        <v>34</v>
      </c>
      <c r="B45" s="127" t="s">
        <v>115</v>
      </c>
      <c r="C45" s="128"/>
      <c r="D45" s="128"/>
      <c r="E45" s="128"/>
      <c r="F45" s="128"/>
      <c r="G45" s="128"/>
      <c r="H45" s="128"/>
      <c r="I45" s="128"/>
      <c r="J45" s="128"/>
      <c r="K45" s="128"/>
      <c r="L45" s="128"/>
      <c r="M45" s="128"/>
      <c r="N45" s="128"/>
      <c r="O45" s="128"/>
      <c r="P45" s="128"/>
      <c r="Q45" s="128"/>
      <c r="R45" s="129"/>
      <c r="T45" s="130" t="s">
        <v>33</v>
      </c>
      <c r="U45" s="131"/>
      <c r="V45" s="131"/>
      <c r="W45" s="131"/>
      <c r="X45" s="131"/>
      <c r="Y45" s="131"/>
      <c r="Z45" s="131"/>
      <c r="AA45" s="131"/>
      <c r="AB45" s="131"/>
      <c r="AC45" s="131"/>
      <c r="AD45" s="131"/>
      <c r="AE45" s="131"/>
      <c r="AF45" s="131"/>
      <c r="AG45" s="131"/>
      <c r="AH45" s="132"/>
      <c r="AI45" s="37"/>
      <c r="AM45" s="130" t="s">
        <v>32</v>
      </c>
      <c r="AN45" s="131"/>
      <c r="AO45" s="131"/>
      <c r="AP45" s="131"/>
      <c r="AQ45" s="131"/>
      <c r="AR45" s="132"/>
      <c r="AT45" s="130" t="s">
        <v>31</v>
      </c>
      <c r="AU45" s="131"/>
      <c r="AV45" s="131"/>
      <c r="AW45" s="132"/>
      <c r="AY45" s="47" t="s">
        <v>36</v>
      </c>
      <c r="AZ45" s="48"/>
      <c r="BB45" s="36"/>
    </row>
    <row r="46" spans="1:54" ht="32.25" customHeight="1" x14ac:dyDescent="0.3">
      <c r="A46" s="125"/>
      <c r="B46" s="133" t="s">
        <v>30</v>
      </c>
      <c r="C46" s="133" t="s">
        <v>29</v>
      </c>
      <c r="D46" s="116" t="s">
        <v>28</v>
      </c>
      <c r="E46" s="116" t="s">
        <v>27</v>
      </c>
      <c r="F46" s="34" t="s">
        <v>26</v>
      </c>
      <c r="G46" s="122" t="s">
        <v>63</v>
      </c>
      <c r="H46" s="123"/>
      <c r="I46" s="122" t="s">
        <v>50</v>
      </c>
      <c r="J46" s="123"/>
      <c r="K46" s="122" t="s">
        <v>62</v>
      </c>
      <c r="L46" s="123"/>
      <c r="M46" s="122" t="s">
        <v>25</v>
      </c>
      <c r="N46" s="123"/>
      <c r="O46" s="122" t="s">
        <v>24</v>
      </c>
      <c r="P46" s="123"/>
      <c r="Q46" s="106" t="s">
        <v>23</v>
      </c>
      <c r="R46" s="106" t="s">
        <v>22</v>
      </c>
      <c r="S46" s="21"/>
      <c r="T46" s="34" t="s">
        <v>21</v>
      </c>
      <c r="U46" s="34" t="s">
        <v>20</v>
      </c>
      <c r="V46" s="34" t="s">
        <v>95</v>
      </c>
      <c r="W46" s="34" t="s">
        <v>19</v>
      </c>
      <c r="X46" s="34" t="s">
        <v>18</v>
      </c>
      <c r="Y46" s="34" t="s">
        <v>48</v>
      </c>
      <c r="Z46" s="34" t="s">
        <v>49</v>
      </c>
      <c r="AA46" s="34" t="s">
        <v>17</v>
      </c>
      <c r="AB46" s="106" t="s">
        <v>16</v>
      </c>
      <c r="AC46" s="106" t="s">
        <v>15</v>
      </c>
      <c r="AD46" s="106" t="s">
        <v>14</v>
      </c>
      <c r="AE46" s="106" t="s">
        <v>13</v>
      </c>
      <c r="AF46" s="106" t="s">
        <v>12</v>
      </c>
      <c r="AG46" s="116" t="s">
        <v>11</v>
      </c>
      <c r="AH46" s="118" t="s">
        <v>10</v>
      </c>
      <c r="AI46" s="120" t="s">
        <v>9</v>
      </c>
      <c r="AJ46" s="35">
        <f>(1-R48/F48)</f>
        <v>0.17445682451253486</v>
      </c>
      <c r="AK46" s="35">
        <f>1-(AD48+AM48)/F48</f>
        <v>0.17704735376044567</v>
      </c>
      <c r="AM46" s="106" t="s">
        <v>8</v>
      </c>
      <c r="AN46" s="106" t="s">
        <v>7</v>
      </c>
      <c r="AO46" s="106" t="s">
        <v>37</v>
      </c>
      <c r="AP46" s="106" t="s">
        <v>38</v>
      </c>
      <c r="AQ46" s="106" t="s">
        <v>6</v>
      </c>
      <c r="AR46" s="106" t="s">
        <v>5</v>
      </c>
      <c r="AT46" s="106" t="s">
        <v>4</v>
      </c>
      <c r="AU46" s="106" t="s">
        <v>3</v>
      </c>
      <c r="AV46" s="106" t="s">
        <v>2</v>
      </c>
      <c r="AW46" s="106" t="s">
        <v>1</v>
      </c>
      <c r="AY46" s="108"/>
      <c r="AZ46" s="108"/>
      <c r="BB46" s="106"/>
    </row>
    <row r="47" spans="1:54" ht="27" customHeight="1" x14ac:dyDescent="0.3">
      <c r="A47" s="126"/>
      <c r="B47" s="134"/>
      <c r="C47" s="134"/>
      <c r="D47" s="117"/>
      <c r="E47" s="117"/>
      <c r="F47" s="31">
        <v>0</v>
      </c>
      <c r="G47" s="33">
        <v>7.0000000000000007E-2</v>
      </c>
      <c r="H47" s="32">
        <v>1000000</v>
      </c>
      <c r="I47" s="31">
        <v>1</v>
      </c>
      <c r="J47" s="32">
        <v>0</v>
      </c>
      <c r="K47" s="31">
        <v>1</v>
      </c>
      <c r="L47" s="32">
        <v>300000</v>
      </c>
      <c r="M47" s="31">
        <v>7.0000000000000007E-2</v>
      </c>
      <c r="N47" s="32">
        <v>150000</v>
      </c>
      <c r="O47" s="31">
        <v>0</v>
      </c>
      <c r="P47" s="32">
        <v>0</v>
      </c>
      <c r="Q47" s="107"/>
      <c r="R47" s="107"/>
      <c r="S47" s="21"/>
      <c r="T47" s="31">
        <f>IF(C48="노트북",7%,IF(C48="저장&amp;주변기기",9%,IF(C48="모니터",7%)))</f>
        <v>7.0000000000000007E-2</v>
      </c>
      <c r="U47" s="31">
        <v>0</v>
      </c>
      <c r="V47" s="31">
        <v>0.02</v>
      </c>
      <c r="W47" s="31">
        <f>IF(G47=0%,20%,0%)</f>
        <v>0</v>
      </c>
      <c r="X47" s="30">
        <v>0</v>
      </c>
      <c r="Y47" s="30">
        <v>1</v>
      </c>
      <c r="Z47" s="53">
        <v>1</v>
      </c>
      <c r="AA47" s="29">
        <v>0.5</v>
      </c>
      <c r="AB47" s="107"/>
      <c r="AC47" s="107"/>
      <c r="AD47" s="107"/>
      <c r="AE47" s="107"/>
      <c r="AF47" s="107"/>
      <c r="AG47" s="117"/>
      <c r="AH47" s="119"/>
      <c r="AI47" s="121"/>
      <c r="AJ47" s="55" t="s">
        <v>52</v>
      </c>
      <c r="AK47" s="56">
        <f>AJ46-AK46</f>
        <v>-2.5905292479108111E-3</v>
      </c>
      <c r="AM47" s="107"/>
      <c r="AN47" s="107"/>
      <c r="AO47" s="107"/>
      <c r="AP47" s="107"/>
      <c r="AQ47" s="107"/>
      <c r="AR47" s="107"/>
      <c r="AS47" s="39"/>
      <c r="AT47" s="107"/>
      <c r="AU47" s="117"/>
      <c r="AV47" s="107"/>
      <c r="AW47" s="107"/>
      <c r="AY47" s="109"/>
      <c r="AZ47" s="109"/>
      <c r="BB47" s="107"/>
    </row>
    <row r="48" spans="1:54" ht="27" customHeight="1" x14ac:dyDescent="0.3">
      <c r="A48" s="28" t="s">
        <v>39</v>
      </c>
      <c r="B48" s="38" t="s">
        <v>35</v>
      </c>
      <c r="C48" s="27" t="s">
        <v>0</v>
      </c>
      <c r="D48" s="26">
        <v>4321378893</v>
      </c>
      <c r="E48" s="25">
        <v>4308000</v>
      </c>
      <c r="F48" s="24">
        <f>ROUNDDOWN(E48/(1-F47),-1)</f>
        <v>4308000</v>
      </c>
      <c r="G48" s="110">
        <f>ROUNDDOWN(IF(F48*G47&gt;H47,H47,F48*G47),-1)</f>
        <v>301560</v>
      </c>
      <c r="H48" s="111"/>
      <c r="I48" s="112">
        <f>ROUNDDOWN(IF(F48*I47&gt;J47,J47,F48*I47),-1)</f>
        <v>0</v>
      </c>
      <c r="J48" s="113"/>
      <c r="K48" s="112">
        <f>ROUNDDOWN(IF(F48*K47&gt;L47,L47,F48*K47),-1)</f>
        <v>300000</v>
      </c>
      <c r="L48" s="113"/>
      <c r="M48" s="110">
        <f>ROUNDDOWN(IF(Q48*M47&gt;N47,N47,Q48*M47),-1)</f>
        <v>150000</v>
      </c>
      <c r="N48" s="111"/>
      <c r="O48" s="110">
        <f>ROUNDDOWN(IF(F48*O47&gt;P47,P47,F48*O47),-1)</f>
        <v>0</v>
      </c>
      <c r="P48" s="111"/>
      <c r="Q48" s="23">
        <f>F48-G48-I48-K48</f>
        <v>3706440</v>
      </c>
      <c r="R48" s="22">
        <f>F48-G48-I48-K48-M48-O48</f>
        <v>3556440</v>
      </c>
      <c r="S48" s="21"/>
      <c r="T48" s="20">
        <f>F48*T47</f>
        <v>301560</v>
      </c>
      <c r="U48" s="20">
        <f>F48*U47</f>
        <v>0</v>
      </c>
      <c r="V48" s="20">
        <f>(F48-I48)*V47</f>
        <v>86160</v>
      </c>
      <c r="W48" s="19">
        <f>(F48*F47)*W47</f>
        <v>0</v>
      </c>
      <c r="X48" s="19">
        <f>G48*X47</f>
        <v>0</v>
      </c>
      <c r="Y48" s="19">
        <f>I48*Y47</f>
        <v>0</v>
      </c>
      <c r="Z48" s="19">
        <f>K48*Z47</f>
        <v>300000</v>
      </c>
      <c r="AA48" s="19">
        <f>M48*AA47</f>
        <v>75000</v>
      </c>
      <c r="AB48" s="19">
        <v>0</v>
      </c>
      <c r="AC48" s="16">
        <v>15000</v>
      </c>
      <c r="AD48" s="18">
        <f>F48-T48-U48-V48-W48-AA48-X48-Y48-Z48-AB48</f>
        <v>3545280</v>
      </c>
      <c r="AE48" s="18">
        <f>F48-T48-U48-V48-W48-X48-Y48-Z48-AA48-AB48-AC48</f>
        <v>3530280</v>
      </c>
      <c r="AF48" s="17">
        <f>AE48-AG48</f>
        <v>16280</v>
      </c>
      <c r="AG48" s="16">
        <v>3514000</v>
      </c>
      <c r="AH48" s="15">
        <f>AF48/AG48</f>
        <v>4.6328969834945931E-3</v>
      </c>
      <c r="AI48" s="14">
        <f>1-R48/(AG48-AM48-AN48-AO48)</f>
        <v>-1.207740466704621E-2</v>
      </c>
      <c r="AJ48" s="114">
        <f>AJ46-AK46</f>
        <v>-2.5905292479108111E-3</v>
      </c>
      <c r="AK48" s="115"/>
      <c r="AM48" s="13">
        <v>0</v>
      </c>
      <c r="AN48" s="12">
        <f>X48*AN47</f>
        <v>0</v>
      </c>
      <c r="AO48" s="12">
        <v>0</v>
      </c>
      <c r="AP48" s="12"/>
      <c r="AQ48" s="11">
        <f>AE48-(AG48-AM48-AN48-AO48-AP48)</f>
        <v>16280</v>
      </c>
      <c r="AR48" s="8">
        <f>AQ48/AG48</f>
        <v>4.6328969834945931E-3</v>
      </c>
      <c r="AT48" s="10">
        <v>0</v>
      </c>
      <c r="AU48" s="10">
        <v>0</v>
      </c>
      <c r="AV48" s="9">
        <f>AQ48-AT48-AU48</f>
        <v>16280</v>
      </c>
      <c r="AW48" s="8">
        <f>AV48/AG48</f>
        <v>4.6328969834945931E-3</v>
      </c>
      <c r="AY48" s="49"/>
      <c r="AZ48" s="50"/>
      <c r="BB48" s="6"/>
    </row>
    <row r="49" spans="1:54" x14ac:dyDescent="0.3">
      <c r="A49" s="43"/>
      <c r="B49" s="43"/>
      <c r="C49" s="43"/>
      <c r="D49" s="43"/>
      <c r="E49" s="5">
        <v>3799000</v>
      </c>
      <c r="F49" s="4">
        <f>ROUNDDOWN(E49/(1-F47),-1)</f>
        <v>3799000</v>
      </c>
      <c r="G49" s="138">
        <f>ROUNDDOWN(IF(F49*G47&gt;H47,H47,F49*G47),-1)</f>
        <v>265930</v>
      </c>
      <c r="H49" s="138"/>
      <c r="J49" s="54">
        <f>F48*4%</f>
        <v>172320</v>
      </c>
      <c r="R49" s="4">
        <v>3299000</v>
      </c>
    </row>
    <row r="50" spans="1:54" x14ac:dyDescent="0.3">
      <c r="A50" s="43"/>
      <c r="B50" s="43"/>
      <c r="C50" s="43"/>
      <c r="D50" s="43"/>
      <c r="E50" s="5"/>
      <c r="F50" s="4"/>
      <c r="G50" s="42"/>
      <c r="H50" s="42"/>
      <c r="J50" s="54"/>
    </row>
    <row r="51" spans="1:54" x14ac:dyDescent="0.3">
      <c r="A51" s="43"/>
      <c r="B51" s="43"/>
      <c r="C51" s="43"/>
      <c r="D51" s="43"/>
      <c r="E51" s="5"/>
      <c r="F51" s="4"/>
      <c r="G51" s="42"/>
      <c r="H51" s="42"/>
      <c r="J51" s="54"/>
    </row>
    <row r="52" spans="1:54" x14ac:dyDescent="0.3">
      <c r="A52" s="43"/>
      <c r="B52" s="43"/>
      <c r="C52" s="43"/>
      <c r="D52" s="43"/>
      <c r="E52" s="5"/>
    </row>
    <row r="53" spans="1:54" s="64" customFormat="1" ht="19.5" x14ac:dyDescent="0.3">
      <c r="A53" s="61" t="s">
        <v>41</v>
      </c>
      <c r="B53" s="62"/>
      <c r="C53" s="62"/>
      <c r="D53" s="62"/>
      <c r="E53" s="63"/>
      <c r="AH53" s="65"/>
      <c r="AI53" s="65"/>
      <c r="AJ53" s="65"/>
      <c r="AK53" s="65"/>
    </row>
    <row r="54" spans="1:54" x14ac:dyDescent="0.3">
      <c r="A54" s="43"/>
      <c r="B54" s="43"/>
      <c r="C54" s="43"/>
      <c r="D54" s="43"/>
      <c r="E54" s="5"/>
    </row>
    <row r="55" spans="1:54" ht="27" customHeight="1" x14ac:dyDescent="0.3">
      <c r="A55" s="124" t="s">
        <v>34</v>
      </c>
      <c r="B55" s="127" t="s">
        <v>70</v>
      </c>
      <c r="C55" s="128"/>
      <c r="D55" s="128"/>
      <c r="E55" s="128"/>
      <c r="F55" s="128"/>
      <c r="G55" s="128"/>
      <c r="H55" s="128"/>
      <c r="I55" s="128"/>
      <c r="J55" s="128"/>
      <c r="K55" s="128"/>
      <c r="L55" s="128"/>
      <c r="M55" s="128"/>
      <c r="N55" s="128"/>
      <c r="O55" s="128"/>
      <c r="P55" s="128"/>
      <c r="Q55" s="128"/>
      <c r="R55" s="129"/>
      <c r="T55" s="130" t="s">
        <v>33</v>
      </c>
      <c r="U55" s="131"/>
      <c r="V55" s="131"/>
      <c r="W55" s="131"/>
      <c r="X55" s="131"/>
      <c r="Y55" s="131"/>
      <c r="Z55" s="131"/>
      <c r="AA55" s="131"/>
      <c r="AB55" s="131"/>
      <c r="AC55" s="131"/>
      <c r="AD55" s="131"/>
      <c r="AE55" s="131"/>
      <c r="AF55" s="131"/>
      <c r="AG55" s="131"/>
      <c r="AH55" s="132"/>
      <c r="AI55" s="37"/>
      <c r="AM55" s="130" t="s">
        <v>32</v>
      </c>
      <c r="AN55" s="131"/>
      <c r="AO55" s="131"/>
      <c r="AP55" s="131"/>
      <c r="AQ55" s="131"/>
      <c r="AR55" s="132"/>
      <c r="AT55" s="130" t="s">
        <v>31</v>
      </c>
      <c r="AU55" s="131"/>
      <c r="AV55" s="131"/>
      <c r="AW55" s="132"/>
      <c r="AY55" s="47" t="s">
        <v>36</v>
      </c>
      <c r="AZ55" s="48"/>
      <c r="BB55" s="36"/>
    </row>
    <row r="56" spans="1:54" ht="32.25" customHeight="1" x14ac:dyDescent="0.3">
      <c r="A56" s="125"/>
      <c r="B56" s="133" t="s">
        <v>30</v>
      </c>
      <c r="C56" s="133" t="s">
        <v>29</v>
      </c>
      <c r="D56" s="116" t="s">
        <v>28</v>
      </c>
      <c r="E56" s="116" t="s">
        <v>27</v>
      </c>
      <c r="F56" s="34" t="s">
        <v>26</v>
      </c>
      <c r="G56" s="122" t="s">
        <v>63</v>
      </c>
      <c r="H56" s="123"/>
      <c r="I56" s="122" t="s">
        <v>50</v>
      </c>
      <c r="J56" s="123"/>
      <c r="K56" s="122" t="s">
        <v>62</v>
      </c>
      <c r="L56" s="123"/>
      <c r="M56" s="122" t="s">
        <v>25</v>
      </c>
      <c r="N56" s="123"/>
      <c r="O56" s="122" t="s">
        <v>24</v>
      </c>
      <c r="P56" s="123"/>
      <c r="Q56" s="106" t="s">
        <v>23</v>
      </c>
      <c r="R56" s="106" t="s">
        <v>22</v>
      </c>
      <c r="S56" s="21"/>
      <c r="T56" s="34" t="s">
        <v>21</v>
      </c>
      <c r="U56" s="34" t="s">
        <v>20</v>
      </c>
      <c r="V56" s="34" t="s">
        <v>69</v>
      </c>
      <c r="W56" s="34" t="s">
        <v>19</v>
      </c>
      <c r="X56" s="34" t="s">
        <v>18</v>
      </c>
      <c r="Y56" s="34" t="s">
        <v>48</v>
      </c>
      <c r="Z56" s="34" t="s">
        <v>49</v>
      </c>
      <c r="AA56" s="34" t="s">
        <v>17</v>
      </c>
      <c r="AB56" s="106" t="s">
        <v>16</v>
      </c>
      <c r="AC56" s="106" t="s">
        <v>15</v>
      </c>
      <c r="AD56" s="106" t="s">
        <v>14</v>
      </c>
      <c r="AE56" s="106" t="s">
        <v>13</v>
      </c>
      <c r="AF56" s="106" t="s">
        <v>12</v>
      </c>
      <c r="AG56" s="116" t="s">
        <v>11</v>
      </c>
      <c r="AH56" s="118" t="s">
        <v>10</v>
      </c>
      <c r="AI56" s="120" t="s">
        <v>9</v>
      </c>
      <c r="AJ56" s="35">
        <f>(1-R58/F58)</f>
        <v>0.19018751208196405</v>
      </c>
      <c r="AK56" s="35">
        <f>1-(AD58+AM58)/F58</f>
        <v>9.6765899864681981E-2</v>
      </c>
      <c r="AM56" s="106" t="s">
        <v>8</v>
      </c>
      <c r="AN56" s="106" t="s">
        <v>7</v>
      </c>
      <c r="AO56" s="106" t="s">
        <v>37</v>
      </c>
      <c r="AP56" s="106" t="s">
        <v>38</v>
      </c>
      <c r="AQ56" s="106" t="s">
        <v>6</v>
      </c>
      <c r="AR56" s="106" t="s">
        <v>5</v>
      </c>
      <c r="AT56" s="106" t="s">
        <v>4</v>
      </c>
      <c r="AU56" s="106" t="s">
        <v>3</v>
      </c>
      <c r="AV56" s="106" t="s">
        <v>2</v>
      </c>
      <c r="AW56" s="106" t="s">
        <v>1</v>
      </c>
      <c r="AY56" s="108"/>
      <c r="AZ56" s="108"/>
      <c r="BB56" s="106"/>
    </row>
    <row r="57" spans="1:54" ht="27" customHeight="1" x14ac:dyDescent="0.3">
      <c r="A57" s="126"/>
      <c r="B57" s="134"/>
      <c r="C57" s="134"/>
      <c r="D57" s="117"/>
      <c r="E57" s="117"/>
      <c r="F57" s="31">
        <v>0</v>
      </c>
      <c r="G57" s="33">
        <v>0.08</v>
      </c>
      <c r="H57" s="32">
        <v>1000000</v>
      </c>
      <c r="I57" s="31">
        <v>1</v>
      </c>
      <c r="J57" s="32">
        <v>0</v>
      </c>
      <c r="K57" s="31">
        <v>1</v>
      </c>
      <c r="L57" s="32">
        <v>500000</v>
      </c>
      <c r="M57" s="31">
        <v>7.0000000000000007E-2</v>
      </c>
      <c r="N57" s="32">
        <v>70000</v>
      </c>
      <c r="O57" s="31">
        <v>0</v>
      </c>
      <c r="P57" s="32">
        <v>0</v>
      </c>
      <c r="Q57" s="107"/>
      <c r="R57" s="107"/>
      <c r="S57" s="21"/>
      <c r="T57" s="31">
        <f>IF(C58="노트북",7%,IF(C58="저장&amp;주변기기",9%,IF(C58="모니터",7%)))</f>
        <v>7.0000000000000007E-2</v>
      </c>
      <c r="U57" s="31">
        <v>0</v>
      </c>
      <c r="V57" s="31">
        <v>0.02</v>
      </c>
      <c r="W57" s="31">
        <f>IF(G57=0%,20%,0%)</f>
        <v>0</v>
      </c>
      <c r="X57" s="30">
        <v>0</v>
      </c>
      <c r="Y57" s="30">
        <v>1</v>
      </c>
      <c r="Z57" s="53">
        <v>1</v>
      </c>
      <c r="AA57" s="29">
        <v>0.5</v>
      </c>
      <c r="AB57" s="107"/>
      <c r="AC57" s="107"/>
      <c r="AD57" s="107"/>
      <c r="AE57" s="107"/>
      <c r="AF57" s="107"/>
      <c r="AG57" s="117"/>
      <c r="AH57" s="119"/>
      <c r="AI57" s="121"/>
      <c r="AJ57" s="55" t="s">
        <v>52</v>
      </c>
      <c r="AK57" s="56">
        <f>AJ56-AK56</f>
        <v>9.3421612217282068E-2</v>
      </c>
      <c r="AM57" s="107"/>
      <c r="AN57" s="107"/>
      <c r="AO57" s="107"/>
      <c r="AP57" s="107"/>
      <c r="AQ57" s="107"/>
      <c r="AR57" s="107"/>
      <c r="AS57" s="39"/>
      <c r="AT57" s="107"/>
      <c r="AU57" s="117"/>
      <c r="AV57" s="107"/>
      <c r="AW57" s="107"/>
      <c r="AY57" s="109"/>
      <c r="AZ57" s="109"/>
      <c r="BB57" s="107"/>
    </row>
    <row r="58" spans="1:54" ht="27" customHeight="1" x14ac:dyDescent="0.3">
      <c r="A58" s="28" t="s">
        <v>42</v>
      </c>
      <c r="B58" s="38" t="s">
        <v>35</v>
      </c>
      <c r="C58" s="27" t="s">
        <v>0</v>
      </c>
      <c r="D58" s="26">
        <v>4334604127</v>
      </c>
      <c r="E58" s="25">
        <v>5173000</v>
      </c>
      <c r="F58" s="24">
        <f>ROUNDDOWN(E58/(1-F57),-1)</f>
        <v>5173000</v>
      </c>
      <c r="G58" s="110">
        <f>ROUNDDOWN(IF(F58*G57&gt;H57,H57,F58*G57),-1)</f>
        <v>413840</v>
      </c>
      <c r="H58" s="111"/>
      <c r="I58" s="112">
        <f>ROUNDDOWN(IF(F58*I57&gt;J57,J57,F58*I57),-1)</f>
        <v>0</v>
      </c>
      <c r="J58" s="113"/>
      <c r="K58" s="112">
        <f>ROUNDDOWN(IF(F58*K57&gt;L57,L57,F58*K57),-1)</f>
        <v>500000</v>
      </c>
      <c r="L58" s="113"/>
      <c r="M58" s="110">
        <f>ROUNDDOWN(IF(Q58*M57&gt;N57,N57,Q58*M57),-1)</f>
        <v>70000</v>
      </c>
      <c r="N58" s="111"/>
      <c r="O58" s="110">
        <f>ROUNDDOWN(IF(F58*O57&gt;P57,P57,F58*O57),-1)</f>
        <v>0</v>
      </c>
      <c r="P58" s="111"/>
      <c r="Q58" s="23">
        <f>F58-G58-I58-K58</f>
        <v>4259160</v>
      </c>
      <c r="R58" s="22">
        <f>F58-G58-I58-K58-M58-O58</f>
        <v>4189160</v>
      </c>
      <c r="S58" s="21"/>
      <c r="T58" s="20">
        <f>F58*T57</f>
        <v>362110.00000000006</v>
      </c>
      <c r="U58" s="20">
        <f>F58*U57</f>
        <v>0</v>
      </c>
      <c r="V58" s="20">
        <f>(F58-I58)*V57</f>
        <v>103460</v>
      </c>
      <c r="W58" s="19">
        <f>(F58*F57)*W57</f>
        <v>0</v>
      </c>
      <c r="X58" s="19">
        <f>G58*X57</f>
        <v>0</v>
      </c>
      <c r="Y58" s="19">
        <f>I58*Y57</f>
        <v>0</v>
      </c>
      <c r="Z58" s="19">
        <f>K58*Z57</f>
        <v>500000</v>
      </c>
      <c r="AA58" s="19">
        <f>M58*AA57</f>
        <v>35000</v>
      </c>
      <c r="AB58" s="19">
        <v>0</v>
      </c>
      <c r="AC58" s="16">
        <v>15000</v>
      </c>
      <c r="AD58" s="18">
        <f>F58-T58-U58-V58-W58-AA58-X58-Y58-Z58-AB58</f>
        <v>4172430</v>
      </c>
      <c r="AE58" s="18">
        <f>F58-T58-U58-V58-W58-X58-Y58-Z58-AA58-AB58-AC58</f>
        <v>4157430</v>
      </c>
      <c r="AF58" s="17">
        <f>AE58-AG58</f>
        <v>-398570</v>
      </c>
      <c r="AG58" s="16">
        <v>4556000</v>
      </c>
      <c r="AH58" s="15">
        <f>AF58/AG58</f>
        <v>-8.7482440737489023E-2</v>
      </c>
      <c r="AI58" s="14">
        <f>1-R58/(AG58-AM58-AN58-AO58)</f>
        <v>-3.2830374753451741E-2</v>
      </c>
      <c r="AJ58" s="114">
        <f>(1-R58/F58)-(1-(AD58)/F58)</f>
        <v>-3.2341001353179966E-3</v>
      </c>
      <c r="AK58" s="115"/>
      <c r="AM58" s="13">
        <v>500000</v>
      </c>
      <c r="AN58" s="12">
        <f>X58*AN57</f>
        <v>0</v>
      </c>
      <c r="AO58" s="12">
        <v>0</v>
      </c>
      <c r="AP58" s="12"/>
      <c r="AQ58" s="11">
        <f>AE58-(AG58-AM58-AN58-AO58-AP58)</f>
        <v>101430</v>
      </c>
      <c r="AR58" s="8">
        <f>AQ58/AG58</f>
        <v>2.2262949956101844E-2</v>
      </c>
      <c r="AT58" s="10">
        <v>0</v>
      </c>
      <c r="AU58" s="10">
        <v>0</v>
      </c>
      <c r="AV58" s="9">
        <f>AQ58-AT58-AU58</f>
        <v>101430</v>
      </c>
      <c r="AW58" s="8">
        <f>AV58/AG58</f>
        <v>2.2262949956101844E-2</v>
      </c>
      <c r="AY58" s="49"/>
      <c r="AZ58" s="50"/>
      <c r="BB58" s="6"/>
    </row>
    <row r="59" spans="1:54" x14ac:dyDescent="0.3">
      <c r="E59" s="5">
        <v>4899000</v>
      </c>
      <c r="F59" s="4">
        <f>ROUNDDOWN(E59/(1-F57),-1)</f>
        <v>4899000</v>
      </c>
      <c r="G59" s="138">
        <f>ROUNDDOWN(IF(F59*G57&gt;H57,H57,F59*G57),-1)</f>
        <v>391920</v>
      </c>
      <c r="H59" s="138"/>
      <c r="J59" s="54">
        <f>F58*4%</f>
        <v>206920</v>
      </c>
      <c r="X59" s="3">
        <f>G59*X57</f>
        <v>0</v>
      </c>
      <c r="Y59" s="3"/>
      <c r="Z59" s="3"/>
    </row>
    <row r="60" spans="1:54" x14ac:dyDescent="0.3">
      <c r="E60" s="5"/>
      <c r="F60" s="4"/>
      <c r="G60" s="42"/>
      <c r="H60" s="42"/>
      <c r="J60" s="54"/>
      <c r="X60" s="3"/>
      <c r="Y60" s="3"/>
      <c r="Z60" s="3"/>
    </row>
    <row r="61" spans="1:54" x14ac:dyDescent="0.3">
      <c r="A61" s="43"/>
      <c r="B61" s="43"/>
      <c r="C61" s="43"/>
      <c r="D61" s="43"/>
      <c r="E61" s="5"/>
    </row>
    <row r="62" spans="1:54" ht="27" customHeight="1" x14ac:dyDescent="0.3">
      <c r="A62" s="124" t="s">
        <v>34</v>
      </c>
      <c r="B62" s="127" t="s">
        <v>70</v>
      </c>
      <c r="C62" s="128"/>
      <c r="D62" s="128"/>
      <c r="E62" s="128"/>
      <c r="F62" s="128"/>
      <c r="G62" s="128"/>
      <c r="H62" s="128"/>
      <c r="I62" s="128"/>
      <c r="J62" s="128"/>
      <c r="K62" s="128"/>
      <c r="L62" s="128"/>
      <c r="M62" s="128"/>
      <c r="N62" s="128"/>
      <c r="O62" s="128"/>
      <c r="P62" s="128"/>
      <c r="Q62" s="128"/>
      <c r="R62" s="129"/>
      <c r="T62" s="130" t="s">
        <v>33</v>
      </c>
      <c r="U62" s="131"/>
      <c r="V62" s="131"/>
      <c r="W62" s="131"/>
      <c r="X62" s="131"/>
      <c r="Y62" s="131"/>
      <c r="Z62" s="131"/>
      <c r="AA62" s="131"/>
      <c r="AB62" s="131"/>
      <c r="AC62" s="131"/>
      <c r="AD62" s="131"/>
      <c r="AE62" s="131"/>
      <c r="AF62" s="131"/>
      <c r="AG62" s="131"/>
      <c r="AH62" s="132"/>
      <c r="AI62" s="37"/>
      <c r="AM62" s="130" t="s">
        <v>32</v>
      </c>
      <c r="AN62" s="131"/>
      <c r="AO62" s="131"/>
      <c r="AP62" s="131"/>
      <c r="AQ62" s="131"/>
      <c r="AR62" s="132"/>
      <c r="AT62" s="130" t="s">
        <v>31</v>
      </c>
      <c r="AU62" s="131"/>
      <c r="AV62" s="131"/>
      <c r="AW62" s="132"/>
      <c r="AY62" s="47" t="s">
        <v>36</v>
      </c>
      <c r="AZ62" s="48"/>
      <c r="BB62" s="36"/>
    </row>
    <row r="63" spans="1:54" ht="32.25" customHeight="1" x14ac:dyDescent="0.3">
      <c r="A63" s="125"/>
      <c r="B63" s="133" t="s">
        <v>30</v>
      </c>
      <c r="C63" s="133" t="s">
        <v>29</v>
      </c>
      <c r="D63" s="116" t="s">
        <v>28</v>
      </c>
      <c r="E63" s="116" t="s">
        <v>27</v>
      </c>
      <c r="F63" s="34" t="s">
        <v>26</v>
      </c>
      <c r="G63" s="122" t="s">
        <v>63</v>
      </c>
      <c r="H63" s="123"/>
      <c r="I63" s="122" t="s">
        <v>50</v>
      </c>
      <c r="J63" s="123"/>
      <c r="K63" s="122" t="s">
        <v>62</v>
      </c>
      <c r="L63" s="123"/>
      <c r="M63" s="122" t="s">
        <v>25</v>
      </c>
      <c r="N63" s="123"/>
      <c r="O63" s="122" t="s">
        <v>24</v>
      </c>
      <c r="P63" s="123"/>
      <c r="Q63" s="106" t="s">
        <v>23</v>
      </c>
      <c r="R63" s="106" t="s">
        <v>22</v>
      </c>
      <c r="S63" s="21"/>
      <c r="T63" s="34" t="s">
        <v>21</v>
      </c>
      <c r="U63" s="34" t="s">
        <v>20</v>
      </c>
      <c r="V63" s="34" t="s">
        <v>69</v>
      </c>
      <c r="W63" s="34" t="s">
        <v>19</v>
      </c>
      <c r="X63" s="34" t="s">
        <v>18</v>
      </c>
      <c r="Y63" s="34" t="s">
        <v>48</v>
      </c>
      <c r="Z63" s="34" t="s">
        <v>49</v>
      </c>
      <c r="AA63" s="34" t="s">
        <v>17</v>
      </c>
      <c r="AB63" s="106" t="s">
        <v>16</v>
      </c>
      <c r="AC63" s="106" t="s">
        <v>15</v>
      </c>
      <c r="AD63" s="106" t="s">
        <v>14</v>
      </c>
      <c r="AE63" s="106" t="s">
        <v>13</v>
      </c>
      <c r="AF63" s="106" t="s">
        <v>12</v>
      </c>
      <c r="AG63" s="116" t="s">
        <v>11</v>
      </c>
      <c r="AH63" s="118" t="s">
        <v>10</v>
      </c>
      <c r="AI63" s="120" t="s">
        <v>9</v>
      </c>
      <c r="AJ63" s="35">
        <f>(1-R65/F65)</f>
        <v>0.17766963673749148</v>
      </c>
      <c r="AK63" s="35">
        <f>1-(AD65+AM65)/F65</f>
        <v>0.14740233036326256</v>
      </c>
      <c r="AM63" s="106" t="s">
        <v>8</v>
      </c>
      <c r="AN63" s="106" t="s">
        <v>7</v>
      </c>
      <c r="AO63" s="106" t="s">
        <v>37</v>
      </c>
      <c r="AP63" s="106" t="s">
        <v>38</v>
      </c>
      <c r="AQ63" s="106" t="s">
        <v>6</v>
      </c>
      <c r="AR63" s="106" t="s">
        <v>5</v>
      </c>
      <c r="AT63" s="106" t="s">
        <v>4</v>
      </c>
      <c r="AU63" s="106" t="s">
        <v>3</v>
      </c>
      <c r="AV63" s="106" t="s">
        <v>2</v>
      </c>
      <c r="AW63" s="106" t="s">
        <v>1</v>
      </c>
      <c r="AY63" s="108"/>
      <c r="AZ63" s="108"/>
      <c r="BB63" s="106"/>
    </row>
    <row r="64" spans="1:54" ht="27" customHeight="1" x14ac:dyDescent="0.3">
      <c r="A64" s="126"/>
      <c r="B64" s="134"/>
      <c r="C64" s="134"/>
      <c r="D64" s="117"/>
      <c r="E64" s="117"/>
      <c r="F64" s="31">
        <v>0</v>
      </c>
      <c r="G64" s="33">
        <v>0.08</v>
      </c>
      <c r="H64" s="32">
        <v>1000000</v>
      </c>
      <c r="I64" s="31">
        <v>1</v>
      </c>
      <c r="J64" s="32">
        <v>0</v>
      </c>
      <c r="K64" s="31">
        <v>1</v>
      </c>
      <c r="L64" s="32">
        <v>500000</v>
      </c>
      <c r="M64" s="31">
        <v>7.0000000000000007E-2</v>
      </c>
      <c r="N64" s="32">
        <v>70000</v>
      </c>
      <c r="O64" s="31">
        <v>0</v>
      </c>
      <c r="P64" s="32">
        <v>0</v>
      </c>
      <c r="Q64" s="107"/>
      <c r="R64" s="107"/>
      <c r="S64" s="21"/>
      <c r="T64" s="31">
        <f>IF(C65="노트북",7%,IF(C65="저장&amp;주변기기",9%,IF(C65="모니터",7%)))</f>
        <v>7.0000000000000007E-2</v>
      </c>
      <c r="U64" s="31">
        <v>0</v>
      </c>
      <c r="V64" s="31">
        <v>0.02</v>
      </c>
      <c r="W64" s="31">
        <f>IF(G64=0%,20%,0%)</f>
        <v>0</v>
      </c>
      <c r="X64" s="30">
        <v>0</v>
      </c>
      <c r="Y64" s="30">
        <v>1</v>
      </c>
      <c r="Z64" s="53">
        <v>1</v>
      </c>
      <c r="AA64" s="29">
        <v>0.5</v>
      </c>
      <c r="AB64" s="107"/>
      <c r="AC64" s="107"/>
      <c r="AD64" s="107"/>
      <c r="AE64" s="107"/>
      <c r="AF64" s="107"/>
      <c r="AG64" s="117"/>
      <c r="AH64" s="119"/>
      <c r="AI64" s="121"/>
      <c r="AJ64" s="55" t="s">
        <v>52</v>
      </c>
      <c r="AK64" s="56">
        <f>AJ63-AK63</f>
        <v>3.0267306374228919E-2</v>
      </c>
      <c r="AM64" s="107"/>
      <c r="AN64" s="107"/>
      <c r="AO64" s="107"/>
      <c r="AP64" s="107"/>
      <c r="AQ64" s="107"/>
      <c r="AR64" s="107"/>
      <c r="AS64" s="39"/>
      <c r="AT64" s="107"/>
      <c r="AU64" s="117"/>
      <c r="AV64" s="107"/>
      <c r="AW64" s="107"/>
      <c r="AY64" s="109"/>
      <c r="AZ64" s="109"/>
      <c r="BB64" s="107"/>
    </row>
    <row r="65" spans="1:54" ht="27" customHeight="1" x14ac:dyDescent="0.3">
      <c r="A65" s="28" t="s">
        <v>43</v>
      </c>
      <c r="B65" s="38" t="s">
        <v>35</v>
      </c>
      <c r="C65" s="27" t="s">
        <v>0</v>
      </c>
      <c r="D65" s="26">
        <v>4334607417</v>
      </c>
      <c r="E65" s="25">
        <v>5836000</v>
      </c>
      <c r="F65" s="24">
        <f>ROUNDDOWN(E65/(1-F64),-1)</f>
        <v>5836000</v>
      </c>
      <c r="G65" s="110">
        <f>ROUNDDOWN(IF(F65*G64&gt;H64,H64,F65*G64),-1)</f>
        <v>466880</v>
      </c>
      <c r="H65" s="111"/>
      <c r="I65" s="112">
        <f>ROUNDDOWN(IF(F65*I64&gt;J64,J64,F65*I64),-1)</f>
        <v>0</v>
      </c>
      <c r="J65" s="113"/>
      <c r="K65" s="112">
        <f>ROUNDDOWN(IF(F65*K64&gt;L64,L64,F65*K64),-1)</f>
        <v>500000</v>
      </c>
      <c r="L65" s="113"/>
      <c r="M65" s="110">
        <f>ROUNDDOWN(IF(Q65*M64&gt;N64,N64,Q65*M64),-1)</f>
        <v>70000</v>
      </c>
      <c r="N65" s="111"/>
      <c r="O65" s="110">
        <f>ROUNDDOWN(IF(F65*O64&gt;P64,P64,F65*O64),-1)</f>
        <v>0</v>
      </c>
      <c r="P65" s="111"/>
      <c r="Q65" s="23">
        <f>F65-G65-I65-K65</f>
        <v>4869120</v>
      </c>
      <c r="R65" s="22">
        <f>F65-G65-I65-K65-M65-O65</f>
        <v>4799120</v>
      </c>
      <c r="S65" s="21"/>
      <c r="T65" s="20">
        <f>F65*T64</f>
        <v>408520.00000000006</v>
      </c>
      <c r="U65" s="20">
        <f>F65*U64</f>
        <v>0</v>
      </c>
      <c r="V65" s="20">
        <f>(F65-I65)*V64</f>
        <v>116720</v>
      </c>
      <c r="W65" s="19">
        <f>(F65*F64)*W64</f>
        <v>0</v>
      </c>
      <c r="X65" s="19">
        <f>G65*X64</f>
        <v>0</v>
      </c>
      <c r="Y65" s="19">
        <f>I65*Y64</f>
        <v>0</v>
      </c>
      <c r="Z65" s="19">
        <f>K65*Z64</f>
        <v>500000</v>
      </c>
      <c r="AA65" s="19">
        <f>M65*AA64</f>
        <v>35000</v>
      </c>
      <c r="AB65" s="19">
        <v>0</v>
      </c>
      <c r="AC65" s="16">
        <v>15000</v>
      </c>
      <c r="AD65" s="18">
        <f>F65-T65-U65-V65-W65-AA65-X65-Y65-Z65-AB65</f>
        <v>4775760</v>
      </c>
      <c r="AE65" s="18">
        <f>F65-T65-U65-V65-W65-X65-Y65-Z65-AA65-AB65-AC65</f>
        <v>4760760</v>
      </c>
      <c r="AF65" s="17">
        <f>AE65-AG65</f>
        <v>-74240</v>
      </c>
      <c r="AG65" s="16">
        <v>4835000</v>
      </c>
      <c r="AH65" s="15">
        <f>AF65/AG65</f>
        <v>-1.5354705274043434E-2</v>
      </c>
      <c r="AI65" s="14">
        <f>1-R65/(AG65-AM65-AN65-AO65)</f>
        <v>-3.5408845738942762E-2</v>
      </c>
      <c r="AJ65" s="114">
        <f>(1-R65/F65)-(1-(AD65)/F65)</f>
        <v>-4.002741603838178E-3</v>
      </c>
      <c r="AK65" s="115"/>
      <c r="AM65" s="13">
        <v>200000</v>
      </c>
      <c r="AN65" s="12">
        <f>X65*AN64</f>
        <v>0</v>
      </c>
      <c r="AO65" s="12">
        <v>0</v>
      </c>
      <c r="AP65" s="12"/>
      <c r="AQ65" s="11">
        <f>AE65-(AG65-AM65-AN65-AO65-AP65)</f>
        <v>125760</v>
      </c>
      <c r="AR65" s="8">
        <f>AQ65/AG65</f>
        <v>2.6010341261633919E-2</v>
      </c>
      <c r="AT65" s="10">
        <v>0</v>
      </c>
      <c r="AU65" s="10">
        <v>0</v>
      </c>
      <c r="AV65" s="9">
        <f>AQ65-AT65-AU65</f>
        <v>125760</v>
      </c>
      <c r="AW65" s="8">
        <f>AV65/AG65</f>
        <v>2.6010341261633919E-2</v>
      </c>
      <c r="AY65" s="49"/>
      <c r="AZ65" s="50"/>
      <c r="BB65" s="6"/>
    </row>
    <row r="66" spans="1:54" x14ac:dyDescent="0.3">
      <c r="E66" s="5">
        <v>5199000</v>
      </c>
      <c r="F66" s="4">
        <f>ROUNDDOWN(E66/(1-F64),-1)</f>
        <v>5199000</v>
      </c>
      <c r="G66" s="138">
        <f>ROUNDDOWN(IF(F66*G64&gt;H64,H64,F66*G64),-1)</f>
        <v>415920</v>
      </c>
      <c r="H66" s="138"/>
      <c r="J66" s="54">
        <f>F65*4%</f>
        <v>233440</v>
      </c>
      <c r="X66" s="3">
        <f>G66*X64</f>
        <v>0</v>
      </c>
      <c r="Y66" s="3"/>
      <c r="Z66" s="3"/>
    </row>
    <row r="67" spans="1:54" x14ac:dyDescent="0.3">
      <c r="E67" s="5"/>
      <c r="F67" s="4"/>
      <c r="G67" s="42"/>
      <c r="H67" s="42"/>
      <c r="J67" s="54"/>
      <c r="X67" s="3"/>
      <c r="Y67" s="3"/>
      <c r="Z67" s="3"/>
    </row>
    <row r="68" spans="1:54" x14ac:dyDescent="0.3">
      <c r="E68" s="5"/>
      <c r="F68" s="4"/>
      <c r="G68" s="42"/>
      <c r="H68" s="42"/>
      <c r="J68" s="54"/>
      <c r="X68" s="3"/>
      <c r="Y68" s="3"/>
      <c r="Z68" s="3"/>
    </row>
    <row r="69" spans="1:54" x14ac:dyDescent="0.3">
      <c r="E69" s="5"/>
      <c r="F69" s="4"/>
      <c r="G69" s="42"/>
      <c r="H69" s="42"/>
      <c r="J69" s="54"/>
      <c r="X69" s="3"/>
      <c r="Y69" s="3"/>
      <c r="Z69" s="3"/>
    </row>
    <row r="70" spans="1:54" s="93" customFormat="1" ht="19.5" x14ac:dyDescent="0.3">
      <c r="A70" s="90" t="s">
        <v>101</v>
      </c>
      <c r="B70" s="91"/>
      <c r="C70" s="91"/>
      <c r="D70" s="91"/>
      <c r="E70" s="92"/>
      <c r="AH70" s="94"/>
      <c r="AI70" s="94"/>
      <c r="AJ70" s="94"/>
      <c r="AK70" s="94"/>
    </row>
    <row r="71" spans="1:54" x14ac:dyDescent="0.3">
      <c r="A71" s="43"/>
      <c r="B71" s="43"/>
      <c r="C71" s="43"/>
      <c r="D71" s="43"/>
      <c r="E71" s="5"/>
    </row>
    <row r="72" spans="1:54" ht="27" customHeight="1" x14ac:dyDescent="0.3">
      <c r="A72" s="124" t="s">
        <v>34</v>
      </c>
      <c r="B72" s="127">
        <v>5599000</v>
      </c>
      <c r="C72" s="128"/>
      <c r="D72" s="128"/>
      <c r="E72" s="128"/>
      <c r="F72" s="128"/>
      <c r="G72" s="128"/>
      <c r="H72" s="128"/>
      <c r="I72" s="128"/>
      <c r="J72" s="128"/>
      <c r="K72" s="128"/>
      <c r="L72" s="128"/>
      <c r="M72" s="128"/>
      <c r="N72" s="128"/>
      <c r="O72" s="128"/>
      <c r="P72" s="128"/>
      <c r="Q72" s="128"/>
      <c r="R72" s="129"/>
      <c r="T72" s="130" t="s">
        <v>33</v>
      </c>
      <c r="U72" s="131"/>
      <c r="V72" s="131"/>
      <c r="W72" s="131"/>
      <c r="X72" s="131"/>
      <c r="Y72" s="131"/>
      <c r="Z72" s="131"/>
      <c r="AA72" s="131"/>
      <c r="AB72" s="131"/>
      <c r="AC72" s="131"/>
      <c r="AD72" s="131"/>
      <c r="AE72" s="131"/>
      <c r="AF72" s="131"/>
      <c r="AG72" s="131"/>
      <c r="AH72" s="132"/>
      <c r="AI72" s="37"/>
      <c r="AM72" s="130" t="s">
        <v>32</v>
      </c>
      <c r="AN72" s="131"/>
      <c r="AO72" s="131"/>
      <c r="AP72" s="131"/>
      <c r="AQ72" s="131"/>
      <c r="AR72" s="132"/>
      <c r="AT72" s="130" t="s">
        <v>31</v>
      </c>
      <c r="AU72" s="131"/>
      <c r="AV72" s="131"/>
      <c r="AW72" s="132"/>
      <c r="AY72" s="47" t="s">
        <v>36</v>
      </c>
      <c r="AZ72" s="48"/>
      <c r="BB72" s="36"/>
    </row>
    <row r="73" spans="1:54" ht="32.25" customHeight="1" x14ac:dyDescent="0.3">
      <c r="A73" s="125"/>
      <c r="B73" s="133" t="s">
        <v>30</v>
      </c>
      <c r="C73" s="133" t="s">
        <v>29</v>
      </c>
      <c r="D73" s="116" t="s">
        <v>28</v>
      </c>
      <c r="E73" s="116" t="s">
        <v>27</v>
      </c>
      <c r="F73" s="34" t="s">
        <v>26</v>
      </c>
      <c r="G73" s="122" t="s">
        <v>63</v>
      </c>
      <c r="H73" s="123"/>
      <c r="I73" s="122" t="s">
        <v>50</v>
      </c>
      <c r="J73" s="123"/>
      <c r="K73" s="122" t="s">
        <v>62</v>
      </c>
      <c r="L73" s="123"/>
      <c r="M73" s="122" t="s">
        <v>25</v>
      </c>
      <c r="N73" s="123"/>
      <c r="O73" s="122" t="s">
        <v>24</v>
      </c>
      <c r="P73" s="123"/>
      <c r="Q73" s="106" t="s">
        <v>23</v>
      </c>
      <c r="R73" s="106" t="s">
        <v>22</v>
      </c>
      <c r="S73" s="21"/>
      <c r="T73" s="34" t="s">
        <v>21</v>
      </c>
      <c r="U73" s="34" t="s">
        <v>20</v>
      </c>
      <c r="V73" s="34" t="s">
        <v>95</v>
      </c>
      <c r="W73" s="34" t="s">
        <v>19</v>
      </c>
      <c r="X73" s="34" t="s">
        <v>18</v>
      </c>
      <c r="Y73" s="34" t="s">
        <v>48</v>
      </c>
      <c r="Z73" s="34" t="s">
        <v>49</v>
      </c>
      <c r="AA73" s="34" t="s">
        <v>17</v>
      </c>
      <c r="AB73" s="106" t="s">
        <v>16</v>
      </c>
      <c r="AC73" s="106" t="s">
        <v>15</v>
      </c>
      <c r="AD73" s="106" t="s">
        <v>14</v>
      </c>
      <c r="AE73" s="106" t="s">
        <v>13</v>
      </c>
      <c r="AF73" s="106" t="s">
        <v>12</v>
      </c>
      <c r="AG73" s="116" t="s">
        <v>11</v>
      </c>
      <c r="AH73" s="118" t="s">
        <v>10</v>
      </c>
      <c r="AI73" s="120" t="s">
        <v>9</v>
      </c>
      <c r="AJ73" s="35">
        <f>(1-R75/F75)</f>
        <v>0.14690156422815615</v>
      </c>
      <c r="AK73" s="35">
        <f>1-(AD75+AM75)/F75</f>
        <v>0.14505135092431665</v>
      </c>
      <c r="AM73" s="106" t="s">
        <v>8</v>
      </c>
      <c r="AN73" s="106" t="s">
        <v>7</v>
      </c>
      <c r="AO73" s="106" t="s">
        <v>37</v>
      </c>
      <c r="AP73" s="106" t="s">
        <v>38</v>
      </c>
      <c r="AQ73" s="106" t="s">
        <v>6</v>
      </c>
      <c r="AR73" s="106" t="s">
        <v>5</v>
      </c>
      <c r="AT73" s="106" t="s">
        <v>4</v>
      </c>
      <c r="AU73" s="106" t="s">
        <v>3</v>
      </c>
      <c r="AV73" s="106" t="s">
        <v>2</v>
      </c>
      <c r="AW73" s="106" t="s">
        <v>1</v>
      </c>
      <c r="AY73" s="108"/>
      <c r="AZ73" s="108"/>
      <c r="BB73" s="106"/>
    </row>
    <row r="74" spans="1:54" ht="27" customHeight="1" x14ac:dyDescent="0.3">
      <c r="A74" s="126"/>
      <c r="B74" s="134"/>
      <c r="C74" s="134"/>
      <c r="D74" s="117"/>
      <c r="E74" s="117"/>
      <c r="F74" s="31">
        <v>0</v>
      </c>
      <c r="G74" s="33">
        <v>0.06</v>
      </c>
      <c r="H74" s="32">
        <v>1000000</v>
      </c>
      <c r="I74" s="31">
        <v>1</v>
      </c>
      <c r="J74" s="32">
        <v>100000</v>
      </c>
      <c r="K74" s="31">
        <v>1</v>
      </c>
      <c r="L74" s="32">
        <v>300000</v>
      </c>
      <c r="M74" s="31">
        <v>7.0000000000000007E-2</v>
      </c>
      <c r="N74" s="32">
        <v>150000</v>
      </c>
      <c r="O74" s="31">
        <v>0</v>
      </c>
      <c r="P74" s="32">
        <v>0</v>
      </c>
      <c r="Q74" s="107"/>
      <c r="R74" s="107"/>
      <c r="S74" s="21"/>
      <c r="T74" s="31">
        <f>IF(C75="노트북",7%,IF(C75="저장&amp;주변기기",9%,IF(C75="모니터",7%)))</f>
        <v>7.0000000000000007E-2</v>
      </c>
      <c r="U74" s="31">
        <v>0</v>
      </c>
      <c r="V74" s="31">
        <v>0</v>
      </c>
      <c r="W74" s="31">
        <f>IF(G74=0%,20%,0%)</f>
        <v>0</v>
      </c>
      <c r="X74" s="30">
        <v>0</v>
      </c>
      <c r="Y74" s="30">
        <v>1</v>
      </c>
      <c r="Z74" s="53">
        <v>1</v>
      </c>
      <c r="AA74" s="29">
        <v>0.5</v>
      </c>
      <c r="AB74" s="107"/>
      <c r="AC74" s="107"/>
      <c r="AD74" s="107"/>
      <c r="AE74" s="107"/>
      <c r="AF74" s="107"/>
      <c r="AG74" s="117"/>
      <c r="AH74" s="119"/>
      <c r="AI74" s="121"/>
      <c r="AJ74" s="55" t="s">
        <v>52</v>
      </c>
      <c r="AK74" s="56">
        <f>AJ73-AK73</f>
        <v>1.8502133038394986E-3</v>
      </c>
      <c r="AM74" s="107"/>
      <c r="AN74" s="107"/>
      <c r="AO74" s="107"/>
      <c r="AP74" s="107"/>
      <c r="AQ74" s="107"/>
      <c r="AR74" s="107"/>
      <c r="AS74" s="39"/>
      <c r="AT74" s="107"/>
      <c r="AU74" s="117"/>
      <c r="AV74" s="107"/>
      <c r="AW74" s="107"/>
      <c r="AY74" s="109"/>
      <c r="AZ74" s="109"/>
      <c r="BB74" s="107"/>
    </row>
    <row r="75" spans="1:54" ht="27" customHeight="1" x14ac:dyDescent="0.3">
      <c r="A75" s="28" t="s">
        <v>93</v>
      </c>
      <c r="B75" s="38" t="s">
        <v>35</v>
      </c>
      <c r="C75" s="27" t="s">
        <v>0</v>
      </c>
      <c r="D75" s="26">
        <v>4660412701</v>
      </c>
      <c r="E75" s="25">
        <v>6329000</v>
      </c>
      <c r="F75" s="24">
        <f>ROUNDDOWN(E75/(1-F74),-1)</f>
        <v>6329000</v>
      </c>
      <c r="G75" s="110">
        <f>ROUNDDOWN(IF(F75*G74&gt;H74,H74,F75*G74),-1)</f>
        <v>379740</v>
      </c>
      <c r="H75" s="111"/>
      <c r="I75" s="112">
        <f>ROUNDDOWN(IF(F75*I74&gt;J74,J74,F75*I74),-1)</f>
        <v>100000</v>
      </c>
      <c r="J75" s="113"/>
      <c r="K75" s="112">
        <f>ROUNDDOWN(IF(F75*K74&gt;L74,L74,F75*K74),-1)</f>
        <v>300000</v>
      </c>
      <c r="L75" s="113"/>
      <c r="M75" s="110">
        <f>ROUNDDOWN(IF(Q75*M74&gt;N74,N74,Q75*M74),-1)</f>
        <v>150000</v>
      </c>
      <c r="N75" s="111"/>
      <c r="O75" s="110">
        <f>ROUNDDOWN(IF(F75*O74&gt;P74,P74,F75*O74),-1)</f>
        <v>0</v>
      </c>
      <c r="P75" s="111"/>
      <c r="Q75" s="23">
        <f>F75-G75-I75-K75</f>
        <v>5549260</v>
      </c>
      <c r="R75" s="22">
        <f>F75-G75-I75-K75-M75-O75</f>
        <v>5399260</v>
      </c>
      <c r="S75" s="21"/>
      <c r="T75" s="20">
        <f>F75*T74</f>
        <v>443030.00000000006</v>
      </c>
      <c r="U75" s="20">
        <f>F75*U74</f>
        <v>0</v>
      </c>
      <c r="V75" s="20">
        <f>(F75-I75)*V74</f>
        <v>0</v>
      </c>
      <c r="W75" s="19">
        <f>(F75*F74)*W74</f>
        <v>0</v>
      </c>
      <c r="X75" s="19">
        <f>G75*X74</f>
        <v>0</v>
      </c>
      <c r="Y75" s="19">
        <f>I75*Y74</f>
        <v>100000</v>
      </c>
      <c r="Z75" s="19">
        <f>K75*Z74</f>
        <v>300000</v>
      </c>
      <c r="AA75" s="19">
        <f>M75*AA74</f>
        <v>75000</v>
      </c>
      <c r="AB75" s="19">
        <v>0</v>
      </c>
      <c r="AC75" s="16">
        <v>15000</v>
      </c>
      <c r="AD75" s="18">
        <f>F75-T75-U75-V75-W75-AA75-X75-Y75-Z75-AB75</f>
        <v>5410970</v>
      </c>
      <c r="AE75" s="18">
        <f>F75-T75-U75-V75-W75-X75-Y75-Z75-AA75-AB75-AC75</f>
        <v>5395970</v>
      </c>
      <c r="AF75" s="17">
        <f>AE75-AG75</f>
        <v>216970</v>
      </c>
      <c r="AG75" s="16">
        <v>5179000</v>
      </c>
      <c r="AH75" s="15">
        <f>AF75/AG75</f>
        <v>4.1894188067194436E-2</v>
      </c>
      <c r="AI75" s="14">
        <f>1-R75/(AG75-AM75-AN75-AO75)</f>
        <v>-4.2529445838965119E-2</v>
      </c>
      <c r="AJ75" s="114">
        <f>(1-R75/F75)-(1-(AD75)/F75)</f>
        <v>1.8502133038394986E-3</v>
      </c>
      <c r="AK75" s="115"/>
      <c r="AM75" s="13">
        <v>0</v>
      </c>
      <c r="AN75" s="12">
        <f>X75*AN74</f>
        <v>0</v>
      </c>
      <c r="AO75" s="12">
        <v>0</v>
      </c>
      <c r="AP75" s="12"/>
      <c r="AQ75" s="11">
        <f>AE75-(AG75-AM75-AN75-AO75-AP75)</f>
        <v>216970</v>
      </c>
      <c r="AR75" s="8">
        <f>AQ75/AG75</f>
        <v>4.1894188067194436E-2</v>
      </c>
      <c r="AT75" s="10">
        <v>0</v>
      </c>
      <c r="AU75" s="10">
        <v>0</v>
      </c>
      <c r="AV75" s="9">
        <f>AQ75-AT75-AU75</f>
        <v>216970</v>
      </c>
      <c r="AW75" s="8">
        <f>AV75/AG75</f>
        <v>4.1894188067194436E-2</v>
      </c>
      <c r="AY75" s="49"/>
      <c r="AZ75" s="50"/>
      <c r="BB75" s="6"/>
    </row>
    <row r="76" spans="1:54" x14ac:dyDescent="0.3">
      <c r="E76" s="5">
        <v>5599000</v>
      </c>
      <c r="F76" s="4">
        <f>ROUNDDOWN(E76/(1-F74),-1)</f>
        <v>5599000</v>
      </c>
      <c r="G76" s="138">
        <f>ROUNDDOWN(IF(F76*G74&gt;H74,H74,F76*G74),-1)</f>
        <v>335940</v>
      </c>
      <c r="H76" s="138"/>
      <c r="J76" s="54">
        <f>F75*4%</f>
        <v>253160</v>
      </c>
      <c r="R76" s="4">
        <v>4779840</v>
      </c>
      <c r="X76" s="3">
        <f>G76*X74</f>
        <v>0</v>
      </c>
      <c r="Y76" s="3"/>
      <c r="Z76" s="3"/>
    </row>
    <row r="77" spans="1:54" x14ac:dyDescent="0.3">
      <c r="E77" s="5"/>
      <c r="F77" s="4"/>
      <c r="G77" s="89"/>
      <c r="H77" s="89"/>
      <c r="J77" s="54"/>
      <c r="R77" s="4"/>
      <c r="X77" s="3"/>
      <c r="Y77" s="3"/>
      <c r="Z77" s="3"/>
    </row>
    <row r="78" spans="1:54" x14ac:dyDescent="0.3">
      <c r="E78" s="5"/>
      <c r="F78" s="4"/>
      <c r="G78" s="54"/>
      <c r="H78" s="54"/>
      <c r="J78" s="54"/>
      <c r="R78" s="4"/>
      <c r="X78" s="3"/>
      <c r="Y78" s="3"/>
      <c r="Z78" s="3"/>
    </row>
    <row r="79" spans="1:54" ht="27" customHeight="1" x14ac:dyDescent="0.3">
      <c r="A79" s="124" t="s">
        <v>34</v>
      </c>
      <c r="B79" s="127">
        <v>5899000</v>
      </c>
      <c r="C79" s="128"/>
      <c r="D79" s="128"/>
      <c r="E79" s="128"/>
      <c r="F79" s="128"/>
      <c r="G79" s="128"/>
      <c r="H79" s="128"/>
      <c r="I79" s="128"/>
      <c r="J79" s="128"/>
      <c r="K79" s="128"/>
      <c r="L79" s="128"/>
      <c r="M79" s="128"/>
      <c r="N79" s="128"/>
      <c r="O79" s="128"/>
      <c r="P79" s="128"/>
      <c r="Q79" s="128"/>
      <c r="R79" s="129"/>
      <c r="T79" s="130" t="s">
        <v>33</v>
      </c>
      <c r="U79" s="131"/>
      <c r="V79" s="131"/>
      <c r="W79" s="131"/>
      <c r="X79" s="131"/>
      <c r="Y79" s="131"/>
      <c r="Z79" s="131"/>
      <c r="AA79" s="131"/>
      <c r="AB79" s="131"/>
      <c r="AC79" s="131"/>
      <c r="AD79" s="131"/>
      <c r="AE79" s="131"/>
      <c r="AF79" s="131"/>
      <c r="AG79" s="131"/>
      <c r="AH79" s="132"/>
      <c r="AI79" s="37"/>
      <c r="AM79" s="130" t="s">
        <v>32</v>
      </c>
      <c r="AN79" s="131"/>
      <c r="AO79" s="131"/>
      <c r="AP79" s="131"/>
      <c r="AQ79" s="131"/>
      <c r="AR79" s="132"/>
      <c r="AT79" s="130" t="s">
        <v>31</v>
      </c>
      <c r="AU79" s="131"/>
      <c r="AV79" s="131"/>
      <c r="AW79" s="132"/>
      <c r="AY79" s="47" t="s">
        <v>36</v>
      </c>
      <c r="AZ79" s="48"/>
      <c r="BB79" s="36"/>
    </row>
    <row r="80" spans="1:54" ht="32.25" customHeight="1" x14ac:dyDescent="0.3">
      <c r="A80" s="125"/>
      <c r="B80" s="133" t="s">
        <v>30</v>
      </c>
      <c r="C80" s="133" t="s">
        <v>29</v>
      </c>
      <c r="D80" s="116" t="s">
        <v>28</v>
      </c>
      <c r="E80" s="116" t="s">
        <v>27</v>
      </c>
      <c r="F80" s="34" t="s">
        <v>26</v>
      </c>
      <c r="G80" s="122" t="s">
        <v>63</v>
      </c>
      <c r="H80" s="123"/>
      <c r="I80" s="122" t="s">
        <v>50</v>
      </c>
      <c r="J80" s="123"/>
      <c r="K80" s="122" t="s">
        <v>62</v>
      </c>
      <c r="L80" s="123"/>
      <c r="M80" s="122" t="s">
        <v>25</v>
      </c>
      <c r="N80" s="123"/>
      <c r="O80" s="122" t="s">
        <v>24</v>
      </c>
      <c r="P80" s="123"/>
      <c r="Q80" s="106" t="s">
        <v>23</v>
      </c>
      <c r="R80" s="106" t="s">
        <v>22</v>
      </c>
      <c r="S80" s="21"/>
      <c r="T80" s="34" t="s">
        <v>21</v>
      </c>
      <c r="U80" s="34" t="s">
        <v>20</v>
      </c>
      <c r="V80" s="34" t="s">
        <v>95</v>
      </c>
      <c r="W80" s="34" t="s">
        <v>19</v>
      </c>
      <c r="X80" s="34" t="s">
        <v>18</v>
      </c>
      <c r="Y80" s="34" t="s">
        <v>48</v>
      </c>
      <c r="Z80" s="34" t="s">
        <v>49</v>
      </c>
      <c r="AA80" s="34" t="s">
        <v>17</v>
      </c>
      <c r="AB80" s="106" t="s">
        <v>16</v>
      </c>
      <c r="AC80" s="106" t="s">
        <v>15</v>
      </c>
      <c r="AD80" s="106" t="s">
        <v>14</v>
      </c>
      <c r="AE80" s="106" t="s">
        <v>13</v>
      </c>
      <c r="AF80" s="106" t="s">
        <v>12</v>
      </c>
      <c r="AG80" s="116" t="s">
        <v>11</v>
      </c>
      <c r="AH80" s="118" t="s">
        <v>10</v>
      </c>
      <c r="AI80" s="120" t="s">
        <v>9</v>
      </c>
      <c r="AJ80" s="35">
        <f>(1-R82/F82)</f>
        <v>0.1427316486161252</v>
      </c>
      <c r="AK80" s="35">
        <f>1-(AD82+AM82)/F82</f>
        <v>0.14145006016847173</v>
      </c>
      <c r="AM80" s="106" t="s">
        <v>8</v>
      </c>
      <c r="AN80" s="106" t="s">
        <v>7</v>
      </c>
      <c r="AO80" s="106" t="s">
        <v>37</v>
      </c>
      <c r="AP80" s="106" t="s">
        <v>38</v>
      </c>
      <c r="AQ80" s="106" t="s">
        <v>6</v>
      </c>
      <c r="AR80" s="106" t="s">
        <v>5</v>
      </c>
      <c r="AT80" s="106" t="s">
        <v>4</v>
      </c>
      <c r="AU80" s="106" t="s">
        <v>3</v>
      </c>
      <c r="AV80" s="106" t="s">
        <v>2</v>
      </c>
      <c r="AW80" s="106" t="s">
        <v>1</v>
      </c>
      <c r="AY80" s="108"/>
      <c r="AZ80" s="108"/>
      <c r="BB80" s="106"/>
    </row>
    <row r="81" spans="1:54" ht="27" customHeight="1" x14ac:dyDescent="0.3">
      <c r="A81" s="126"/>
      <c r="B81" s="134"/>
      <c r="C81" s="134"/>
      <c r="D81" s="117"/>
      <c r="E81" s="117"/>
      <c r="F81" s="31">
        <v>0</v>
      </c>
      <c r="G81" s="33">
        <v>0.06</v>
      </c>
      <c r="H81" s="32">
        <v>1000000</v>
      </c>
      <c r="I81" s="31">
        <v>1</v>
      </c>
      <c r="J81" s="32">
        <v>100000</v>
      </c>
      <c r="K81" s="31">
        <v>1</v>
      </c>
      <c r="L81" s="32">
        <v>300000</v>
      </c>
      <c r="M81" s="31">
        <v>7.0000000000000007E-2</v>
      </c>
      <c r="N81" s="32">
        <v>150000</v>
      </c>
      <c r="O81" s="31">
        <v>0</v>
      </c>
      <c r="P81" s="32">
        <v>0</v>
      </c>
      <c r="Q81" s="107"/>
      <c r="R81" s="107"/>
      <c r="S81" s="21"/>
      <c r="T81" s="31">
        <f>IF(C82="노트북",7%,IF(C82="저장&amp;주변기기",9%,IF(C82="모니터",7%)))</f>
        <v>7.0000000000000007E-2</v>
      </c>
      <c r="U81" s="31">
        <v>0</v>
      </c>
      <c r="V81" s="31">
        <v>0</v>
      </c>
      <c r="W81" s="31">
        <f>IF(G81=0%,20%,0%)</f>
        <v>0</v>
      </c>
      <c r="X81" s="30">
        <v>0</v>
      </c>
      <c r="Y81" s="30">
        <v>1</v>
      </c>
      <c r="Z81" s="53">
        <v>1</v>
      </c>
      <c r="AA81" s="29">
        <v>0.5</v>
      </c>
      <c r="AB81" s="107"/>
      <c r="AC81" s="107"/>
      <c r="AD81" s="107"/>
      <c r="AE81" s="107"/>
      <c r="AF81" s="107"/>
      <c r="AG81" s="117"/>
      <c r="AH81" s="119"/>
      <c r="AI81" s="121"/>
      <c r="AJ81" s="55" t="s">
        <v>52</v>
      </c>
      <c r="AK81" s="56">
        <f>AJ80-AK80</f>
        <v>1.28158844765347E-3</v>
      </c>
      <c r="AM81" s="107"/>
      <c r="AN81" s="107"/>
      <c r="AO81" s="107"/>
      <c r="AP81" s="107"/>
      <c r="AQ81" s="107"/>
      <c r="AR81" s="107"/>
      <c r="AS81" s="39"/>
      <c r="AT81" s="107"/>
      <c r="AU81" s="117"/>
      <c r="AV81" s="107"/>
      <c r="AW81" s="107"/>
      <c r="AY81" s="109"/>
      <c r="AZ81" s="109"/>
      <c r="BB81" s="107"/>
    </row>
    <row r="82" spans="1:54" ht="27" customHeight="1" x14ac:dyDescent="0.3">
      <c r="A82" s="28" t="s">
        <v>94</v>
      </c>
      <c r="B82" s="38" t="s">
        <v>35</v>
      </c>
      <c r="C82" s="27" t="s">
        <v>0</v>
      </c>
      <c r="D82" s="26">
        <v>4660417885</v>
      </c>
      <c r="E82" s="25">
        <v>6648000</v>
      </c>
      <c r="F82" s="24">
        <f>ROUNDDOWN(E82/(1-F81),-1)</f>
        <v>6648000</v>
      </c>
      <c r="G82" s="110">
        <f>ROUNDDOWN(IF(F82*G81&gt;H81,H81,F82*G81),-1)</f>
        <v>398880</v>
      </c>
      <c r="H82" s="111"/>
      <c r="I82" s="112">
        <f>ROUNDDOWN(IF(F82*I81&gt;J81,J81,F82*I81),-1)</f>
        <v>100000</v>
      </c>
      <c r="J82" s="113"/>
      <c r="K82" s="112">
        <f>ROUNDDOWN(IF(F82*K81&gt;L81,L81,F82*K81),-1)</f>
        <v>300000</v>
      </c>
      <c r="L82" s="113"/>
      <c r="M82" s="110">
        <f>ROUNDDOWN(IF(Q82*M81&gt;N81,N81,Q82*M81),-1)</f>
        <v>150000</v>
      </c>
      <c r="N82" s="111"/>
      <c r="O82" s="110">
        <f>ROUNDDOWN(IF(F82*O81&gt;P81,P81,F82*O81),-1)</f>
        <v>0</v>
      </c>
      <c r="P82" s="111"/>
      <c r="Q82" s="23">
        <f>F82-G82-I82-K82</f>
        <v>5849120</v>
      </c>
      <c r="R82" s="22">
        <f>F82-G82-I82-K82-M82-O82</f>
        <v>5699120</v>
      </c>
      <c r="S82" s="21"/>
      <c r="T82" s="20">
        <f>F82*T81</f>
        <v>465360.00000000006</v>
      </c>
      <c r="U82" s="20">
        <f>F82*U81</f>
        <v>0</v>
      </c>
      <c r="V82" s="20">
        <f>(F82-I82)*V81</f>
        <v>0</v>
      </c>
      <c r="W82" s="19">
        <f>(F82*F81)*W81</f>
        <v>0</v>
      </c>
      <c r="X82" s="19">
        <f>G82*X81</f>
        <v>0</v>
      </c>
      <c r="Y82" s="19">
        <f>I82*Y81</f>
        <v>100000</v>
      </c>
      <c r="Z82" s="19">
        <f>K82*Z81</f>
        <v>300000</v>
      </c>
      <c r="AA82" s="19">
        <f>M82*AA81</f>
        <v>75000</v>
      </c>
      <c r="AB82" s="19">
        <v>0</v>
      </c>
      <c r="AC82" s="16">
        <v>15000</v>
      </c>
      <c r="AD82" s="18">
        <f>F82-T82-U82-V82-W82-AA82-X82-Y82-Z82-AB82</f>
        <v>5707640</v>
      </c>
      <c r="AE82" s="18">
        <f>F82-T82-U82-V82-W82-X82-Y82-Z82-AA82-AB82-AC82</f>
        <v>5692640</v>
      </c>
      <c r="AF82" s="17">
        <f>AE82-AG82</f>
        <v>1438640</v>
      </c>
      <c r="AG82" s="16">
        <v>4254000</v>
      </c>
      <c r="AH82" s="15">
        <f>AF82/AG82</f>
        <v>0.33818523742360129</v>
      </c>
      <c r="AI82" s="14">
        <f>1-R82/(AG82-AM82-AN82-AO82)</f>
        <v>-0.33970850963798771</v>
      </c>
      <c r="AJ82" s="114">
        <f>(1-R82/F82)-(1-(AD82)/F82)</f>
        <v>1.28158844765347E-3</v>
      </c>
      <c r="AK82" s="115"/>
      <c r="AM82" s="13">
        <v>0</v>
      </c>
      <c r="AN82" s="12">
        <f>X82*AN81</f>
        <v>0</v>
      </c>
      <c r="AO82" s="12">
        <v>0</v>
      </c>
      <c r="AP82" s="12"/>
      <c r="AQ82" s="11">
        <f>AE82-(AG82-AM82-AN82-AO82-AP82)</f>
        <v>1438640</v>
      </c>
      <c r="AR82" s="8">
        <f>AQ82/AG82</f>
        <v>0.33818523742360129</v>
      </c>
      <c r="AT82" s="10">
        <v>0</v>
      </c>
      <c r="AU82" s="10">
        <v>0</v>
      </c>
      <c r="AV82" s="9">
        <f>AQ82-AT82-AU82</f>
        <v>1438640</v>
      </c>
      <c r="AW82" s="8">
        <f>AV82/AG82</f>
        <v>0.33818523742360129</v>
      </c>
      <c r="AY82" s="49"/>
      <c r="AZ82" s="50"/>
      <c r="BB82" s="6"/>
    </row>
    <row r="83" spans="1:54" x14ac:dyDescent="0.3">
      <c r="E83" s="5">
        <v>5899000</v>
      </c>
      <c r="F83" s="4">
        <f>ROUNDDOWN(E83/(1-F81),-1)</f>
        <v>5899000</v>
      </c>
      <c r="G83" s="138">
        <f>ROUNDDOWN(IF(F83*G81&gt;H81,H81,F83*G81),-1)</f>
        <v>353940</v>
      </c>
      <c r="H83" s="138"/>
      <c r="J83" s="54">
        <f>F82*4%</f>
        <v>265920</v>
      </c>
      <c r="R83" s="4">
        <v>4779840</v>
      </c>
      <c r="X83" s="3">
        <f>G83*X81</f>
        <v>0</v>
      </c>
      <c r="Y83" s="3"/>
      <c r="Z83" s="3"/>
    </row>
    <row r="84" spans="1:54" x14ac:dyDescent="0.3">
      <c r="E84" s="5"/>
      <c r="F84" s="4"/>
      <c r="G84" s="42"/>
      <c r="H84" s="42"/>
      <c r="J84" s="54"/>
      <c r="R84" s="4"/>
      <c r="X84" s="3"/>
      <c r="Y84" s="3"/>
      <c r="Z84" s="3"/>
    </row>
    <row r="85" spans="1:54" x14ac:dyDescent="0.3">
      <c r="E85" s="5"/>
      <c r="F85" s="4"/>
      <c r="G85" s="42"/>
      <c r="H85" s="42"/>
      <c r="J85" s="54"/>
      <c r="X85" s="3"/>
      <c r="Y85" s="3"/>
      <c r="Z85" s="3"/>
    </row>
    <row r="86" spans="1:54" ht="27" customHeight="1" x14ac:dyDescent="0.3">
      <c r="A86" s="124" t="s">
        <v>34</v>
      </c>
      <c r="B86" s="127">
        <v>5999000</v>
      </c>
      <c r="C86" s="128"/>
      <c r="D86" s="128"/>
      <c r="E86" s="128"/>
      <c r="F86" s="128"/>
      <c r="G86" s="128"/>
      <c r="H86" s="128"/>
      <c r="I86" s="128"/>
      <c r="J86" s="128"/>
      <c r="K86" s="128"/>
      <c r="L86" s="128"/>
      <c r="M86" s="128"/>
      <c r="N86" s="128"/>
      <c r="O86" s="128"/>
      <c r="P86" s="128"/>
      <c r="Q86" s="128"/>
      <c r="R86" s="129"/>
      <c r="T86" s="130" t="s">
        <v>33</v>
      </c>
      <c r="U86" s="131"/>
      <c r="V86" s="131"/>
      <c r="W86" s="131"/>
      <c r="X86" s="131"/>
      <c r="Y86" s="131"/>
      <c r="Z86" s="131"/>
      <c r="AA86" s="131"/>
      <c r="AB86" s="131"/>
      <c r="AC86" s="131"/>
      <c r="AD86" s="131"/>
      <c r="AE86" s="131"/>
      <c r="AF86" s="131"/>
      <c r="AG86" s="131"/>
      <c r="AH86" s="132"/>
      <c r="AI86" s="37"/>
      <c r="AM86" s="130" t="s">
        <v>32</v>
      </c>
      <c r="AN86" s="131"/>
      <c r="AO86" s="131"/>
      <c r="AP86" s="131"/>
      <c r="AQ86" s="131"/>
      <c r="AR86" s="132"/>
      <c r="AT86" s="130" t="s">
        <v>31</v>
      </c>
      <c r="AU86" s="131"/>
      <c r="AV86" s="131"/>
      <c r="AW86" s="132"/>
      <c r="AY86" s="47" t="s">
        <v>36</v>
      </c>
      <c r="AZ86" s="48"/>
      <c r="BB86" s="36"/>
    </row>
    <row r="87" spans="1:54" ht="32.25" customHeight="1" x14ac:dyDescent="0.3">
      <c r="A87" s="125"/>
      <c r="B87" s="133" t="s">
        <v>30</v>
      </c>
      <c r="C87" s="133" t="s">
        <v>29</v>
      </c>
      <c r="D87" s="116" t="s">
        <v>28</v>
      </c>
      <c r="E87" s="116" t="s">
        <v>27</v>
      </c>
      <c r="F87" s="34" t="s">
        <v>26</v>
      </c>
      <c r="G87" s="122" t="s">
        <v>63</v>
      </c>
      <c r="H87" s="123"/>
      <c r="I87" s="122" t="s">
        <v>50</v>
      </c>
      <c r="J87" s="123"/>
      <c r="K87" s="122" t="s">
        <v>62</v>
      </c>
      <c r="L87" s="123"/>
      <c r="M87" s="122" t="s">
        <v>25</v>
      </c>
      <c r="N87" s="123"/>
      <c r="O87" s="122" t="s">
        <v>24</v>
      </c>
      <c r="P87" s="123"/>
      <c r="Q87" s="106" t="s">
        <v>23</v>
      </c>
      <c r="R87" s="106" t="s">
        <v>22</v>
      </c>
      <c r="S87" s="21"/>
      <c r="T87" s="34" t="s">
        <v>21</v>
      </c>
      <c r="U87" s="34" t="s">
        <v>20</v>
      </c>
      <c r="V87" s="34" t="s">
        <v>95</v>
      </c>
      <c r="W87" s="34" t="s">
        <v>19</v>
      </c>
      <c r="X87" s="34" t="s">
        <v>18</v>
      </c>
      <c r="Y87" s="34" t="s">
        <v>48</v>
      </c>
      <c r="Z87" s="34" t="s">
        <v>49</v>
      </c>
      <c r="AA87" s="34" t="s">
        <v>17</v>
      </c>
      <c r="AB87" s="106" t="s">
        <v>16</v>
      </c>
      <c r="AC87" s="106" t="s">
        <v>15</v>
      </c>
      <c r="AD87" s="106" t="s">
        <v>14</v>
      </c>
      <c r="AE87" s="106" t="s">
        <v>13</v>
      </c>
      <c r="AF87" s="106" t="s">
        <v>12</v>
      </c>
      <c r="AG87" s="116" t="s">
        <v>11</v>
      </c>
      <c r="AH87" s="118" t="s">
        <v>10</v>
      </c>
      <c r="AI87" s="120" t="s">
        <v>9</v>
      </c>
      <c r="AJ87" s="35">
        <f>(1-R89/F89)</f>
        <v>0.14206505520740076</v>
      </c>
      <c r="AK87" s="35">
        <f>1-(AD89+AM89)/F89</f>
        <v>0.14087436586093705</v>
      </c>
      <c r="AM87" s="106" t="s">
        <v>8</v>
      </c>
      <c r="AN87" s="106" t="s">
        <v>7</v>
      </c>
      <c r="AO87" s="106" t="s">
        <v>37</v>
      </c>
      <c r="AP87" s="106" t="s">
        <v>38</v>
      </c>
      <c r="AQ87" s="106" t="s">
        <v>6</v>
      </c>
      <c r="AR87" s="106" t="s">
        <v>5</v>
      </c>
      <c r="AT87" s="106" t="s">
        <v>4</v>
      </c>
      <c r="AU87" s="106" t="s">
        <v>3</v>
      </c>
      <c r="AV87" s="106" t="s">
        <v>2</v>
      </c>
      <c r="AW87" s="106" t="s">
        <v>1</v>
      </c>
      <c r="AY87" s="108"/>
      <c r="AZ87" s="108"/>
      <c r="BB87" s="106"/>
    </row>
    <row r="88" spans="1:54" ht="27" customHeight="1" x14ac:dyDescent="0.3">
      <c r="A88" s="126"/>
      <c r="B88" s="134"/>
      <c r="C88" s="134"/>
      <c r="D88" s="117"/>
      <c r="E88" s="117"/>
      <c r="F88" s="31">
        <v>0</v>
      </c>
      <c r="G88" s="33">
        <v>0.06</v>
      </c>
      <c r="H88" s="32">
        <v>1000000</v>
      </c>
      <c r="I88" s="31">
        <v>1</v>
      </c>
      <c r="J88" s="32">
        <v>100000</v>
      </c>
      <c r="K88" s="31">
        <v>1</v>
      </c>
      <c r="L88" s="32">
        <v>300000</v>
      </c>
      <c r="M88" s="31">
        <v>7.0000000000000007E-2</v>
      </c>
      <c r="N88" s="32">
        <v>150000</v>
      </c>
      <c r="O88" s="31">
        <v>0</v>
      </c>
      <c r="P88" s="32">
        <v>0</v>
      </c>
      <c r="Q88" s="107"/>
      <c r="R88" s="107"/>
      <c r="S88" s="21"/>
      <c r="T88" s="31">
        <f>IF(C89="노트북",7%,IF(C89="저장&amp;주변기기",9%,IF(C89="모니터",7%)))</f>
        <v>7.0000000000000007E-2</v>
      </c>
      <c r="U88" s="31">
        <v>0</v>
      </c>
      <c r="V88" s="31">
        <v>0</v>
      </c>
      <c r="W88" s="31">
        <f>IF(G88=0%,20%,0%)</f>
        <v>0</v>
      </c>
      <c r="X88" s="30">
        <v>0</v>
      </c>
      <c r="Y88" s="30">
        <v>1</v>
      </c>
      <c r="Z88" s="53">
        <v>1</v>
      </c>
      <c r="AA88" s="29">
        <v>0.5</v>
      </c>
      <c r="AB88" s="107"/>
      <c r="AC88" s="107"/>
      <c r="AD88" s="107"/>
      <c r="AE88" s="107"/>
      <c r="AF88" s="107"/>
      <c r="AG88" s="117"/>
      <c r="AH88" s="119"/>
      <c r="AI88" s="121"/>
      <c r="AJ88" s="55" t="s">
        <v>52</v>
      </c>
      <c r="AK88" s="56">
        <f>AJ87-AK87</f>
        <v>1.1906893464637136E-3</v>
      </c>
      <c r="AM88" s="107"/>
      <c r="AN88" s="107"/>
      <c r="AO88" s="107"/>
      <c r="AP88" s="107"/>
      <c r="AQ88" s="107"/>
      <c r="AR88" s="107"/>
      <c r="AS88" s="39"/>
      <c r="AT88" s="107"/>
      <c r="AU88" s="117"/>
      <c r="AV88" s="107"/>
      <c r="AW88" s="107"/>
      <c r="AY88" s="109"/>
      <c r="AZ88" s="109"/>
      <c r="BB88" s="107"/>
    </row>
    <row r="89" spans="1:54" ht="27" customHeight="1" x14ac:dyDescent="0.3">
      <c r="A89" s="28" t="s">
        <v>93</v>
      </c>
      <c r="B89" s="38" t="s">
        <v>35</v>
      </c>
      <c r="C89" s="27" t="s">
        <v>0</v>
      </c>
      <c r="D89" s="26">
        <v>4660412701</v>
      </c>
      <c r="E89" s="25">
        <v>6702000</v>
      </c>
      <c r="F89" s="24">
        <f>ROUNDDOWN(E89/(1-F88),-1)</f>
        <v>6702000</v>
      </c>
      <c r="G89" s="110">
        <f>ROUNDDOWN(IF(F89*G88&gt;H88,H88,F89*G88),-1)</f>
        <v>402120</v>
      </c>
      <c r="H89" s="111"/>
      <c r="I89" s="112">
        <f>ROUNDDOWN(IF(F89*I88&gt;J88,J88,F89*I88),-1)</f>
        <v>100000</v>
      </c>
      <c r="J89" s="113"/>
      <c r="K89" s="112">
        <f>ROUNDDOWN(IF(F89*K88&gt;L88,L88,F89*K88),-1)</f>
        <v>300000</v>
      </c>
      <c r="L89" s="113"/>
      <c r="M89" s="110">
        <f>ROUNDDOWN(IF(Q89*M88&gt;N88,N88,Q89*M88),-1)</f>
        <v>150000</v>
      </c>
      <c r="N89" s="111"/>
      <c r="O89" s="110">
        <f>ROUNDDOWN(IF(F89*O88&gt;P88,P88,F89*O88),-1)</f>
        <v>0</v>
      </c>
      <c r="P89" s="111"/>
      <c r="Q89" s="23">
        <f>F89-G89-I89-K89</f>
        <v>5899880</v>
      </c>
      <c r="R89" s="22">
        <f>F89-G89-I89-K89-M89-O89</f>
        <v>5749880</v>
      </c>
      <c r="S89" s="21"/>
      <c r="T89" s="20">
        <f>F89*T88</f>
        <v>469140.00000000006</v>
      </c>
      <c r="U89" s="20">
        <f>F89*U88</f>
        <v>0</v>
      </c>
      <c r="V89" s="20">
        <f>(F89-I89)*V88</f>
        <v>0</v>
      </c>
      <c r="W89" s="19">
        <f>(F89*F88)*W88</f>
        <v>0</v>
      </c>
      <c r="X89" s="19">
        <f>G89*X88</f>
        <v>0</v>
      </c>
      <c r="Y89" s="19">
        <f>I89*Y88</f>
        <v>100000</v>
      </c>
      <c r="Z89" s="19">
        <f>K89*Z88</f>
        <v>300000</v>
      </c>
      <c r="AA89" s="19">
        <f>M89*AA88</f>
        <v>75000</v>
      </c>
      <c r="AB89" s="19">
        <v>0</v>
      </c>
      <c r="AC89" s="16">
        <v>15000</v>
      </c>
      <c r="AD89" s="18">
        <f>F89-T89-U89-V89-W89-AA89-X89-Y89-Z89-AB89</f>
        <v>5757860</v>
      </c>
      <c r="AE89" s="18">
        <f>F89-T89-U89-V89-W89-X89-Y89-Z89-AA89-AB89-AC89</f>
        <v>5742860</v>
      </c>
      <c r="AF89" s="17">
        <f>AE89-AG89</f>
        <v>274860</v>
      </c>
      <c r="AG89" s="16">
        <v>5468000</v>
      </c>
      <c r="AH89" s="15">
        <f>AF89/AG89</f>
        <v>5.026700804681785E-2</v>
      </c>
      <c r="AI89" s="14">
        <f>1-R89/(AG89-AM89-AN89-AO89)</f>
        <v>-5.1550841258229729E-2</v>
      </c>
      <c r="AJ89" s="114">
        <f>(1-R89/F89)-(1-(AD89)/F89)</f>
        <v>1.1906893464637136E-3</v>
      </c>
      <c r="AK89" s="115"/>
      <c r="AM89" s="13">
        <v>0</v>
      </c>
      <c r="AN89" s="12">
        <f>X89*AN88</f>
        <v>0</v>
      </c>
      <c r="AO89" s="12">
        <v>0</v>
      </c>
      <c r="AP89" s="12"/>
      <c r="AQ89" s="11">
        <f>AE89-(AG89-AM89-AN89-AO89-AP89)</f>
        <v>274860</v>
      </c>
      <c r="AR89" s="8">
        <f>AQ89/AG89</f>
        <v>5.026700804681785E-2</v>
      </c>
      <c r="AT89" s="10">
        <v>0</v>
      </c>
      <c r="AU89" s="10">
        <v>0</v>
      </c>
      <c r="AV89" s="9">
        <f>AQ89-AT89-AU89</f>
        <v>274860</v>
      </c>
      <c r="AW89" s="8">
        <f>AV89/AG89</f>
        <v>5.026700804681785E-2</v>
      </c>
      <c r="AY89" s="49"/>
      <c r="AZ89" s="50"/>
      <c r="BB89" s="6"/>
    </row>
    <row r="90" spans="1:54" x14ac:dyDescent="0.3">
      <c r="E90" s="5">
        <v>5999000</v>
      </c>
      <c r="F90" s="4">
        <f>ROUNDDOWN(E90/(1-F88),-1)</f>
        <v>5999000</v>
      </c>
      <c r="G90" s="138">
        <f>ROUNDDOWN(IF(F90*G88&gt;H88,H88,F90*G88),-1)</f>
        <v>359940</v>
      </c>
      <c r="H90" s="138"/>
      <c r="J90" s="54">
        <f>F89*4%</f>
        <v>268080</v>
      </c>
      <c r="R90" s="4">
        <v>4779840</v>
      </c>
      <c r="X90" s="3">
        <f>G90*X88</f>
        <v>0</v>
      </c>
      <c r="Y90" s="3"/>
      <c r="Z90" s="3"/>
    </row>
    <row r="91" spans="1:54" x14ac:dyDescent="0.3">
      <c r="E91" s="5"/>
      <c r="F91" s="4"/>
      <c r="G91" s="89"/>
      <c r="H91" s="89"/>
      <c r="J91" s="54"/>
      <c r="R91" s="4"/>
      <c r="X91" s="3"/>
      <c r="Y91" s="3"/>
      <c r="Z91" s="3"/>
    </row>
    <row r="92" spans="1:54" x14ac:dyDescent="0.3">
      <c r="E92" s="5"/>
      <c r="F92" s="4"/>
      <c r="G92" s="54"/>
      <c r="H92" s="54"/>
      <c r="J92" s="54"/>
      <c r="R92" s="4"/>
      <c r="X92" s="3"/>
      <c r="Y92" s="3"/>
      <c r="Z92" s="3"/>
    </row>
    <row r="93" spans="1:54" ht="27" customHeight="1" x14ac:dyDescent="0.3">
      <c r="A93" s="124" t="s">
        <v>34</v>
      </c>
      <c r="B93" s="127">
        <v>6299000</v>
      </c>
      <c r="C93" s="128"/>
      <c r="D93" s="128"/>
      <c r="E93" s="128"/>
      <c r="F93" s="128"/>
      <c r="G93" s="128"/>
      <c r="H93" s="128"/>
      <c r="I93" s="128"/>
      <c r="J93" s="128"/>
      <c r="K93" s="128"/>
      <c r="L93" s="128"/>
      <c r="M93" s="128"/>
      <c r="N93" s="128"/>
      <c r="O93" s="128"/>
      <c r="P93" s="128"/>
      <c r="Q93" s="128"/>
      <c r="R93" s="129"/>
      <c r="T93" s="130" t="s">
        <v>33</v>
      </c>
      <c r="U93" s="131"/>
      <c r="V93" s="131"/>
      <c r="W93" s="131"/>
      <c r="X93" s="131"/>
      <c r="Y93" s="131"/>
      <c r="Z93" s="131"/>
      <c r="AA93" s="131"/>
      <c r="AB93" s="131"/>
      <c r="AC93" s="131"/>
      <c r="AD93" s="131"/>
      <c r="AE93" s="131"/>
      <c r="AF93" s="131"/>
      <c r="AG93" s="131"/>
      <c r="AH93" s="132"/>
      <c r="AI93" s="37"/>
      <c r="AM93" s="130" t="s">
        <v>32</v>
      </c>
      <c r="AN93" s="131"/>
      <c r="AO93" s="131"/>
      <c r="AP93" s="131"/>
      <c r="AQ93" s="131"/>
      <c r="AR93" s="132"/>
      <c r="AT93" s="130" t="s">
        <v>31</v>
      </c>
      <c r="AU93" s="131"/>
      <c r="AV93" s="131"/>
      <c r="AW93" s="132"/>
      <c r="AY93" s="47" t="s">
        <v>36</v>
      </c>
      <c r="AZ93" s="48"/>
      <c r="BB93" s="36"/>
    </row>
    <row r="94" spans="1:54" ht="32.25" customHeight="1" x14ac:dyDescent="0.3">
      <c r="A94" s="125"/>
      <c r="B94" s="133" t="s">
        <v>30</v>
      </c>
      <c r="C94" s="133" t="s">
        <v>29</v>
      </c>
      <c r="D94" s="116" t="s">
        <v>28</v>
      </c>
      <c r="E94" s="116" t="s">
        <v>27</v>
      </c>
      <c r="F94" s="34" t="s">
        <v>26</v>
      </c>
      <c r="G94" s="122" t="s">
        <v>63</v>
      </c>
      <c r="H94" s="123"/>
      <c r="I94" s="122" t="s">
        <v>50</v>
      </c>
      <c r="J94" s="123"/>
      <c r="K94" s="122" t="s">
        <v>62</v>
      </c>
      <c r="L94" s="123"/>
      <c r="M94" s="122" t="s">
        <v>25</v>
      </c>
      <c r="N94" s="123"/>
      <c r="O94" s="122" t="s">
        <v>24</v>
      </c>
      <c r="P94" s="123"/>
      <c r="Q94" s="106" t="s">
        <v>23</v>
      </c>
      <c r="R94" s="106" t="s">
        <v>22</v>
      </c>
      <c r="S94" s="21"/>
      <c r="T94" s="34" t="s">
        <v>21</v>
      </c>
      <c r="U94" s="34" t="s">
        <v>20</v>
      </c>
      <c r="V94" s="34" t="s">
        <v>95</v>
      </c>
      <c r="W94" s="34" t="s">
        <v>19</v>
      </c>
      <c r="X94" s="34" t="s">
        <v>18</v>
      </c>
      <c r="Y94" s="34" t="s">
        <v>48</v>
      </c>
      <c r="Z94" s="34" t="s">
        <v>49</v>
      </c>
      <c r="AA94" s="34" t="s">
        <v>17</v>
      </c>
      <c r="AB94" s="106" t="s">
        <v>16</v>
      </c>
      <c r="AC94" s="106" t="s">
        <v>15</v>
      </c>
      <c r="AD94" s="106" t="s">
        <v>14</v>
      </c>
      <c r="AE94" s="106" t="s">
        <v>13</v>
      </c>
      <c r="AF94" s="106" t="s">
        <v>12</v>
      </c>
      <c r="AG94" s="116" t="s">
        <v>11</v>
      </c>
      <c r="AH94" s="118" t="s">
        <v>10</v>
      </c>
      <c r="AI94" s="120" t="s">
        <v>9</v>
      </c>
      <c r="AJ94" s="35">
        <f>(1-R96/F96)</f>
        <v>0.13893226176808271</v>
      </c>
      <c r="AK94" s="35">
        <f>1-(AD96+AM96)/F96</f>
        <v>0.13816877152698048</v>
      </c>
      <c r="AM94" s="106" t="s">
        <v>8</v>
      </c>
      <c r="AN94" s="106" t="s">
        <v>7</v>
      </c>
      <c r="AO94" s="106" t="s">
        <v>37</v>
      </c>
      <c r="AP94" s="106" t="s">
        <v>38</v>
      </c>
      <c r="AQ94" s="106" t="s">
        <v>6</v>
      </c>
      <c r="AR94" s="106" t="s">
        <v>5</v>
      </c>
      <c r="AT94" s="106" t="s">
        <v>4</v>
      </c>
      <c r="AU94" s="106" t="s">
        <v>3</v>
      </c>
      <c r="AV94" s="106" t="s">
        <v>2</v>
      </c>
      <c r="AW94" s="106" t="s">
        <v>1</v>
      </c>
      <c r="AY94" s="108"/>
      <c r="AZ94" s="108"/>
      <c r="BB94" s="106"/>
    </row>
    <row r="95" spans="1:54" ht="27" customHeight="1" x14ac:dyDescent="0.3">
      <c r="A95" s="126"/>
      <c r="B95" s="134"/>
      <c r="C95" s="134"/>
      <c r="D95" s="117"/>
      <c r="E95" s="117"/>
      <c r="F95" s="31">
        <v>0</v>
      </c>
      <c r="G95" s="33">
        <v>0.06</v>
      </c>
      <c r="H95" s="32">
        <v>1000000</v>
      </c>
      <c r="I95" s="31">
        <v>1</v>
      </c>
      <c r="J95" s="32">
        <v>100000</v>
      </c>
      <c r="K95" s="31">
        <v>1</v>
      </c>
      <c r="L95" s="32">
        <v>300000</v>
      </c>
      <c r="M95" s="31">
        <v>7.0000000000000007E-2</v>
      </c>
      <c r="N95" s="32">
        <v>150000</v>
      </c>
      <c r="O95" s="31">
        <v>0</v>
      </c>
      <c r="P95" s="32">
        <v>0</v>
      </c>
      <c r="Q95" s="107"/>
      <c r="R95" s="107"/>
      <c r="S95" s="21"/>
      <c r="T95" s="31">
        <f>IF(C96="노트북",7%,IF(C96="저장&amp;주변기기",9%,IF(C96="모니터",7%)))</f>
        <v>7.0000000000000007E-2</v>
      </c>
      <c r="U95" s="31">
        <v>0</v>
      </c>
      <c r="V95" s="31">
        <v>0</v>
      </c>
      <c r="W95" s="31">
        <f>IF(G95=0%,20%,0%)</f>
        <v>0</v>
      </c>
      <c r="X95" s="30">
        <v>0</v>
      </c>
      <c r="Y95" s="30">
        <v>1</v>
      </c>
      <c r="Z95" s="53">
        <v>1</v>
      </c>
      <c r="AA95" s="29">
        <v>0.5</v>
      </c>
      <c r="AB95" s="107"/>
      <c r="AC95" s="107"/>
      <c r="AD95" s="107"/>
      <c r="AE95" s="107"/>
      <c r="AF95" s="107"/>
      <c r="AG95" s="117"/>
      <c r="AH95" s="119"/>
      <c r="AI95" s="121"/>
      <c r="AJ95" s="55" t="s">
        <v>52</v>
      </c>
      <c r="AK95" s="56">
        <f>AJ94-AK94</f>
        <v>7.6349024110222707E-4</v>
      </c>
      <c r="AM95" s="107"/>
      <c r="AN95" s="107"/>
      <c r="AO95" s="107"/>
      <c r="AP95" s="107"/>
      <c r="AQ95" s="107"/>
      <c r="AR95" s="107"/>
      <c r="AS95" s="39"/>
      <c r="AT95" s="107"/>
      <c r="AU95" s="117"/>
      <c r="AV95" s="107"/>
      <c r="AW95" s="107"/>
      <c r="AY95" s="109"/>
      <c r="AZ95" s="109"/>
      <c r="BB95" s="107"/>
    </row>
    <row r="96" spans="1:54" ht="27" customHeight="1" x14ac:dyDescent="0.3">
      <c r="A96" s="28" t="s">
        <v>94</v>
      </c>
      <c r="B96" s="38" t="s">
        <v>35</v>
      </c>
      <c r="C96" s="27" t="s">
        <v>0</v>
      </c>
      <c r="D96" s="26">
        <v>4660417885</v>
      </c>
      <c r="E96" s="25">
        <v>6968000</v>
      </c>
      <c r="F96" s="24">
        <f>ROUNDDOWN(E96/(1-F95),-1)</f>
        <v>6968000</v>
      </c>
      <c r="G96" s="110">
        <f>ROUNDDOWN(IF(F96*G95&gt;H95,H95,F96*G95),-1)</f>
        <v>418080</v>
      </c>
      <c r="H96" s="111"/>
      <c r="I96" s="112">
        <f>ROUNDDOWN(IF(F96*I95&gt;J95,J95,F96*I95),-1)</f>
        <v>100000</v>
      </c>
      <c r="J96" s="113"/>
      <c r="K96" s="112">
        <f>ROUNDDOWN(IF(F96*K95&gt;L95,L95,F96*K95),-1)</f>
        <v>300000</v>
      </c>
      <c r="L96" s="113"/>
      <c r="M96" s="110">
        <f>ROUNDDOWN(IF(Q96*M95&gt;N95,N95,Q96*M95),-1)</f>
        <v>150000</v>
      </c>
      <c r="N96" s="111"/>
      <c r="O96" s="110">
        <f>ROUNDDOWN(IF(F96*O95&gt;P95,P95,F96*O95),-1)</f>
        <v>0</v>
      </c>
      <c r="P96" s="111"/>
      <c r="Q96" s="23">
        <f>F96-G96-I96-K96</f>
        <v>6149920</v>
      </c>
      <c r="R96" s="22">
        <f>F96-G96-I96-K96-M96-O96</f>
        <v>5999920</v>
      </c>
      <c r="S96" s="21"/>
      <c r="T96" s="20">
        <f>F96*T95</f>
        <v>487760.00000000006</v>
      </c>
      <c r="U96" s="20">
        <f>F96*U95</f>
        <v>0</v>
      </c>
      <c r="V96" s="20">
        <f>(F96-I96)*V95</f>
        <v>0</v>
      </c>
      <c r="W96" s="19">
        <f>(F96*F95)*W95</f>
        <v>0</v>
      </c>
      <c r="X96" s="19">
        <f>G96*X95</f>
        <v>0</v>
      </c>
      <c r="Y96" s="19">
        <f>I96*Y95</f>
        <v>100000</v>
      </c>
      <c r="Z96" s="19">
        <f>K96*Z95</f>
        <v>300000</v>
      </c>
      <c r="AA96" s="19">
        <f>M96*AA95</f>
        <v>75000</v>
      </c>
      <c r="AB96" s="19">
        <v>0</v>
      </c>
      <c r="AC96" s="16">
        <v>15000</v>
      </c>
      <c r="AD96" s="18">
        <f>F96-T96-U96-V96-W96-AA96-X96-Y96-Z96-AB96</f>
        <v>6005240</v>
      </c>
      <c r="AE96" s="18">
        <f>F96-T96-U96-V96-W96-X96-Y96-Z96-AA96-AB96-AC96</f>
        <v>5990240</v>
      </c>
      <c r="AF96" s="17">
        <f>AE96-AG96</f>
        <v>1736240</v>
      </c>
      <c r="AG96" s="16">
        <v>4254000</v>
      </c>
      <c r="AH96" s="15">
        <f>AF96/AG96</f>
        <v>0.40814292430653504</v>
      </c>
      <c r="AI96" s="14">
        <f>1-R96/(AG96-AM96-AN96-AO96)</f>
        <v>-0.41041842971321119</v>
      </c>
      <c r="AJ96" s="114">
        <f>(1-R96/F96)-(1-(AD96)/F96)</f>
        <v>7.6349024110222707E-4</v>
      </c>
      <c r="AK96" s="115"/>
      <c r="AM96" s="13">
        <v>0</v>
      </c>
      <c r="AN96" s="12">
        <f>X96*AN95</f>
        <v>0</v>
      </c>
      <c r="AO96" s="12">
        <v>0</v>
      </c>
      <c r="AP96" s="12"/>
      <c r="AQ96" s="11">
        <f>AE96-(AG96-AM96-AN96-AO96-AP96)</f>
        <v>1736240</v>
      </c>
      <c r="AR96" s="8">
        <f>AQ96/AG96</f>
        <v>0.40814292430653504</v>
      </c>
      <c r="AT96" s="10">
        <v>0</v>
      </c>
      <c r="AU96" s="10">
        <v>0</v>
      </c>
      <c r="AV96" s="9">
        <f>AQ96-AT96-AU96</f>
        <v>1736240</v>
      </c>
      <c r="AW96" s="8">
        <f>AV96/AG96</f>
        <v>0.40814292430653504</v>
      </c>
      <c r="AY96" s="49"/>
      <c r="AZ96" s="50"/>
      <c r="BB96" s="6"/>
    </row>
    <row r="97" spans="1:54" x14ac:dyDescent="0.3">
      <c r="E97" s="5">
        <v>6299000</v>
      </c>
      <c r="F97" s="4">
        <f>ROUNDDOWN(E97/(1-F95),-1)</f>
        <v>6299000</v>
      </c>
      <c r="G97" s="138">
        <f>ROUNDDOWN(IF(F97*G95&gt;H95,H95,F97*G95),-1)</f>
        <v>377940</v>
      </c>
      <c r="H97" s="138"/>
      <c r="J97" s="54">
        <f>F96*4%</f>
        <v>278720</v>
      </c>
      <c r="R97" s="4">
        <v>4779840</v>
      </c>
      <c r="X97" s="3">
        <f>G97*X95</f>
        <v>0</v>
      </c>
      <c r="Y97" s="3"/>
      <c r="Z97" s="3"/>
    </row>
    <row r="98" spans="1:54" x14ac:dyDescent="0.3">
      <c r="E98" s="5"/>
      <c r="F98" s="4"/>
      <c r="G98" s="42"/>
      <c r="H98" s="42"/>
      <c r="J98" s="54"/>
      <c r="R98" s="4"/>
      <c r="X98" s="3"/>
      <c r="Y98" s="3"/>
      <c r="Z98" s="3"/>
    </row>
    <row r="99" spans="1:54" x14ac:dyDescent="0.3">
      <c r="E99" s="5"/>
      <c r="F99" s="4"/>
      <c r="G99" s="42"/>
      <c r="H99" s="42"/>
      <c r="J99" s="54"/>
      <c r="R99" s="4"/>
      <c r="X99" s="3"/>
      <c r="Y99" s="3"/>
      <c r="Z99" s="3"/>
    </row>
    <row r="100" spans="1:54" ht="27" customHeight="1" x14ac:dyDescent="0.3">
      <c r="A100" s="124" t="s">
        <v>34</v>
      </c>
      <c r="B100" s="127"/>
      <c r="C100" s="128"/>
      <c r="D100" s="128"/>
      <c r="E100" s="128"/>
      <c r="F100" s="128"/>
      <c r="G100" s="128"/>
      <c r="H100" s="128"/>
      <c r="I100" s="128"/>
      <c r="J100" s="128"/>
      <c r="K100" s="128"/>
      <c r="L100" s="128"/>
      <c r="M100" s="128"/>
      <c r="N100" s="128"/>
      <c r="O100" s="128"/>
      <c r="P100" s="128"/>
      <c r="Q100" s="128"/>
      <c r="R100" s="129"/>
      <c r="T100" s="130" t="s">
        <v>33</v>
      </c>
      <c r="U100" s="131"/>
      <c r="V100" s="131"/>
      <c r="W100" s="131"/>
      <c r="X100" s="131"/>
      <c r="Y100" s="131"/>
      <c r="Z100" s="131"/>
      <c r="AA100" s="131"/>
      <c r="AB100" s="131"/>
      <c r="AC100" s="131"/>
      <c r="AD100" s="131"/>
      <c r="AE100" s="131"/>
      <c r="AF100" s="131"/>
      <c r="AG100" s="131"/>
      <c r="AH100" s="132"/>
      <c r="AI100" s="37"/>
      <c r="AM100" s="130" t="s">
        <v>32</v>
      </c>
      <c r="AN100" s="131"/>
      <c r="AO100" s="131"/>
      <c r="AP100" s="131"/>
      <c r="AQ100" s="131"/>
      <c r="AR100" s="132"/>
      <c r="AT100" s="130" t="s">
        <v>31</v>
      </c>
      <c r="AU100" s="131"/>
      <c r="AV100" s="131"/>
      <c r="AW100" s="132"/>
      <c r="AY100" s="47" t="s">
        <v>36</v>
      </c>
      <c r="AZ100" s="48"/>
      <c r="BB100" s="36"/>
    </row>
    <row r="101" spans="1:54" ht="32.25" customHeight="1" x14ac:dyDescent="0.3">
      <c r="A101" s="125"/>
      <c r="B101" s="133" t="s">
        <v>30</v>
      </c>
      <c r="C101" s="133" t="s">
        <v>29</v>
      </c>
      <c r="D101" s="116" t="s">
        <v>28</v>
      </c>
      <c r="E101" s="116" t="s">
        <v>27</v>
      </c>
      <c r="F101" s="34" t="s">
        <v>26</v>
      </c>
      <c r="G101" s="122" t="s">
        <v>63</v>
      </c>
      <c r="H101" s="123"/>
      <c r="I101" s="122" t="s">
        <v>50</v>
      </c>
      <c r="J101" s="123"/>
      <c r="K101" s="122" t="s">
        <v>62</v>
      </c>
      <c r="L101" s="123"/>
      <c r="M101" s="122" t="s">
        <v>25</v>
      </c>
      <c r="N101" s="123"/>
      <c r="O101" s="122" t="s">
        <v>24</v>
      </c>
      <c r="P101" s="123"/>
      <c r="Q101" s="106" t="s">
        <v>23</v>
      </c>
      <c r="R101" s="106" t="s">
        <v>22</v>
      </c>
      <c r="S101" s="21"/>
      <c r="T101" s="34" t="s">
        <v>21</v>
      </c>
      <c r="U101" s="34" t="s">
        <v>20</v>
      </c>
      <c r="V101" s="34" t="s">
        <v>95</v>
      </c>
      <c r="W101" s="34" t="s">
        <v>19</v>
      </c>
      <c r="X101" s="34" t="s">
        <v>18</v>
      </c>
      <c r="Y101" s="34" t="s">
        <v>48</v>
      </c>
      <c r="Z101" s="34" t="s">
        <v>49</v>
      </c>
      <c r="AA101" s="34" t="s">
        <v>17</v>
      </c>
      <c r="AB101" s="106" t="s">
        <v>16</v>
      </c>
      <c r="AC101" s="106" t="s">
        <v>15</v>
      </c>
      <c r="AD101" s="106" t="s">
        <v>14</v>
      </c>
      <c r="AE101" s="106" t="s">
        <v>13</v>
      </c>
      <c r="AF101" s="106" t="s">
        <v>12</v>
      </c>
      <c r="AG101" s="116" t="s">
        <v>11</v>
      </c>
      <c r="AH101" s="118" t="s">
        <v>10</v>
      </c>
      <c r="AI101" s="120" t="s">
        <v>9</v>
      </c>
      <c r="AJ101" s="35">
        <f>(1-R103/F103)</f>
        <v>0.17365984707584214</v>
      </c>
      <c r="AK101" s="35">
        <f>1-(AD103+AM103)/F103</f>
        <v>0.1681607770200455</v>
      </c>
      <c r="AM101" s="106" t="s">
        <v>8</v>
      </c>
      <c r="AN101" s="106" t="s">
        <v>7</v>
      </c>
      <c r="AO101" s="106" t="s">
        <v>37</v>
      </c>
      <c r="AP101" s="106" t="s">
        <v>38</v>
      </c>
      <c r="AQ101" s="106" t="s">
        <v>6</v>
      </c>
      <c r="AR101" s="106" t="s">
        <v>5</v>
      </c>
      <c r="AT101" s="106" t="s">
        <v>4</v>
      </c>
      <c r="AU101" s="106" t="s">
        <v>3</v>
      </c>
      <c r="AV101" s="106" t="s">
        <v>2</v>
      </c>
      <c r="AW101" s="106" t="s">
        <v>1</v>
      </c>
      <c r="AY101" s="108"/>
      <c r="AZ101" s="108"/>
      <c r="BB101" s="106"/>
    </row>
    <row r="102" spans="1:54" ht="27" customHeight="1" x14ac:dyDescent="0.3">
      <c r="A102" s="126"/>
      <c r="B102" s="134"/>
      <c r="C102" s="134"/>
      <c r="D102" s="117"/>
      <c r="E102" s="117"/>
      <c r="F102" s="31">
        <v>0</v>
      </c>
      <c r="G102" s="33">
        <v>0.06</v>
      </c>
      <c r="H102" s="32">
        <v>1000000</v>
      </c>
      <c r="I102" s="31">
        <v>1</v>
      </c>
      <c r="J102" s="32">
        <v>100000</v>
      </c>
      <c r="K102" s="31">
        <v>1</v>
      </c>
      <c r="L102" s="32">
        <v>300000</v>
      </c>
      <c r="M102" s="31">
        <v>7.0000000000000007E-2</v>
      </c>
      <c r="N102" s="32">
        <v>150000</v>
      </c>
      <c r="O102" s="31">
        <v>0</v>
      </c>
      <c r="P102" s="32">
        <v>0</v>
      </c>
      <c r="Q102" s="107"/>
      <c r="R102" s="107"/>
      <c r="S102" s="21"/>
      <c r="T102" s="31">
        <f>IF(C103="노트북",7%,IF(C103="저장&amp;주변기기",9%,IF(C103="모니터",7%)))</f>
        <v>7.0000000000000007E-2</v>
      </c>
      <c r="U102" s="31">
        <v>0</v>
      </c>
      <c r="V102" s="31">
        <v>0</v>
      </c>
      <c r="W102" s="31">
        <f>IF(G102=0%,20%,0%)</f>
        <v>0</v>
      </c>
      <c r="X102" s="30">
        <v>0</v>
      </c>
      <c r="Y102" s="30">
        <v>1</v>
      </c>
      <c r="Z102" s="53">
        <v>1</v>
      </c>
      <c r="AA102" s="29">
        <v>0.5</v>
      </c>
      <c r="AB102" s="107"/>
      <c r="AC102" s="107"/>
      <c r="AD102" s="107"/>
      <c r="AE102" s="107"/>
      <c r="AF102" s="107"/>
      <c r="AG102" s="117"/>
      <c r="AH102" s="119"/>
      <c r="AI102" s="121"/>
      <c r="AJ102" s="55" t="s">
        <v>52</v>
      </c>
      <c r="AK102" s="56">
        <f>AJ101-AK101</f>
        <v>5.4990700557966399E-3</v>
      </c>
      <c r="AM102" s="107"/>
      <c r="AN102" s="107"/>
      <c r="AO102" s="107"/>
      <c r="AP102" s="107"/>
      <c r="AQ102" s="107"/>
      <c r="AR102" s="107"/>
      <c r="AS102" s="39"/>
      <c r="AT102" s="107"/>
      <c r="AU102" s="117"/>
      <c r="AV102" s="107"/>
      <c r="AW102" s="107"/>
      <c r="AY102" s="109"/>
      <c r="AZ102" s="109"/>
      <c r="BB102" s="107"/>
    </row>
    <row r="103" spans="1:54" ht="27" customHeight="1" x14ac:dyDescent="0.3">
      <c r="A103" s="28" t="s">
        <v>111</v>
      </c>
      <c r="B103" s="38" t="s">
        <v>35</v>
      </c>
      <c r="C103" s="27" t="s">
        <v>0</v>
      </c>
      <c r="D103" s="26"/>
      <c r="E103" s="25">
        <v>4839000</v>
      </c>
      <c r="F103" s="24">
        <f>ROUNDDOWN(E103/(1-F102),-1)</f>
        <v>4839000</v>
      </c>
      <c r="G103" s="110">
        <f>ROUNDDOWN(IF(F103*G102&gt;H102,H102,F103*G102),-1)</f>
        <v>290340</v>
      </c>
      <c r="H103" s="111"/>
      <c r="I103" s="112">
        <f>ROUNDDOWN(IF(F103*I102&gt;J102,J102,F103*I102),-1)</f>
        <v>100000</v>
      </c>
      <c r="J103" s="113"/>
      <c r="K103" s="112">
        <f>ROUNDDOWN(IF(F103*K102&gt;L102,L102,F103*K102),-1)</f>
        <v>300000</v>
      </c>
      <c r="L103" s="113"/>
      <c r="M103" s="110">
        <f>ROUNDDOWN(IF(Q103*M102&gt;N102,N102,Q103*M102),-1)</f>
        <v>150000</v>
      </c>
      <c r="N103" s="111"/>
      <c r="O103" s="110">
        <f>ROUNDDOWN(IF(F103*O102&gt;P102,P102,F103*O102),-1)</f>
        <v>0</v>
      </c>
      <c r="P103" s="111"/>
      <c r="Q103" s="23">
        <f>F103-G103-I103-K103</f>
        <v>4148660</v>
      </c>
      <c r="R103" s="22">
        <f>F103-G103-I103-K103-M103-O103</f>
        <v>3998660</v>
      </c>
      <c r="S103" s="21"/>
      <c r="T103" s="20">
        <f>F103*T102</f>
        <v>338730.00000000006</v>
      </c>
      <c r="U103" s="20">
        <f>F103*U102</f>
        <v>0</v>
      </c>
      <c r="V103" s="20">
        <f>(F103-I103)*V102</f>
        <v>0</v>
      </c>
      <c r="W103" s="19">
        <f>(F103*F102)*W102</f>
        <v>0</v>
      </c>
      <c r="X103" s="19">
        <f>G103*X102</f>
        <v>0</v>
      </c>
      <c r="Y103" s="19">
        <f>I103*Y102</f>
        <v>100000</v>
      </c>
      <c r="Z103" s="19">
        <f>K103*Z102</f>
        <v>300000</v>
      </c>
      <c r="AA103" s="19">
        <f>M103*AA102</f>
        <v>75000</v>
      </c>
      <c r="AB103" s="19">
        <v>0</v>
      </c>
      <c r="AC103" s="16">
        <v>15000</v>
      </c>
      <c r="AD103" s="18">
        <f>F103-T103-U103-V103-W103-AA103-X103-Y103-Z103-AB103</f>
        <v>4025270</v>
      </c>
      <c r="AE103" s="18">
        <f>F103-T103-U103-V103-W103-X103-Y103-Z103-AA103-AB103-AC103</f>
        <v>4010270</v>
      </c>
      <c r="AF103" s="17">
        <f>AE103-AG103</f>
        <v>219270</v>
      </c>
      <c r="AG103" s="16">
        <v>3791000</v>
      </c>
      <c r="AH103" s="15">
        <f>AF103/AG103</f>
        <v>5.7839620152993931E-2</v>
      </c>
      <c r="AI103" s="14">
        <f>1-R103/(AG103-AM103-AN103-AO103)</f>
        <v>-5.477710366657873E-2</v>
      </c>
      <c r="AJ103" s="114">
        <f>(1-R103/F103)-(1-(AD103)/F103)</f>
        <v>5.4990700557966399E-3</v>
      </c>
      <c r="AK103" s="115"/>
      <c r="AM103" s="13">
        <v>0</v>
      </c>
      <c r="AN103" s="12">
        <f>X103*AN102</f>
        <v>0</v>
      </c>
      <c r="AO103" s="12">
        <v>0</v>
      </c>
      <c r="AP103" s="12"/>
      <c r="AQ103" s="11">
        <f>AE103-(AG103-AM103-AN103-AO103-AP103)</f>
        <v>219270</v>
      </c>
      <c r="AR103" s="8">
        <f>AQ103/AG103</f>
        <v>5.7839620152993931E-2</v>
      </c>
      <c r="AT103" s="10">
        <v>0</v>
      </c>
      <c r="AU103" s="10">
        <v>0</v>
      </c>
      <c r="AV103" s="9">
        <f>AQ103-AT103-AU103</f>
        <v>219270</v>
      </c>
      <c r="AW103" s="8">
        <f>AV103/AG103</f>
        <v>5.7839620152993931E-2</v>
      </c>
      <c r="AY103" s="49"/>
      <c r="AZ103" s="50"/>
      <c r="BB103" s="6"/>
    </row>
    <row r="104" spans="1:54" x14ac:dyDescent="0.3">
      <c r="E104" s="5">
        <v>4099000</v>
      </c>
      <c r="F104" s="4">
        <f>ROUNDDOWN(E104/(1-F102),-1)</f>
        <v>4099000</v>
      </c>
      <c r="G104" s="138">
        <f>ROUNDDOWN(IF(F104*G102&gt;H102,H102,F104*G102),-1)</f>
        <v>245940</v>
      </c>
      <c r="H104" s="138"/>
      <c r="J104" s="54">
        <f>F103*4%</f>
        <v>193560</v>
      </c>
      <c r="R104" s="4">
        <v>4779840</v>
      </c>
      <c r="X104" s="3">
        <f>G104*X102</f>
        <v>0</v>
      </c>
      <c r="Y104" s="3"/>
      <c r="Z104" s="3"/>
      <c r="AG104" s="1" t="s">
        <v>112</v>
      </c>
    </row>
    <row r="105" spans="1:54" x14ac:dyDescent="0.3">
      <c r="E105" s="5"/>
      <c r="F105" s="4"/>
      <c r="G105" s="42"/>
      <c r="H105" s="42"/>
      <c r="J105" s="54"/>
      <c r="R105" s="4"/>
      <c r="X105" s="3"/>
      <c r="Y105" s="3"/>
      <c r="Z105" s="3"/>
    </row>
    <row r="106" spans="1:54" x14ac:dyDescent="0.3">
      <c r="E106" s="5"/>
      <c r="F106" s="4"/>
      <c r="G106" s="42"/>
      <c r="H106" s="42"/>
      <c r="J106" s="54"/>
      <c r="X106" s="3"/>
      <c r="Y106" s="3"/>
      <c r="Z106" s="3"/>
    </row>
    <row r="107" spans="1:54" x14ac:dyDescent="0.3">
      <c r="A107" s="43"/>
      <c r="B107" s="43"/>
      <c r="C107" s="43"/>
      <c r="D107" s="43"/>
      <c r="E107" s="5"/>
    </row>
    <row r="108" spans="1:54" s="67" customFormat="1" ht="19.5" x14ac:dyDescent="0.3">
      <c r="A108" s="66" t="s">
        <v>54</v>
      </c>
      <c r="D108" s="68"/>
      <c r="E108" s="69"/>
      <c r="F108" s="70"/>
      <c r="G108" s="70"/>
      <c r="U108" s="71"/>
      <c r="AD108" s="72"/>
      <c r="AE108" s="72"/>
      <c r="AF108" s="72"/>
      <c r="AG108" s="72"/>
      <c r="AV108" s="73"/>
      <c r="AW108" s="73"/>
      <c r="AX108" s="73"/>
      <c r="AY108" s="73"/>
      <c r="AZ108" s="73"/>
    </row>
    <row r="109" spans="1:54" x14ac:dyDescent="0.3">
      <c r="A109" s="43"/>
      <c r="B109" s="43"/>
      <c r="C109" s="43"/>
      <c r="D109" s="43"/>
      <c r="E109" s="5"/>
    </row>
    <row r="110" spans="1:54" ht="27" customHeight="1" x14ac:dyDescent="0.3">
      <c r="A110" s="124" t="s">
        <v>34</v>
      </c>
      <c r="B110" s="127" t="s">
        <v>70</v>
      </c>
      <c r="C110" s="128"/>
      <c r="D110" s="128"/>
      <c r="E110" s="128"/>
      <c r="F110" s="128"/>
      <c r="G110" s="128"/>
      <c r="H110" s="128"/>
      <c r="I110" s="128"/>
      <c r="J110" s="128"/>
      <c r="K110" s="128"/>
      <c r="L110" s="128"/>
      <c r="M110" s="128"/>
      <c r="N110" s="128"/>
      <c r="O110" s="128"/>
      <c r="P110" s="128"/>
      <c r="Q110" s="128"/>
      <c r="R110" s="129"/>
      <c r="T110" s="130" t="s">
        <v>33</v>
      </c>
      <c r="U110" s="131"/>
      <c r="V110" s="131"/>
      <c r="W110" s="131"/>
      <c r="X110" s="131"/>
      <c r="Y110" s="131"/>
      <c r="Z110" s="131"/>
      <c r="AA110" s="131"/>
      <c r="AB110" s="131"/>
      <c r="AC110" s="131"/>
      <c r="AD110" s="131"/>
      <c r="AE110" s="131"/>
      <c r="AF110" s="131"/>
      <c r="AG110" s="131"/>
      <c r="AH110" s="132"/>
      <c r="AI110" s="37"/>
      <c r="AM110" s="130" t="s">
        <v>32</v>
      </c>
      <c r="AN110" s="131"/>
      <c r="AO110" s="131"/>
      <c r="AP110" s="131"/>
      <c r="AQ110" s="131"/>
      <c r="AR110" s="132"/>
      <c r="AT110" s="130" t="s">
        <v>31</v>
      </c>
      <c r="AU110" s="131"/>
      <c r="AV110" s="131"/>
      <c r="AW110" s="132"/>
      <c r="AY110" s="47" t="s">
        <v>36</v>
      </c>
      <c r="AZ110" s="48"/>
      <c r="BB110" s="36"/>
    </row>
    <row r="111" spans="1:54" ht="32.25" customHeight="1" x14ac:dyDescent="0.3">
      <c r="A111" s="125"/>
      <c r="B111" s="133" t="s">
        <v>30</v>
      </c>
      <c r="C111" s="133" t="s">
        <v>29</v>
      </c>
      <c r="D111" s="116" t="s">
        <v>28</v>
      </c>
      <c r="E111" s="116" t="s">
        <v>27</v>
      </c>
      <c r="F111" s="34" t="s">
        <v>26</v>
      </c>
      <c r="G111" s="122" t="s">
        <v>63</v>
      </c>
      <c r="H111" s="123"/>
      <c r="I111" s="122" t="s">
        <v>50</v>
      </c>
      <c r="J111" s="123"/>
      <c r="K111" s="122" t="s">
        <v>62</v>
      </c>
      <c r="L111" s="123"/>
      <c r="M111" s="122" t="s">
        <v>25</v>
      </c>
      <c r="N111" s="123"/>
      <c r="O111" s="122" t="s">
        <v>24</v>
      </c>
      <c r="P111" s="123"/>
      <c r="Q111" s="106" t="s">
        <v>23</v>
      </c>
      <c r="R111" s="106" t="s">
        <v>22</v>
      </c>
      <c r="S111" s="21"/>
      <c r="T111" s="34" t="s">
        <v>21</v>
      </c>
      <c r="U111" s="34" t="s">
        <v>20</v>
      </c>
      <c r="V111" s="34" t="s">
        <v>69</v>
      </c>
      <c r="W111" s="34" t="s">
        <v>19</v>
      </c>
      <c r="X111" s="34" t="s">
        <v>18</v>
      </c>
      <c r="Y111" s="34" t="s">
        <v>48</v>
      </c>
      <c r="Z111" s="34" t="s">
        <v>49</v>
      </c>
      <c r="AA111" s="34" t="s">
        <v>17</v>
      </c>
      <c r="AB111" s="106" t="s">
        <v>16</v>
      </c>
      <c r="AC111" s="106" t="s">
        <v>15</v>
      </c>
      <c r="AD111" s="106" t="s">
        <v>14</v>
      </c>
      <c r="AE111" s="106" t="s">
        <v>13</v>
      </c>
      <c r="AF111" s="106" t="s">
        <v>12</v>
      </c>
      <c r="AG111" s="116" t="s">
        <v>11</v>
      </c>
      <c r="AH111" s="118" t="s">
        <v>10</v>
      </c>
      <c r="AI111" s="120" t="s">
        <v>9</v>
      </c>
      <c r="AJ111" s="35">
        <f>(1-R113/F113)</f>
        <v>0.26543956043956041</v>
      </c>
      <c r="AK111" s="35">
        <f>1-(AD113+AM113)/F113</f>
        <v>0.14837912087912086</v>
      </c>
      <c r="AM111" s="106" t="s">
        <v>8</v>
      </c>
      <c r="AN111" s="106" t="s">
        <v>7</v>
      </c>
      <c r="AO111" s="106" t="s">
        <v>37</v>
      </c>
      <c r="AP111" s="106" t="s">
        <v>38</v>
      </c>
      <c r="AQ111" s="106" t="s">
        <v>6</v>
      </c>
      <c r="AR111" s="106" t="s">
        <v>5</v>
      </c>
      <c r="AT111" s="106" t="s">
        <v>4</v>
      </c>
      <c r="AU111" s="106" t="s">
        <v>3</v>
      </c>
      <c r="AV111" s="106" t="s">
        <v>2</v>
      </c>
      <c r="AW111" s="106" t="s">
        <v>1</v>
      </c>
      <c r="AY111" s="108"/>
      <c r="AZ111" s="108"/>
      <c r="BB111" s="106"/>
    </row>
    <row r="112" spans="1:54" ht="27" customHeight="1" x14ac:dyDescent="0.3">
      <c r="A112" s="126"/>
      <c r="B112" s="134"/>
      <c r="C112" s="134"/>
      <c r="D112" s="117"/>
      <c r="E112" s="117"/>
      <c r="F112" s="31">
        <v>0</v>
      </c>
      <c r="G112" s="33">
        <v>0.08</v>
      </c>
      <c r="H112" s="32">
        <v>1000000</v>
      </c>
      <c r="I112" s="31">
        <v>1</v>
      </c>
      <c r="J112" s="32">
        <v>0</v>
      </c>
      <c r="K112" s="31">
        <v>1</v>
      </c>
      <c r="L112" s="32">
        <v>200000</v>
      </c>
      <c r="M112" s="31">
        <v>7.0000000000000007E-2</v>
      </c>
      <c r="N112" s="32">
        <v>70000</v>
      </c>
      <c r="O112" s="31">
        <v>0</v>
      </c>
      <c r="P112" s="32">
        <v>0</v>
      </c>
      <c r="Q112" s="107"/>
      <c r="R112" s="107"/>
      <c r="S112" s="21"/>
      <c r="T112" s="31">
        <f>IF(C113="노트북",7%,IF(C113="저장&amp;주변기기",9%,IF(C113="모니터",7%)))</f>
        <v>7.0000000000000007E-2</v>
      </c>
      <c r="U112" s="31">
        <v>0</v>
      </c>
      <c r="V112" s="31">
        <v>0.02</v>
      </c>
      <c r="W112" s="31">
        <f>IF(G112=0%,20%,0%)</f>
        <v>0</v>
      </c>
      <c r="X112" s="30">
        <v>0</v>
      </c>
      <c r="Y112" s="30">
        <v>1</v>
      </c>
      <c r="Z112" s="53">
        <v>1</v>
      </c>
      <c r="AA112" s="29">
        <v>0.5</v>
      </c>
      <c r="AB112" s="107"/>
      <c r="AC112" s="107"/>
      <c r="AD112" s="107"/>
      <c r="AE112" s="107"/>
      <c r="AF112" s="107"/>
      <c r="AG112" s="117"/>
      <c r="AH112" s="119"/>
      <c r="AI112" s="121"/>
      <c r="AJ112" s="55" t="s">
        <v>52</v>
      </c>
      <c r="AK112" s="56">
        <f>AJ111-AK111</f>
        <v>0.11706043956043954</v>
      </c>
      <c r="AM112" s="107"/>
      <c r="AN112" s="107"/>
      <c r="AO112" s="107"/>
      <c r="AP112" s="107"/>
      <c r="AQ112" s="107"/>
      <c r="AR112" s="107"/>
      <c r="AS112" s="39"/>
      <c r="AT112" s="107"/>
      <c r="AU112" s="117"/>
      <c r="AV112" s="107"/>
      <c r="AW112" s="107"/>
      <c r="AY112" s="109"/>
      <c r="AZ112" s="109"/>
      <c r="BB112" s="107"/>
    </row>
    <row r="113" spans="1:54" ht="27" customHeight="1" x14ac:dyDescent="0.3">
      <c r="A113" s="28" t="s">
        <v>55</v>
      </c>
      <c r="B113" s="38" t="s">
        <v>35</v>
      </c>
      <c r="C113" s="27" t="s">
        <v>0</v>
      </c>
      <c r="D113" s="26">
        <v>4514791229</v>
      </c>
      <c r="E113" s="25">
        <v>1456000</v>
      </c>
      <c r="F113" s="24">
        <f>ROUNDDOWN(E113/(1-F112),-1)</f>
        <v>1456000</v>
      </c>
      <c r="G113" s="110">
        <f>ROUNDDOWN(IF(F113*G112&gt;H112,H112,F113*G112),-1)</f>
        <v>116480</v>
      </c>
      <c r="H113" s="111"/>
      <c r="I113" s="112">
        <f>ROUNDDOWN(IF(F113*I112&gt;J112,J112,F113*I112),-1)</f>
        <v>0</v>
      </c>
      <c r="J113" s="113"/>
      <c r="K113" s="112">
        <f>ROUNDDOWN(IF(F113*K112&gt;L112,L112,F113*K112),-1)</f>
        <v>200000</v>
      </c>
      <c r="L113" s="113"/>
      <c r="M113" s="110">
        <f>ROUNDDOWN(IF(Q113*M112&gt;N112,N112,Q113*M112),-1)</f>
        <v>70000</v>
      </c>
      <c r="N113" s="111"/>
      <c r="O113" s="110">
        <f>ROUNDDOWN(IF(F113*O112&gt;P112,P112,F113*O112),-1)</f>
        <v>0</v>
      </c>
      <c r="P113" s="111"/>
      <c r="Q113" s="23">
        <f>F113-G113-I113-K113</f>
        <v>1139520</v>
      </c>
      <c r="R113" s="22">
        <f>F113-G113-I113-K113-M113-O113</f>
        <v>1069520</v>
      </c>
      <c r="S113" s="21"/>
      <c r="T113" s="20">
        <f>F113*T112</f>
        <v>101920.00000000001</v>
      </c>
      <c r="U113" s="20">
        <f>F113*U112</f>
        <v>0</v>
      </c>
      <c r="V113" s="20">
        <f>(F113-I113)*V112</f>
        <v>29120</v>
      </c>
      <c r="W113" s="19">
        <f>(F113*F112)*W112</f>
        <v>0</v>
      </c>
      <c r="X113" s="19">
        <f>G113*X112</f>
        <v>0</v>
      </c>
      <c r="Y113" s="19">
        <f>I113*Y112</f>
        <v>0</v>
      </c>
      <c r="Z113" s="19">
        <f>K113*Z112</f>
        <v>200000</v>
      </c>
      <c r="AA113" s="19">
        <f>M113*AA112</f>
        <v>35000</v>
      </c>
      <c r="AB113" s="19">
        <v>0</v>
      </c>
      <c r="AC113" s="16">
        <v>8000</v>
      </c>
      <c r="AD113" s="18">
        <f>F113-T113-U113-V113-W113-AA113-X113-Y113-Z113-AB113</f>
        <v>1089960</v>
      </c>
      <c r="AE113" s="18">
        <f>F113-T113-U113-V113-W113-X113-Y113-Z113-AA113-AB113-AC113</f>
        <v>1081960</v>
      </c>
      <c r="AF113" s="17">
        <f>AE113-AG113</f>
        <v>-126040</v>
      </c>
      <c r="AG113" s="16">
        <v>1208000</v>
      </c>
      <c r="AH113" s="15">
        <f>AF113/AG113</f>
        <v>-0.10433774834437086</v>
      </c>
      <c r="AI113" s="14">
        <f>1-R113/(AG113-AM113-AN113-AO113)</f>
        <v>-1.0888468809073792E-2</v>
      </c>
      <c r="AJ113" s="114">
        <f>(1-R113/F113)-(1-(AD113)/F113)</f>
        <v>1.4038461538461555E-2</v>
      </c>
      <c r="AK113" s="115"/>
      <c r="AM113" s="13">
        <v>150000</v>
      </c>
      <c r="AN113" s="12"/>
      <c r="AO113" s="12">
        <v>0</v>
      </c>
      <c r="AP113" s="12"/>
      <c r="AQ113" s="11">
        <f>AE113-(AG113-AM113-AN113-AO113-AP113)</f>
        <v>23960</v>
      </c>
      <c r="AR113" s="8">
        <f>AQ113/AG113</f>
        <v>1.9834437086092716E-2</v>
      </c>
      <c r="AT113" s="10">
        <v>0</v>
      </c>
      <c r="AU113" s="10">
        <v>0</v>
      </c>
      <c r="AV113" s="9">
        <f>AQ113-AT113-AU113</f>
        <v>23960</v>
      </c>
      <c r="AW113" s="8">
        <f>AV113/AG113</f>
        <v>1.9834437086092716E-2</v>
      </c>
      <c r="AY113" s="49"/>
      <c r="AZ113" s="50"/>
      <c r="BB113" s="6"/>
    </row>
    <row r="114" spans="1:54" x14ac:dyDescent="0.3">
      <c r="E114" s="5">
        <v>1299000</v>
      </c>
      <c r="F114" s="4">
        <f>ROUNDDOWN(E114/(1-F112),-1)</f>
        <v>1299000</v>
      </c>
      <c r="G114" s="138">
        <f>ROUNDDOWN(IF(F114*G112&gt;H112,H112,F114*G112),-1)</f>
        <v>103920</v>
      </c>
      <c r="H114" s="138"/>
      <c r="J114" s="54">
        <f>F113*4%</f>
        <v>58240</v>
      </c>
      <c r="X114" s="3">
        <f>G114*X112</f>
        <v>0</v>
      </c>
      <c r="Y114" s="3"/>
      <c r="Z114" s="3"/>
    </row>
    <row r="115" spans="1:54" ht="27" customHeight="1" x14ac:dyDescent="0.3">
      <c r="A115" s="124" t="s">
        <v>34</v>
      </c>
      <c r="B115" s="127" t="s">
        <v>70</v>
      </c>
      <c r="C115" s="128"/>
      <c r="D115" s="128"/>
      <c r="E115" s="128"/>
      <c r="F115" s="128"/>
      <c r="G115" s="128"/>
      <c r="H115" s="128"/>
      <c r="I115" s="128"/>
      <c r="J115" s="128"/>
      <c r="K115" s="128"/>
      <c r="L115" s="128"/>
      <c r="M115" s="128"/>
      <c r="N115" s="128"/>
      <c r="O115" s="128"/>
      <c r="P115" s="128"/>
      <c r="Q115" s="128"/>
      <c r="R115" s="129"/>
      <c r="T115" s="130" t="s">
        <v>33</v>
      </c>
      <c r="U115" s="131"/>
      <c r="V115" s="131"/>
      <c r="W115" s="131"/>
      <c r="X115" s="131"/>
      <c r="Y115" s="131"/>
      <c r="Z115" s="131"/>
      <c r="AA115" s="131"/>
      <c r="AB115" s="131"/>
      <c r="AC115" s="131"/>
      <c r="AD115" s="131"/>
      <c r="AE115" s="131"/>
      <c r="AF115" s="131"/>
      <c r="AG115" s="131"/>
      <c r="AH115" s="132"/>
      <c r="AI115" s="37"/>
      <c r="AM115" s="130" t="s">
        <v>32</v>
      </c>
      <c r="AN115" s="131"/>
      <c r="AO115" s="131"/>
      <c r="AP115" s="131"/>
      <c r="AQ115" s="131"/>
      <c r="AR115" s="132"/>
      <c r="AT115" s="130" t="s">
        <v>31</v>
      </c>
      <c r="AU115" s="131"/>
      <c r="AV115" s="131"/>
      <c r="AW115" s="132"/>
      <c r="AY115" s="47" t="s">
        <v>36</v>
      </c>
      <c r="AZ115" s="48"/>
      <c r="BB115" s="36"/>
    </row>
    <row r="116" spans="1:54" ht="32.25" customHeight="1" x14ac:dyDescent="0.3">
      <c r="A116" s="125"/>
      <c r="B116" s="133" t="s">
        <v>30</v>
      </c>
      <c r="C116" s="133" t="s">
        <v>29</v>
      </c>
      <c r="D116" s="116" t="s">
        <v>28</v>
      </c>
      <c r="E116" s="116" t="s">
        <v>27</v>
      </c>
      <c r="F116" s="34" t="s">
        <v>26</v>
      </c>
      <c r="G116" s="122" t="s">
        <v>63</v>
      </c>
      <c r="H116" s="123"/>
      <c r="I116" s="122" t="s">
        <v>50</v>
      </c>
      <c r="J116" s="123"/>
      <c r="K116" s="122" t="s">
        <v>62</v>
      </c>
      <c r="L116" s="123"/>
      <c r="M116" s="122" t="s">
        <v>25</v>
      </c>
      <c r="N116" s="123"/>
      <c r="O116" s="122" t="s">
        <v>24</v>
      </c>
      <c r="P116" s="123"/>
      <c r="Q116" s="106" t="s">
        <v>23</v>
      </c>
      <c r="R116" s="106" t="s">
        <v>22</v>
      </c>
      <c r="S116" s="21"/>
      <c r="T116" s="34" t="s">
        <v>21</v>
      </c>
      <c r="U116" s="34" t="s">
        <v>20</v>
      </c>
      <c r="V116" s="34" t="s">
        <v>69</v>
      </c>
      <c r="W116" s="34" t="s">
        <v>19</v>
      </c>
      <c r="X116" s="34" t="s">
        <v>18</v>
      </c>
      <c r="Y116" s="34" t="s">
        <v>48</v>
      </c>
      <c r="Z116" s="34" t="s">
        <v>49</v>
      </c>
      <c r="AA116" s="34" t="s">
        <v>17</v>
      </c>
      <c r="AB116" s="106" t="s">
        <v>16</v>
      </c>
      <c r="AC116" s="106" t="s">
        <v>15</v>
      </c>
      <c r="AD116" s="106" t="s">
        <v>14</v>
      </c>
      <c r="AE116" s="106" t="s">
        <v>13</v>
      </c>
      <c r="AF116" s="106" t="s">
        <v>12</v>
      </c>
      <c r="AG116" s="116" t="s">
        <v>11</v>
      </c>
      <c r="AH116" s="118" t="s">
        <v>10</v>
      </c>
      <c r="AI116" s="120" t="s">
        <v>9</v>
      </c>
      <c r="AJ116" s="35">
        <f>(1-R118/F118)</f>
        <v>0.31543956043956045</v>
      </c>
      <c r="AK116" s="35">
        <f>1-(AD118+AM118)/F118</f>
        <v>0.14837912087912086</v>
      </c>
      <c r="AM116" s="106" t="s">
        <v>8</v>
      </c>
      <c r="AN116" s="106" t="s">
        <v>7</v>
      </c>
      <c r="AO116" s="106" t="s">
        <v>37</v>
      </c>
      <c r="AP116" s="106" t="s">
        <v>38</v>
      </c>
      <c r="AQ116" s="106" t="s">
        <v>6</v>
      </c>
      <c r="AR116" s="106" t="s">
        <v>5</v>
      </c>
      <c r="AT116" s="106" t="s">
        <v>4</v>
      </c>
      <c r="AU116" s="106" t="s">
        <v>3</v>
      </c>
      <c r="AV116" s="106" t="s">
        <v>2</v>
      </c>
      <c r="AW116" s="106" t="s">
        <v>1</v>
      </c>
      <c r="AY116" s="108"/>
      <c r="AZ116" s="108"/>
      <c r="BB116" s="106"/>
    </row>
    <row r="117" spans="1:54" ht="27" customHeight="1" x14ac:dyDescent="0.3">
      <c r="A117" s="126"/>
      <c r="B117" s="134"/>
      <c r="C117" s="134"/>
      <c r="D117" s="117"/>
      <c r="E117" s="117"/>
      <c r="F117" s="31">
        <v>0</v>
      </c>
      <c r="G117" s="33">
        <v>0.13</v>
      </c>
      <c r="H117" s="32">
        <v>1000000</v>
      </c>
      <c r="I117" s="31">
        <v>1</v>
      </c>
      <c r="J117" s="32">
        <v>0</v>
      </c>
      <c r="K117" s="31">
        <v>1</v>
      </c>
      <c r="L117" s="32">
        <v>200000</v>
      </c>
      <c r="M117" s="31">
        <v>7.0000000000000007E-2</v>
      </c>
      <c r="N117" s="32">
        <v>70000</v>
      </c>
      <c r="O117" s="31">
        <v>0</v>
      </c>
      <c r="P117" s="32">
        <v>0</v>
      </c>
      <c r="Q117" s="107"/>
      <c r="R117" s="107"/>
      <c r="S117" s="21"/>
      <c r="T117" s="31">
        <f>IF(C118="노트북",7%,IF(C118="저장&amp;주변기기",9%,IF(C118="모니터",7%)))</f>
        <v>7.0000000000000007E-2</v>
      </c>
      <c r="U117" s="31">
        <v>0</v>
      </c>
      <c r="V117" s="31">
        <v>0.02</v>
      </c>
      <c r="W117" s="31">
        <f>IF(G117=0%,20%,0%)</f>
        <v>0</v>
      </c>
      <c r="X117" s="30">
        <v>0</v>
      </c>
      <c r="Y117" s="30">
        <v>1</v>
      </c>
      <c r="Z117" s="53">
        <v>1</v>
      </c>
      <c r="AA117" s="29">
        <v>0.5</v>
      </c>
      <c r="AB117" s="107"/>
      <c r="AC117" s="107"/>
      <c r="AD117" s="107"/>
      <c r="AE117" s="107"/>
      <c r="AF117" s="107"/>
      <c r="AG117" s="117"/>
      <c r="AH117" s="119"/>
      <c r="AI117" s="121"/>
      <c r="AJ117" s="55" t="s">
        <v>52</v>
      </c>
      <c r="AK117" s="56">
        <f>AJ116-AK116</f>
        <v>0.16706043956043959</v>
      </c>
      <c r="AM117" s="107"/>
      <c r="AN117" s="107"/>
      <c r="AO117" s="107"/>
      <c r="AP117" s="107"/>
      <c r="AQ117" s="107"/>
      <c r="AR117" s="107"/>
      <c r="AS117" s="39"/>
      <c r="AT117" s="107"/>
      <c r="AU117" s="117"/>
      <c r="AV117" s="107"/>
      <c r="AW117" s="107"/>
      <c r="AY117" s="109"/>
      <c r="AZ117" s="109"/>
      <c r="BB117" s="107"/>
    </row>
    <row r="118" spans="1:54" ht="27" customHeight="1" x14ac:dyDescent="0.3">
      <c r="A118" s="28" t="s">
        <v>55</v>
      </c>
      <c r="B118" s="38" t="s">
        <v>35</v>
      </c>
      <c r="C118" s="27" t="s">
        <v>0</v>
      </c>
      <c r="D118" s="26">
        <v>4514791229</v>
      </c>
      <c r="E118" s="25">
        <v>1456000</v>
      </c>
      <c r="F118" s="24">
        <f>ROUNDDOWN(E118/(1-F117),-1)</f>
        <v>1456000</v>
      </c>
      <c r="G118" s="110">
        <f>ROUNDDOWN(IF(F118*G117&gt;H117,H117,F118*G117),-1)</f>
        <v>189280</v>
      </c>
      <c r="H118" s="111"/>
      <c r="I118" s="112">
        <f>ROUNDDOWN(IF(F118*I117&gt;J117,J117,F118*I117),-1)</f>
        <v>0</v>
      </c>
      <c r="J118" s="113"/>
      <c r="K118" s="112">
        <f>ROUNDDOWN(IF(F118*K117&gt;L117,L117,F118*K117),-1)</f>
        <v>200000</v>
      </c>
      <c r="L118" s="113"/>
      <c r="M118" s="110">
        <f>ROUNDDOWN(IF(Q118*M117&gt;N117,N117,Q118*M117),-1)</f>
        <v>70000</v>
      </c>
      <c r="N118" s="111"/>
      <c r="O118" s="110">
        <f>ROUNDDOWN(IF(F118*O117&gt;P117,P117,F118*O117),-1)</f>
        <v>0</v>
      </c>
      <c r="P118" s="111"/>
      <c r="Q118" s="23">
        <f>F118-G118-I118-K118</f>
        <v>1066720</v>
      </c>
      <c r="R118" s="22">
        <f>F118-G118-I118-K118-M118-O118</f>
        <v>996720</v>
      </c>
      <c r="S118" s="21"/>
      <c r="T118" s="20">
        <f>F118*T117</f>
        <v>101920.00000000001</v>
      </c>
      <c r="U118" s="20">
        <f>F118*U117</f>
        <v>0</v>
      </c>
      <c r="V118" s="20">
        <f>(F118-I118)*V117</f>
        <v>29120</v>
      </c>
      <c r="W118" s="19">
        <f>(F118*F117)*W117</f>
        <v>0</v>
      </c>
      <c r="X118" s="19">
        <f>G118*X117</f>
        <v>0</v>
      </c>
      <c r="Y118" s="19">
        <f>I118*Y117</f>
        <v>0</v>
      </c>
      <c r="Z118" s="19">
        <f>K118*Z117</f>
        <v>200000</v>
      </c>
      <c r="AA118" s="19">
        <f>M118*AA117</f>
        <v>35000</v>
      </c>
      <c r="AB118" s="19">
        <v>0</v>
      </c>
      <c r="AC118" s="16">
        <v>8000</v>
      </c>
      <c r="AD118" s="18">
        <f>F118-T118-U118-V118-W118-AA118-X118-Y118-Z118-AB118</f>
        <v>1089960</v>
      </c>
      <c r="AE118" s="18">
        <f>F118-T118-U118-V118-W118-X118-Y118-Z118-AA118-AB118-AC118</f>
        <v>1081960</v>
      </c>
      <c r="AF118" s="17">
        <f>AE118-AG118</f>
        <v>-126040</v>
      </c>
      <c r="AG118" s="16">
        <v>1208000</v>
      </c>
      <c r="AH118" s="15">
        <f>AF118/AG118</f>
        <v>-0.10433774834437086</v>
      </c>
      <c r="AI118" s="14">
        <f>1-R118/(AG118-AM118-AN118-AO118)</f>
        <v>5.7920604914933782E-2</v>
      </c>
      <c r="AJ118" s="114">
        <f>(1-R118/F118)-(1-(AD118)/F118)</f>
        <v>6.40384615384616E-2</v>
      </c>
      <c r="AK118" s="115"/>
      <c r="AM118" s="13">
        <v>150000</v>
      </c>
      <c r="AN118" s="12"/>
      <c r="AO118" s="12">
        <v>0</v>
      </c>
      <c r="AP118" s="12"/>
      <c r="AQ118" s="11">
        <f>AE118-(AG118-AM118-AN118-AO118-AP118)</f>
        <v>23960</v>
      </c>
      <c r="AR118" s="8">
        <f>AQ118/AG118</f>
        <v>1.9834437086092716E-2</v>
      </c>
      <c r="AT118" s="10">
        <v>0</v>
      </c>
      <c r="AU118" s="10">
        <v>0</v>
      </c>
      <c r="AV118" s="9">
        <f>AQ118-AT118-AU118</f>
        <v>23960</v>
      </c>
      <c r="AW118" s="8">
        <f>AV118/AG118</f>
        <v>1.9834437086092716E-2</v>
      </c>
      <c r="AY118" s="49"/>
      <c r="AZ118" s="50"/>
      <c r="BB118" s="6"/>
    </row>
    <row r="119" spans="1:54" x14ac:dyDescent="0.3">
      <c r="E119" s="5">
        <v>1299000</v>
      </c>
      <c r="F119" s="4">
        <f>ROUNDDOWN(E119/(1-F117),-1)</f>
        <v>1299000</v>
      </c>
      <c r="G119" s="138">
        <f>ROUNDDOWN(IF(F119*G117&gt;H117,H117,F119*G117),-1)</f>
        <v>168870</v>
      </c>
      <c r="H119" s="138"/>
      <c r="J119" s="54">
        <f>F118*4%</f>
        <v>58240</v>
      </c>
      <c r="X119" s="3">
        <f>G119*X117</f>
        <v>0</v>
      </c>
      <c r="Y119" s="3"/>
      <c r="Z119" s="3"/>
    </row>
    <row r="120" spans="1:54" ht="27" customHeight="1" x14ac:dyDescent="0.3">
      <c r="A120" s="124" t="s">
        <v>34</v>
      </c>
      <c r="B120" s="135" t="s">
        <v>107</v>
      </c>
      <c r="C120" s="136"/>
      <c r="D120" s="136"/>
      <c r="E120" s="136"/>
      <c r="F120" s="136"/>
      <c r="G120" s="136"/>
      <c r="H120" s="136"/>
      <c r="I120" s="136"/>
      <c r="J120" s="136"/>
      <c r="K120" s="136"/>
      <c r="L120" s="136"/>
      <c r="M120" s="136"/>
      <c r="N120" s="136"/>
      <c r="O120" s="136"/>
      <c r="P120" s="136"/>
      <c r="Q120" s="136"/>
      <c r="R120" s="137"/>
      <c r="T120" s="130" t="s">
        <v>33</v>
      </c>
      <c r="U120" s="131"/>
      <c r="V120" s="131"/>
      <c r="W120" s="131"/>
      <c r="X120" s="131"/>
      <c r="Y120" s="131"/>
      <c r="Z120" s="131"/>
      <c r="AA120" s="131"/>
      <c r="AB120" s="131"/>
      <c r="AC120" s="131"/>
      <c r="AD120" s="131"/>
      <c r="AE120" s="131"/>
      <c r="AF120" s="131"/>
      <c r="AG120" s="131"/>
      <c r="AH120" s="132"/>
      <c r="AI120" s="37"/>
      <c r="AM120" s="130" t="s">
        <v>32</v>
      </c>
      <c r="AN120" s="131"/>
      <c r="AO120" s="131"/>
      <c r="AP120" s="131"/>
      <c r="AQ120" s="131"/>
      <c r="AR120" s="132"/>
      <c r="AT120" s="130" t="s">
        <v>31</v>
      </c>
      <c r="AU120" s="131"/>
      <c r="AV120" s="131"/>
      <c r="AW120" s="132"/>
      <c r="AY120" s="47" t="s">
        <v>36</v>
      </c>
      <c r="AZ120" s="48"/>
      <c r="BB120" s="36"/>
    </row>
    <row r="121" spans="1:54" ht="32.25" customHeight="1" x14ac:dyDescent="0.3">
      <c r="A121" s="125"/>
      <c r="B121" s="133" t="s">
        <v>30</v>
      </c>
      <c r="C121" s="133" t="s">
        <v>29</v>
      </c>
      <c r="D121" s="116" t="s">
        <v>28</v>
      </c>
      <c r="E121" s="116" t="s">
        <v>27</v>
      </c>
      <c r="F121" s="34" t="s">
        <v>26</v>
      </c>
      <c r="G121" s="122" t="s">
        <v>63</v>
      </c>
      <c r="H121" s="123"/>
      <c r="I121" s="122" t="s">
        <v>50</v>
      </c>
      <c r="J121" s="123"/>
      <c r="K121" s="122" t="s">
        <v>62</v>
      </c>
      <c r="L121" s="123"/>
      <c r="M121" s="122" t="s">
        <v>25</v>
      </c>
      <c r="N121" s="123"/>
      <c r="O121" s="122" t="s">
        <v>24</v>
      </c>
      <c r="P121" s="123"/>
      <c r="Q121" s="106" t="s">
        <v>23</v>
      </c>
      <c r="R121" s="106" t="s">
        <v>22</v>
      </c>
      <c r="S121" s="21"/>
      <c r="T121" s="34" t="s">
        <v>21</v>
      </c>
      <c r="U121" s="34" t="s">
        <v>20</v>
      </c>
      <c r="V121" s="34" t="s">
        <v>95</v>
      </c>
      <c r="W121" s="34" t="s">
        <v>19</v>
      </c>
      <c r="X121" s="34" t="s">
        <v>18</v>
      </c>
      <c r="Y121" s="34" t="s">
        <v>48</v>
      </c>
      <c r="Z121" s="34" t="s">
        <v>49</v>
      </c>
      <c r="AA121" s="34" t="s">
        <v>17</v>
      </c>
      <c r="AB121" s="106" t="s">
        <v>16</v>
      </c>
      <c r="AC121" s="106" t="s">
        <v>15</v>
      </c>
      <c r="AD121" s="106" t="s">
        <v>14</v>
      </c>
      <c r="AE121" s="106" t="s">
        <v>13</v>
      </c>
      <c r="AF121" s="106" t="s">
        <v>12</v>
      </c>
      <c r="AG121" s="116" t="s">
        <v>11</v>
      </c>
      <c r="AH121" s="118" t="s">
        <v>10</v>
      </c>
      <c r="AI121" s="120" t="s">
        <v>9</v>
      </c>
      <c r="AJ121" s="35">
        <f>(1-R123/F123)</f>
        <v>0.29978586723768741</v>
      </c>
      <c r="AK121" s="35">
        <f>1-(AD123+AM123)/F123</f>
        <v>0.13067073518915062</v>
      </c>
      <c r="AM121" s="106" t="s">
        <v>8</v>
      </c>
      <c r="AN121" s="106" t="s">
        <v>7</v>
      </c>
      <c r="AO121" s="106" t="s">
        <v>37</v>
      </c>
      <c r="AP121" s="106" t="s">
        <v>38</v>
      </c>
      <c r="AQ121" s="106" t="s">
        <v>6</v>
      </c>
      <c r="AR121" s="106" t="s">
        <v>5</v>
      </c>
      <c r="AT121" s="106" t="s">
        <v>4</v>
      </c>
      <c r="AU121" s="106" t="s">
        <v>3</v>
      </c>
      <c r="AV121" s="106" t="s">
        <v>2</v>
      </c>
      <c r="AW121" s="106" t="s">
        <v>1</v>
      </c>
      <c r="AY121" s="108"/>
      <c r="AZ121" s="108"/>
      <c r="BB121" s="106"/>
    </row>
    <row r="122" spans="1:54" ht="27" customHeight="1" x14ac:dyDescent="0.3">
      <c r="A122" s="126"/>
      <c r="B122" s="134"/>
      <c r="C122" s="134"/>
      <c r="D122" s="117"/>
      <c r="E122" s="117"/>
      <c r="F122" s="31">
        <v>0</v>
      </c>
      <c r="G122" s="33">
        <v>0</v>
      </c>
      <c r="H122" s="32">
        <v>1000000</v>
      </c>
      <c r="I122" s="31">
        <v>1</v>
      </c>
      <c r="J122" s="32">
        <v>0</v>
      </c>
      <c r="K122" s="31">
        <v>1</v>
      </c>
      <c r="L122" s="32">
        <v>350000</v>
      </c>
      <c r="M122" s="31">
        <v>7.0000000000000007E-2</v>
      </c>
      <c r="N122" s="32">
        <v>70000</v>
      </c>
      <c r="O122" s="31">
        <v>0</v>
      </c>
      <c r="P122" s="32">
        <v>0</v>
      </c>
      <c r="Q122" s="107"/>
      <c r="R122" s="107"/>
      <c r="S122" s="21"/>
      <c r="T122" s="31">
        <f>IF(C123="노트북",7%,IF(C123="저장&amp;주변기기",9%,IF(C123="모니터",7%)))</f>
        <v>7.0000000000000007E-2</v>
      </c>
      <c r="U122" s="31">
        <v>0</v>
      </c>
      <c r="V122" s="31">
        <v>0</v>
      </c>
      <c r="W122" s="31">
        <f>IF(G122=0%,20%,0%)</f>
        <v>0.2</v>
      </c>
      <c r="X122" s="30">
        <v>0</v>
      </c>
      <c r="Y122" s="30">
        <v>1</v>
      </c>
      <c r="Z122" s="53">
        <v>0.85714199999999996</v>
      </c>
      <c r="AA122" s="29">
        <v>0.5</v>
      </c>
      <c r="AB122" s="107"/>
      <c r="AC122" s="107"/>
      <c r="AD122" s="107"/>
      <c r="AE122" s="107"/>
      <c r="AF122" s="107"/>
      <c r="AG122" s="117"/>
      <c r="AH122" s="119"/>
      <c r="AI122" s="121"/>
      <c r="AJ122" s="55" t="s">
        <v>52</v>
      </c>
      <c r="AK122" s="56">
        <f>AJ121-AK121</f>
        <v>0.16911513204853679</v>
      </c>
      <c r="AM122" s="107"/>
      <c r="AN122" s="107"/>
      <c r="AO122" s="107"/>
      <c r="AP122" s="107"/>
      <c r="AQ122" s="107"/>
      <c r="AR122" s="107"/>
      <c r="AS122" s="39"/>
      <c r="AT122" s="107"/>
      <c r="AU122" s="117"/>
      <c r="AV122" s="107"/>
      <c r="AW122" s="107"/>
      <c r="AY122" s="109"/>
      <c r="AZ122" s="109"/>
      <c r="BB122" s="107"/>
    </row>
    <row r="123" spans="1:54" ht="27" customHeight="1" x14ac:dyDescent="0.3">
      <c r="A123" s="28" t="s">
        <v>55</v>
      </c>
      <c r="B123" s="38" t="s">
        <v>35</v>
      </c>
      <c r="C123" s="27" t="s">
        <v>0</v>
      </c>
      <c r="D123" s="26">
        <v>4514791229</v>
      </c>
      <c r="E123" s="25">
        <v>1401000</v>
      </c>
      <c r="F123" s="24">
        <f>ROUNDDOWN(E123/(1-F122),-1)</f>
        <v>1401000</v>
      </c>
      <c r="G123" s="110">
        <f>ROUNDDOWN(IF(F123*G122&gt;H122,H122,F123*G122),-1)</f>
        <v>0</v>
      </c>
      <c r="H123" s="111"/>
      <c r="I123" s="112">
        <f>ROUNDDOWN(IF(F123*I122&gt;J122,J122,F123*I122),-1)</f>
        <v>0</v>
      </c>
      <c r="J123" s="113"/>
      <c r="K123" s="112">
        <f>ROUNDDOWN(IF(F123*K122&gt;L122,L122,F123*K122),-1)</f>
        <v>350000</v>
      </c>
      <c r="L123" s="113"/>
      <c r="M123" s="110">
        <f>ROUNDDOWN(IF(Q123*M122&gt;N122,N122,Q123*M122),-1)</f>
        <v>70000</v>
      </c>
      <c r="N123" s="111"/>
      <c r="O123" s="110">
        <f>ROUNDDOWN(IF(F123*O122&gt;P122,P122,F123*O122),-1)</f>
        <v>0</v>
      </c>
      <c r="P123" s="111"/>
      <c r="Q123" s="23">
        <f>F123-G123-I123-K123</f>
        <v>1051000</v>
      </c>
      <c r="R123" s="22">
        <f>F123-G123-I123-K123-M123-O123</f>
        <v>981000</v>
      </c>
      <c r="S123" s="21"/>
      <c r="T123" s="20">
        <f>F123*T122</f>
        <v>98070.000000000015</v>
      </c>
      <c r="U123" s="20">
        <f>F123*U122</f>
        <v>0</v>
      </c>
      <c r="V123" s="20">
        <f>(F123-I123)*V122</f>
        <v>0</v>
      </c>
      <c r="W123" s="19">
        <f>(F123*F122)*W122</f>
        <v>0</v>
      </c>
      <c r="X123" s="19">
        <f>G123*X122</f>
        <v>0</v>
      </c>
      <c r="Y123" s="19">
        <f>I123*Y122</f>
        <v>0</v>
      </c>
      <c r="Z123" s="19">
        <f>K123*Z122</f>
        <v>299999.7</v>
      </c>
      <c r="AA123" s="19">
        <f>M123*AA122</f>
        <v>35000</v>
      </c>
      <c r="AB123" s="19">
        <v>0</v>
      </c>
      <c r="AC123" s="16">
        <v>8000</v>
      </c>
      <c r="AD123" s="18">
        <f>F123-T123-U123-V123-W123-AA123-X123-Y123-Z123-AB123</f>
        <v>967930.3</v>
      </c>
      <c r="AE123" s="18">
        <f>F123-T123-U123-V123-W123-X123-Y123-Z123-AA123-AB123-AC123</f>
        <v>959930.3</v>
      </c>
      <c r="AF123" s="17">
        <f>AE123-AG123</f>
        <v>-248069.69999999995</v>
      </c>
      <c r="AG123" s="16">
        <v>1208000</v>
      </c>
      <c r="AH123" s="15">
        <f>AF123/AG123</f>
        <v>-0.20535571192052976</v>
      </c>
      <c r="AI123" s="14">
        <f>1-R123/(AG123-AM123-AN123-AO123)</f>
        <v>-2.4008350730688965E-2</v>
      </c>
      <c r="AJ123" s="114">
        <f>(1-R123/F123)-(1-(AD123)/F123)</f>
        <v>-9.3288365453246813E-3</v>
      </c>
      <c r="AK123" s="115"/>
      <c r="AM123" s="13">
        <v>250000</v>
      </c>
      <c r="AN123" s="12"/>
      <c r="AO123" s="12">
        <v>0</v>
      </c>
      <c r="AP123" s="12"/>
      <c r="AQ123" s="11">
        <f>AE123-(AG123-AM123-AN123-AO123-AP123)</f>
        <v>1930.3000000000466</v>
      </c>
      <c r="AR123" s="8">
        <f>AQ123/AG123</f>
        <v>1.5979304635761974E-3</v>
      </c>
      <c r="AT123" s="10">
        <v>0</v>
      </c>
      <c r="AU123" s="10">
        <v>0</v>
      </c>
      <c r="AV123" s="9">
        <f>AQ123-AT123-AU123</f>
        <v>1930.3000000000466</v>
      </c>
      <c r="AW123" s="8">
        <f>AV123/AG123</f>
        <v>1.5979304635761974E-3</v>
      </c>
      <c r="AY123" s="49"/>
      <c r="AZ123" s="50"/>
      <c r="BB123" s="6"/>
    </row>
    <row r="124" spans="1:54" x14ac:dyDescent="0.3">
      <c r="E124" s="5">
        <v>1299000</v>
      </c>
      <c r="F124" s="4">
        <f>ROUNDDOWN(E124/(1-F122),-1)</f>
        <v>1299000</v>
      </c>
      <c r="G124" s="138">
        <f>ROUNDDOWN(IF(F124*G122&gt;H122,H122,F124*G122),-1)</f>
        <v>0</v>
      </c>
      <c r="H124" s="138"/>
      <c r="J124" s="54">
        <f>F123*4%</f>
        <v>56040</v>
      </c>
      <c r="R124" s="4">
        <v>1014950</v>
      </c>
      <c r="X124" s="3">
        <f>G124*X122</f>
        <v>0</v>
      </c>
      <c r="Y124" s="3"/>
      <c r="Z124" s="3"/>
    </row>
    <row r="125" spans="1:54" x14ac:dyDescent="0.3">
      <c r="A125" s="43"/>
      <c r="B125" s="43"/>
      <c r="C125" s="43"/>
      <c r="D125" s="43"/>
      <c r="E125" s="5"/>
    </row>
    <row r="126" spans="1:54" x14ac:dyDescent="0.3">
      <c r="A126" s="43"/>
      <c r="B126" s="43"/>
      <c r="C126" s="43"/>
      <c r="D126" s="43"/>
      <c r="E126" s="5"/>
    </row>
    <row r="127" spans="1:54" ht="27" customHeight="1" x14ac:dyDescent="0.3">
      <c r="A127" s="124" t="s">
        <v>34</v>
      </c>
      <c r="B127" s="127" t="s">
        <v>70</v>
      </c>
      <c r="C127" s="128"/>
      <c r="D127" s="128"/>
      <c r="E127" s="128"/>
      <c r="F127" s="128"/>
      <c r="G127" s="128"/>
      <c r="H127" s="128"/>
      <c r="I127" s="128"/>
      <c r="J127" s="128"/>
      <c r="K127" s="128"/>
      <c r="L127" s="128"/>
      <c r="M127" s="128"/>
      <c r="N127" s="128"/>
      <c r="O127" s="128"/>
      <c r="P127" s="128"/>
      <c r="Q127" s="128"/>
      <c r="R127" s="129"/>
      <c r="T127" s="130" t="s">
        <v>33</v>
      </c>
      <c r="U127" s="131"/>
      <c r="V127" s="131"/>
      <c r="W127" s="131"/>
      <c r="X127" s="131"/>
      <c r="Y127" s="131"/>
      <c r="Z127" s="131"/>
      <c r="AA127" s="131"/>
      <c r="AB127" s="131"/>
      <c r="AC127" s="131"/>
      <c r="AD127" s="131"/>
      <c r="AE127" s="131"/>
      <c r="AF127" s="131"/>
      <c r="AG127" s="131"/>
      <c r="AH127" s="132"/>
      <c r="AI127" s="37"/>
      <c r="AM127" s="130" t="s">
        <v>32</v>
      </c>
      <c r="AN127" s="131"/>
      <c r="AO127" s="131"/>
      <c r="AP127" s="131"/>
      <c r="AQ127" s="131"/>
      <c r="AR127" s="132"/>
      <c r="AT127" s="130" t="s">
        <v>31</v>
      </c>
      <c r="AU127" s="131"/>
      <c r="AV127" s="131"/>
      <c r="AW127" s="132"/>
      <c r="AY127" s="47" t="s">
        <v>36</v>
      </c>
      <c r="AZ127" s="48"/>
      <c r="BB127" s="36"/>
    </row>
    <row r="128" spans="1:54" ht="32.25" customHeight="1" x14ac:dyDescent="0.3">
      <c r="A128" s="125"/>
      <c r="B128" s="133" t="s">
        <v>30</v>
      </c>
      <c r="C128" s="133" t="s">
        <v>29</v>
      </c>
      <c r="D128" s="116" t="s">
        <v>28</v>
      </c>
      <c r="E128" s="116" t="s">
        <v>27</v>
      </c>
      <c r="F128" s="34" t="s">
        <v>26</v>
      </c>
      <c r="G128" s="122" t="s">
        <v>63</v>
      </c>
      <c r="H128" s="123"/>
      <c r="I128" s="122" t="s">
        <v>50</v>
      </c>
      <c r="J128" s="123"/>
      <c r="K128" s="122" t="s">
        <v>62</v>
      </c>
      <c r="L128" s="123"/>
      <c r="M128" s="122" t="s">
        <v>25</v>
      </c>
      <c r="N128" s="123"/>
      <c r="O128" s="122" t="s">
        <v>24</v>
      </c>
      <c r="P128" s="123"/>
      <c r="Q128" s="106" t="s">
        <v>23</v>
      </c>
      <c r="R128" s="106" t="s">
        <v>22</v>
      </c>
      <c r="S128" s="21"/>
      <c r="T128" s="34" t="s">
        <v>21</v>
      </c>
      <c r="U128" s="34" t="s">
        <v>20</v>
      </c>
      <c r="V128" s="34" t="s">
        <v>69</v>
      </c>
      <c r="W128" s="34" t="s">
        <v>19</v>
      </c>
      <c r="X128" s="34" t="s">
        <v>18</v>
      </c>
      <c r="Y128" s="34" t="s">
        <v>48</v>
      </c>
      <c r="Z128" s="34" t="s">
        <v>49</v>
      </c>
      <c r="AA128" s="34" t="s">
        <v>17</v>
      </c>
      <c r="AB128" s="106" t="s">
        <v>16</v>
      </c>
      <c r="AC128" s="106" t="s">
        <v>15</v>
      </c>
      <c r="AD128" s="106" t="s">
        <v>14</v>
      </c>
      <c r="AE128" s="106" t="s">
        <v>13</v>
      </c>
      <c r="AF128" s="106" t="s">
        <v>12</v>
      </c>
      <c r="AG128" s="116" t="s">
        <v>11</v>
      </c>
      <c r="AH128" s="118" t="s">
        <v>10</v>
      </c>
      <c r="AI128" s="120" t="s">
        <v>9</v>
      </c>
      <c r="AJ128" s="35">
        <f>(1-R130/F130)</f>
        <v>0.25252396166134183</v>
      </c>
      <c r="AK128" s="35">
        <f>1-(AD130+AM130)/F130</f>
        <v>0.14431309904153355</v>
      </c>
      <c r="AM128" s="106" t="s">
        <v>8</v>
      </c>
      <c r="AN128" s="106" t="s">
        <v>7</v>
      </c>
      <c r="AO128" s="106" t="s">
        <v>37</v>
      </c>
      <c r="AP128" s="106" t="s">
        <v>38</v>
      </c>
      <c r="AQ128" s="106" t="s">
        <v>6</v>
      </c>
      <c r="AR128" s="106" t="s">
        <v>5</v>
      </c>
      <c r="AT128" s="106" t="s">
        <v>4</v>
      </c>
      <c r="AU128" s="106" t="s">
        <v>3</v>
      </c>
      <c r="AV128" s="106" t="s">
        <v>2</v>
      </c>
      <c r="AW128" s="106" t="s">
        <v>1</v>
      </c>
      <c r="AY128" s="108"/>
      <c r="AZ128" s="108"/>
      <c r="BB128" s="106"/>
    </row>
    <row r="129" spans="1:54" ht="27" customHeight="1" x14ac:dyDescent="0.3">
      <c r="A129" s="126"/>
      <c r="B129" s="134"/>
      <c r="C129" s="134"/>
      <c r="D129" s="117"/>
      <c r="E129" s="117"/>
      <c r="F129" s="31">
        <v>0</v>
      </c>
      <c r="G129" s="33">
        <v>0.08</v>
      </c>
      <c r="H129" s="32">
        <v>1000000</v>
      </c>
      <c r="I129" s="31">
        <v>1</v>
      </c>
      <c r="J129" s="32">
        <v>0</v>
      </c>
      <c r="K129" s="31">
        <v>1</v>
      </c>
      <c r="L129" s="32">
        <v>200000</v>
      </c>
      <c r="M129" s="31">
        <v>7.0000000000000007E-2</v>
      </c>
      <c r="N129" s="32">
        <v>70000</v>
      </c>
      <c r="O129" s="31">
        <v>0</v>
      </c>
      <c r="P129" s="32">
        <v>0</v>
      </c>
      <c r="Q129" s="107"/>
      <c r="R129" s="107"/>
      <c r="S129" s="21"/>
      <c r="T129" s="31">
        <f>IF(C130="노트북",7%,IF(C130="저장&amp;주변기기",9%,IF(C130="모니터",7%)))</f>
        <v>7.0000000000000007E-2</v>
      </c>
      <c r="U129" s="31">
        <v>0</v>
      </c>
      <c r="V129" s="31">
        <v>0.02</v>
      </c>
      <c r="W129" s="31">
        <f>IF(G129=0%,20%,0%)</f>
        <v>0</v>
      </c>
      <c r="X129" s="30">
        <v>0</v>
      </c>
      <c r="Y129" s="30">
        <v>1</v>
      </c>
      <c r="Z129" s="53">
        <v>1</v>
      </c>
      <c r="AA129" s="29">
        <v>0.5</v>
      </c>
      <c r="AB129" s="107"/>
      <c r="AC129" s="107"/>
      <c r="AD129" s="107"/>
      <c r="AE129" s="107"/>
      <c r="AF129" s="107"/>
      <c r="AG129" s="117"/>
      <c r="AH129" s="119"/>
      <c r="AI129" s="121"/>
      <c r="AJ129" s="55" t="s">
        <v>52</v>
      </c>
      <c r="AK129" s="56">
        <f>AJ128-AK128</f>
        <v>0.10821086261980828</v>
      </c>
      <c r="AM129" s="107"/>
      <c r="AN129" s="107"/>
      <c r="AO129" s="107"/>
      <c r="AP129" s="107"/>
      <c r="AQ129" s="107"/>
      <c r="AR129" s="107"/>
      <c r="AS129" s="39"/>
      <c r="AT129" s="107"/>
      <c r="AU129" s="117"/>
      <c r="AV129" s="107"/>
      <c r="AW129" s="107"/>
      <c r="AY129" s="109"/>
      <c r="AZ129" s="109"/>
      <c r="BB129" s="107"/>
    </row>
    <row r="130" spans="1:54" ht="27" customHeight="1" x14ac:dyDescent="0.3">
      <c r="A130" s="28" t="s">
        <v>56</v>
      </c>
      <c r="B130" s="38" t="s">
        <v>35</v>
      </c>
      <c r="C130" s="27" t="s">
        <v>0</v>
      </c>
      <c r="D130" s="26">
        <v>4514843899</v>
      </c>
      <c r="E130" s="25">
        <v>1565000</v>
      </c>
      <c r="F130" s="24">
        <f>ROUNDDOWN(E130/(1-F129),-1)</f>
        <v>1565000</v>
      </c>
      <c r="G130" s="110">
        <f>ROUNDDOWN(IF(F130*G129&gt;H129,H129,F130*G129),-1)</f>
        <v>125200</v>
      </c>
      <c r="H130" s="111"/>
      <c r="I130" s="112">
        <f>ROUNDDOWN(IF(F130*I129&gt;J129,J129,F130*I129),-1)</f>
        <v>0</v>
      </c>
      <c r="J130" s="113"/>
      <c r="K130" s="112">
        <f>ROUNDDOWN(IF(F130*K129&gt;L129,L129,F130*K129),-1)</f>
        <v>200000</v>
      </c>
      <c r="L130" s="113"/>
      <c r="M130" s="110">
        <f>ROUNDDOWN(IF(Q130*M129&gt;N129,N129,Q130*M129),-1)</f>
        <v>70000</v>
      </c>
      <c r="N130" s="111"/>
      <c r="O130" s="110">
        <f>ROUNDDOWN(IF(F130*O129&gt;P129,P129,F130*O129),-1)</f>
        <v>0</v>
      </c>
      <c r="P130" s="111"/>
      <c r="Q130" s="23">
        <f>F130-G130-I130-K130</f>
        <v>1239800</v>
      </c>
      <c r="R130" s="22">
        <f>F130-G130-I130-K130-M130-O130</f>
        <v>1169800</v>
      </c>
      <c r="S130" s="21"/>
      <c r="T130" s="20">
        <f>F130*T129</f>
        <v>109550.00000000001</v>
      </c>
      <c r="U130" s="20">
        <f>F130*U129</f>
        <v>0</v>
      </c>
      <c r="V130" s="20">
        <f>(F130-I130)*V129</f>
        <v>31300</v>
      </c>
      <c r="W130" s="19">
        <f>(F130*F129)*W129</f>
        <v>0</v>
      </c>
      <c r="X130" s="19">
        <f>G130*X129</f>
        <v>0</v>
      </c>
      <c r="Y130" s="19">
        <f>I130*Y129</f>
        <v>0</v>
      </c>
      <c r="Z130" s="19">
        <f>K130*Z129</f>
        <v>200000</v>
      </c>
      <c r="AA130" s="19">
        <f>M130*AA129</f>
        <v>35000</v>
      </c>
      <c r="AB130" s="19">
        <v>0</v>
      </c>
      <c r="AC130" s="16">
        <v>8000</v>
      </c>
      <c r="AD130" s="18">
        <f>F130-T130-U130-V130-W130-AA130-X130-Y130-Z130-AB130</f>
        <v>1189150</v>
      </c>
      <c r="AE130" s="18">
        <f>F130-T130-U130-V130-W130-X130-Y130-Z130-AA130-AB130-AC130</f>
        <v>1181150</v>
      </c>
      <c r="AF130" s="17">
        <f>AE130-AG130</f>
        <v>-126850</v>
      </c>
      <c r="AG130" s="16">
        <v>1308000</v>
      </c>
      <c r="AH130" s="15">
        <f>AF130/AG130</f>
        <v>-9.6980122324159021E-2</v>
      </c>
      <c r="AI130" s="14">
        <f>1-R130/(AG130-AM130-AN130-AO130)</f>
        <v>-1.018998272884275E-2</v>
      </c>
      <c r="AJ130" s="114">
        <f>(1-R130/F130)-(1-(AD130)/F130)</f>
        <v>1.2364217252396115E-2</v>
      </c>
      <c r="AK130" s="115"/>
      <c r="AM130" s="13">
        <v>150000</v>
      </c>
      <c r="AN130" s="12"/>
      <c r="AO130" s="12">
        <v>0</v>
      </c>
      <c r="AP130" s="12"/>
      <c r="AQ130" s="11">
        <f>AE130-(AG130-AM130-AN130-AO130-AP130)</f>
        <v>23150</v>
      </c>
      <c r="AR130" s="8">
        <f>AQ130/AG130</f>
        <v>1.7698776758409786E-2</v>
      </c>
      <c r="AT130" s="10">
        <v>0</v>
      </c>
      <c r="AU130" s="10">
        <v>0</v>
      </c>
      <c r="AV130" s="9">
        <f>AQ130-AT130-AU130</f>
        <v>23150</v>
      </c>
      <c r="AW130" s="8">
        <f>AV130/AG130</f>
        <v>1.7698776758409786E-2</v>
      </c>
      <c r="AY130" s="49"/>
      <c r="AZ130" s="50"/>
      <c r="BB130" s="6"/>
    </row>
    <row r="131" spans="1:54" x14ac:dyDescent="0.3">
      <c r="E131" s="5">
        <v>1399000</v>
      </c>
      <c r="F131" s="4">
        <f>ROUNDDOWN(E131/(1-F129),-1)</f>
        <v>1399000</v>
      </c>
      <c r="G131" s="138">
        <f>ROUNDDOWN(IF(F131*G129&gt;H129,H129,F131*G129),-1)</f>
        <v>111920</v>
      </c>
      <c r="H131" s="138"/>
      <c r="J131" s="54">
        <f>F130*4%</f>
        <v>62600</v>
      </c>
      <c r="X131" s="3">
        <f>G131*X129</f>
        <v>0</v>
      </c>
      <c r="Y131" s="3"/>
      <c r="Z131" s="3"/>
    </row>
    <row r="133" spans="1:54" x14ac:dyDescent="0.3">
      <c r="A133" s="43"/>
      <c r="B133" s="43"/>
      <c r="C133" s="43"/>
      <c r="D133" s="43"/>
      <c r="E133" s="5"/>
    </row>
    <row r="134" spans="1:54" ht="27" customHeight="1" x14ac:dyDescent="0.3">
      <c r="A134" s="124" t="s">
        <v>34</v>
      </c>
      <c r="B134" s="127" t="s">
        <v>70</v>
      </c>
      <c r="C134" s="128"/>
      <c r="D134" s="128"/>
      <c r="E134" s="128"/>
      <c r="F134" s="128"/>
      <c r="G134" s="128"/>
      <c r="H134" s="128"/>
      <c r="I134" s="128"/>
      <c r="J134" s="128"/>
      <c r="K134" s="128"/>
      <c r="L134" s="128"/>
      <c r="M134" s="128"/>
      <c r="N134" s="128"/>
      <c r="O134" s="128"/>
      <c r="P134" s="128"/>
      <c r="Q134" s="128"/>
      <c r="R134" s="129"/>
      <c r="T134" s="130" t="s">
        <v>33</v>
      </c>
      <c r="U134" s="131"/>
      <c r="V134" s="131"/>
      <c r="W134" s="131"/>
      <c r="X134" s="131"/>
      <c r="Y134" s="131"/>
      <c r="Z134" s="131"/>
      <c r="AA134" s="131"/>
      <c r="AB134" s="131"/>
      <c r="AC134" s="131"/>
      <c r="AD134" s="131"/>
      <c r="AE134" s="131"/>
      <c r="AF134" s="131"/>
      <c r="AG134" s="131"/>
      <c r="AH134" s="132"/>
      <c r="AI134" s="37"/>
      <c r="AM134" s="130" t="s">
        <v>32</v>
      </c>
      <c r="AN134" s="131"/>
      <c r="AO134" s="131"/>
      <c r="AP134" s="131"/>
      <c r="AQ134" s="131"/>
      <c r="AR134" s="132"/>
      <c r="AT134" s="130" t="s">
        <v>31</v>
      </c>
      <c r="AU134" s="131"/>
      <c r="AV134" s="131"/>
      <c r="AW134" s="132"/>
      <c r="AY134" s="47" t="s">
        <v>36</v>
      </c>
      <c r="AZ134" s="48"/>
      <c r="BB134" s="36"/>
    </row>
    <row r="135" spans="1:54" ht="32.25" customHeight="1" x14ac:dyDescent="0.3">
      <c r="A135" s="125"/>
      <c r="B135" s="133" t="s">
        <v>30</v>
      </c>
      <c r="C135" s="133" t="s">
        <v>29</v>
      </c>
      <c r="D135" s="116" t="s">
        <v>28</v>
      </c>
      <c r="E135" s="116" t="s">
        <v>27</v>
      </c>
      <c r="F135" s="34" t="s">
        <v>26</v>
      </c>
      <c r="G135" s="122" t="s">
        <v>63</v>
      </c>
      <c r="H135" s="123"/>
      <c r="I135" s="122" t="s">
        <v>50</v>
      </c>
      <c r="J135" s="123"/>
      <c r="K135" s="122" t="s">
        <v>62</v>
      </c>
      <c r="L135" s="123"/>
      <c r="M135" s="122" t="s">
        <v>25</v>
      </c>
      <c r="N135" s="123"/>
      <c r="O135" s="122" t="s">
        <v>24</v>
      </c>
      <c r="P135" s="123"/>
      <c r="Q135" s="106" t="s">
        <v>23</v>
      </c>
      <c r="R135" s="106" t="s">
        <v>22</v>
      </c>
      <c r="S135" s="21"/>
      <c r="T135" s="34" t="s">
        <v>21</v>
      </c>
      <c r="U135" s="34" t="s">
        <v>20</v>
      </c>
      <c r="V135" s="34" t="s">
        <v>69</v>
      </c>
      <c r="W135" s="34" t="s">
        <v>19</v>
      </c>
      <c r="X135" s="34" t="s">
        <v>18</v>
      </c>
      <c r="Y135" s="34" t="s">
        <v>48</v>
      </c>
      <c r="Z135" s="34" t="s">
        <v>49</v>
      </c>
      <c r="AA135" s="34" t="s">
        <v>17</v>
      </c>
      <c r="AB135" s="106" t="s">
        <v>16</v>
      </c>
      <c r="AC135" s="106" t="s">
        <v>15</v>
      </c>
      <c r="AD135" s="106" t="s">
        <v>14</v>
      </c>
      <c r="AE135" s="106" t="s">
        <v>13</v>
      </c>
      <c r="AF135" s="106" t="s">
        <v>12</v>
      </c>
      <c r="AG135" s="116" t="s">
        <v>11</v>
      </c>
      <c r="AH135" s="118" t="s">
        <v>10</v>
      </c>
      <c r="AI135" s="120" t="s">
        <v>9</v>
      </c>
      <c r="AJ135" s="35">
        <f>(1-R137/F137)</f>
        <v>0.2413867304243873</v>
      </c>
      <c r="AK135" s="35">
        <f>1-(AD137+AM137)/F137</f>
        <v>0.14080693365212194</v>
      </c>
      <c r="AM135" s="106" t="s">
        <v>8</v>
      </c>
      <c r="AN135" s="106" t="s">
        <v>7</v>
      </c>
      <c r="AO135" s="106" t="s">
        <v>37</v>
      </c>
      <c r="AP135" s="106" t="s">
        <v>38</v>
      </c>
      <c r="AQ135" s="106" t="s">
        <v>6</v>
      </c>
      <c r="AR135" s="106" t="s">
        <v>5</v>
      </c>
      <c r="AT135" s="106" t="s">
        <v>4</v>
      </c>
      <c r="AU135" s="106" t="s">
        <v>3</v>
      </c>
      <c r="AV135" s="106" t="s">
        <v>2</v>
      </c>
      <c r="AW135" s="106" t="s">
        <v>1</v>
      </c>
      <c r="AY135" s="108"/>
      <c r="AZ135" s="108"/>
      <c r="BB135" s="106"/>
    </row>
    <row r="136" spans="1:54" ht="27" customHeight="1" x14ac:dyDescent="0.3">
      <c r="A136" s="126"/>
      <c r="B136" s="134"/>
      <c r="C136" s="134"/>
      <c r="D136" s="117"/>
      <c r="E136" s="117"/>
      <c r="F136" s="31">
        <v>0</v>
      </c>
      <c r="G136" s="33">
        <v>0.08</v>
      </c>
      <c r="H136" s="32">
        <v>1000000</v>
      </c>
      <c r="I136" s="31">
        <v>1</v>
      </c>
      <c r="J136" s="32">
        <v>0</v>
      </c>
      <c r="K136" s="31">
        <v>1</v>
      </c>
      <c r="L136" s="32">
        <v>200000</v>
      </c>
      <c r="M136" s="31">
        <v>7.0000000000000007E-2</v>
      </c>
      <c r="N136" s="32">
        <v>70000</v>
      </c>
      <c r="O136" s="31">
        <v>0</v>
      </c>
      <c r="P136" s="32">
        <v>0</v>
      </c>
      <c r="Q136" s="107"/>
      <c r="R136" s="107"/>
      <c r="S136" s="21"/>
      <c r="T136" s="31">
        <f>IF(C137="노트북",7%,IF(C137="저장&amp;주변기기",9%,IF(C137="모니터",7%)))</f>
        <v>7.0000000000000007E-2</v>
      </c>
      <c r="U136" s="31">
        <v>0</v>
      </c>
      <c r="V136" s="31">
        <v>0.02</v>
      </c>
      <c r="W136" s="31">
        <f>IF(G136=0%,20%,0%)</f>
        <v>0</v>
      </c>
      <c r="X136" s="30">
        <v>0</v>
      </c>
      <c r="Y136" s="30">
        <v>1</v>
      </c>
      <c r="Z136" s="53">
        <v>1</v>
      </c>
      <c r="AA136" s="29">
        <v>0.5</v>
      </c>
      <c r="AB136" s="107"/>
      <c r="AC136" s="107"/>
      <c r="AD136" s="107"/>
      <c r="AE136" s="107"/>
      <c r="AF136" s="107"/>
      <c r="AG136" s="117"/>
      <c r="AH136" s="119"/>
      <c r="AI136" s="121"/>
      <c r="AJ136" s="55" t="s">
        <v>52</v>
      </c>
      <c r="AK136" s="56">
        <f>AJ135-AK135</f>
        <v>0.10057979677226536</v>
      </c>
      <c r="AM136" s="107"/>
      <c r="AN136" s="107"/>
      <c r="AO136" s="107"/>
      <c r="AP136" s="107"/>
      <c r="AQ136" s="107"/>
      <c r="AR136" s="107"/>
      <c r="AS136" s="39"/>
      <c r="AT136" s="107"/>
      <c r="AU136" s="117"/>
      <c r="AV136" s="107"/>
      <c r="AW136" s="107"/>
      <c r="AY136" s="109"/>
      <c r="AZ136" s="109"/>
      <c r="BB136" s="107"/>
    </row>
    <row r="137" spans="1:54" ht="27" customHeight="1" x14ac:dyDescent="0.3">
      <c r="A137" s="28" t="s">
        <v>53</v>
      </c>
      <c r="B137" s="38" t="s">
        <v>35</v>
      </c>
      <c r="C137" s="27" t="s">
        <v>0</v>
      </c>
      <c r="D137" s="26">
        <v>4514865274</v>
      </c>
      <c r="E137" s="25">
        <v>1673000</v>
      </c>
      <c r="F137" s="24">
        <f>ROUNDDOWN(E137/(1-F136),-1)</f>
        <v>1673000</v>
      </c>
      <c r="G137" s="110">
        <f>ROUNDDOWN(IF(F137*G136&gt;H136,H136,F137*G136),-1)</f>
        <v>133840</v>
      </c>
      <c r="H137" s="111"/>
      <c r="I137" s="112">
        <f>ROUNDDOWN(IF(F137*I136&gt;J136,J136,F137*I136),-1)</f>
        <v>0</v>
      </c>
      <c r="J137" s="113"/>
      <c r="K137" s="112">
        <f>ROUNDDOWN(IF(F137*K136&gt;L136,L136,F137*K136),-1)</f>
        <v>200000</v>
      </c>
      <c r="L137" s="113"/>
      <c r="M137" s="110">
        <f>ROUNDDOWN(IF(Q137*M136&gt;N136,N136,Q137*M136),-1)</f>
        <v>70000</v>
      </c>
      <c r="N137" s="111"/>
      <c r="O137" s="110">
        <f>ROUNDDOWN(IF(F137*O136&gt;P136,P136,F137*O136),-1)</f>
        <v>0</v>
      </c>
      <c r="P137" s="111"/>
      <c r="Q137" s="23">
        <f>F137-G137-I137-K137</f>
        <v>1339160</v>
      </c>
      <c r="R137" s="22">
        <f>F137-G137-I137-K137-M137-O137</f>
        <v>1269160</v>
      </c>
      <c r="S137" s="21"/>
      <c r="T137" s="20">
        <f>F137*T136</f>
        <v>117110.00000000001</v>
      </c>
      <c r="U137" s="20">
        <f>F137*U136</f>
        <v>0</v>
      </c>
      <c r="V137" s="20">
        <f>(F137-I137)*V136</f>
        <v>33460</v>
      </c>
      <c r="W137" s="19">
        <f>(F137*F136)*W136</f>
        <v>0</v>
      </c>
      <c r="X137" s="19">
        <f>G137*X136</f>
        <v>0</v>
      </c>
      <c r="Y137" s="19">
        <f>I137*Y136</f>
        <v>0</v>
      </c>
      <c r="Z137" s="19">
        <f>K137*Z136</f>
        <v>200000</v>
      </c>
      <c r="AA137" s="19">
        <f>M137*AA136</f>
        <v>35000</v>
      </c>
      <c r="AB137" s="19">
        <v>0</v>
      </c>
      <c r="AC137" s="16">
        <v>8000</v>
      </c>
      <c r="AD137" s="18">
        <f>F137-T137-U137-V137-W137-AA137-X137-Y137-Z137-AB137</f>
        <v>1287430</v>
      </c>
      <c r="AE137" s="18">
        <f>F137-T137-U137-V137-W137-X137-Y137-Z137-AA137-AB137-AC137</f>
        <v>1279430</v>
      </c>
      <c r="AF137" s="17">
        <f>AE137-AG137</f>
        <v>-130570</v>
      </c>
      <c r="AG137" s="16">
        <v>1410000</v>
      </c>
      <c r="AH137" s="15">
        <f>AF137/AG137</f>
        <v>-9.2602836879432618E-2</v>
      </c>
      <c r="AI137" s="14">
        <f>1-R137/(AG137-AM137-AN137-AO137)</f>
        <v>-7.2698412698413151E-3</v>
      </c>
      <c r="AJ137" s="114">
        <f>(1-R137/F137)-(1-(AD137)/F137)</f>
        <v>1.0920502092050199E-2</v>
      </c>
      <c r="AK137" s="115"/>
      <c r="AM137" s="13">
        <v>150000</v>
      </c>
      <c r="AN137" s="12"/>
      <c r="AO137" s="12">
        <v>0</v>
      </c>
      <c r="AP137" s="12"/>
      <c r="AQ137" s="11">
        <f>AE137-(AG137-AM137-AN137-AO137-AP137)</f>
        <v>19430</v>
      </c>
      <c r="AR137" s="8">
        <f>AQ137/AG137</f>
        <v>1.3780141843971631E-2</v>
      </c>
      <c r="AT137" s="10">
        <v>0</v>
      </c>
      <c r="AU137" s="10">
        <v>0</v>
      </c>
      <c r="AV137" s="9">
        <f>AQ137-AT137-AU137</f>
        <v>19430</v>
      </c>
      <c r="AW137" s="8">
        <f>AV137/AG137</f>
        <v>1.3780141843971631E-2</v>
      </c>
      <c r="AY137" s="49"/>
      <c r="AZ137" s="50"/>
      <c r="BB137" s="6"/>
    </row>
    <row r="138" spans="1:54" x14ac:dyDescent="0.3">
      <c r="E138" s="5">
        <v>1499000</v>
      </c>
      <c r="F138" s="4">
        <f>ROUNDDOWN(E138/(1-F136),-1)</f>
        <v>1499000</v>
      </c>
      <c r="G138" s="138">
        <f>ROUNDDOWN(IF(F138*G136&gt;H136,H136,F138*G136),-1)</f>
        <v>119920</v>
      </c>
      <c r="H138" s="138"/>
      <c r="J138" s="54">
        <f>F137*4%</f>
        <v>66920</v>
      </c>
      <c r="X138" s="3">
        <f>G138*X136</f>
        <v>0</v>
      </c>
      <c r="Y138" s="3"/>
      <c r="Z138" s="3"/>
    </row>
    <row r="139" spans="1:54" x14ac:dyDescent="0.3">
      <c r="A139" s="43"/>
      <c r="B139" s="43"/>
      <c r="C139" s="43"/>
      <c r="D139" s="43"/>
      <c r="E139" s="5"/>
    </row>
    <row r="140" spans="1:54" x14ac:dyDescent="0.3">
      <c r="A140" s="43"/>
      <c r="B140" s="43"/>
      <c r="C140" s="43"/>
      <c r="D140" s="43"/>
      <c r="E140" s="5"/>
    </row>
    <row r="141" spans="1:54" x14ac:dyDescent="0.3">
      <c r="A141" s="43"/>
      <c r="B141" s="43"/>
      <c r="C141" s="43"/>
      <c r="D141" s="43"/>
      <c r="E141" s="5"/>
    </row>
    <row r="143" spans="1:54" s="59" customFormat="1" ht="19.5" x14ac:dyDescent="0.3">
      <c r="A143" s="58" t="s">
        <v>46</v>
      </c>
      <c r="AH143" s="60"/>
      <c r="AI143" s="60"/>
      <c r="AJ143" s="60"/>
      <c r="AK143" s="60"/>
    </row>
    <row r="146" spans="1:54" ht="27" customHeight="1" x14ac:dyDescent="0.3">
      <c r="A146" s="124" t="s">
        <v>34</v>
      </c>
      <c r="B146" s="148" t="s">
        <v>96</v>
      </c>
      <c r="C146" s="149"/>
      <c r="D146" s="149"/>
      <c r="E146" s="149"/>
      <c r="F146" s="149"/>
      <c r="G146" s="149"/>
      <c r="H146" s="149"/>
      <c r="I146" s="149"/>
      <c r="J146" s="149"/>
      <c r="K146" s="149"/>
      <c r="L146" s="149"/>
      <c r="M146" s="149"/>
      <c r="N146" s="149"/>
      <c r="O146" s="149"/>
      <c r="P146" s="149"/>
      <c r="Q146" s="149"/>
      <c r="R146" s="150"/>
      <c r="T146" s="130" t="s">
        <v>33</v>
      </c>
      <c r="U146" s="131"/>
      <c r="V146" s="131"/>
      <c r="W146" s="131"/>
      <c r="X146" s="131"/>
      <c r="Y146" s="131"/>
      <c r="Z146" s="131"/>
      <c r="AA146" s="131"/>
      <c r="AB146" s="131"/>
      <c r="AC146" s="131"/>
      <c r="AD146" s="131"/>
      <c r="AE146" s="131"/>
      <c r="AF146" s="131"/>
      <c r="AG146" s="131"/>
      <c r="AH146" s="132"/>
      <c r="AI146" s="37"/>
      <c r="AM146" s="130" t="s">
        <v>32</v>
      </c>
      <c r="AN146" s="131"/>
      <c r="AO146" s="131"/>
      <c r="AP146" s="131"/>
      <c r="AQ146" s="131"/>
      <c r="AR146" s="132"/>
      <c r="AT146" s="130" t="s">
        <v>31</v>
      </c>
      <c r="AU146" s="131"/>
      <c r="AV146" s="131"/>
      <c r="AW146" s="132"/>
      <c r="AY146" s="36" t="s">
        <v>36</v>
      </c>
      <c r="AZ146" s="48"/>
      <c r="BA146" s="52"/>
      <c r="BB146" s="36"/>
    </row>
    <row r="147" spans="1:54" ht="32.25" customHeight="1" x14ac:dyDescent="0.3">
      <c r="A147" s="125"/>
      <c r="B147" s="133" t="s">
        <v>30</v>
      </c>
      <c r="C147" s="133" t="s">
        <v>29</v>
      </c>
      <c r="D147" s="116" t="s">
        <v>28</v>
      </c>
      <c r="E147" s="116" t="s">
        <v>27</v>
      </c>
      <c r="F147" s="34" t="s">
        <v>26</v>
      </c>
      <c r="G147" s="122" t="s">
        <v>63</v>
      </c>
      <c r="H147" s="123"/>
      <c r="I147" s="122" t="s">
        <v>50</v>
      </c>
      <c r="J147" s="123"/>
      <c r="K147" s="122" t="s">
        <v>62</v>
      </c>
      <c r="L147" s="123"/>
      <c r="M147" s="122" t="s">
        <v>25</v>
      </c>
      <c r="N147" s="123"/>
      <c r="O147" s="122" t="s">
        <v>24</v>
      </c>
      <c r="P147" s="123"/>
      <c r="Q147" s="106" t="s">
        <v>23</v>
      </c>
      <c r="R147" s="106" t="s">
        <v>22</v>
      </c>
      <c r="S147" s="21"/>
      <c r="T147" s="34" t="s">
        <v>21</v>
      </c>
      <c r="U147" s="34" t="s">
        <v>20</v>
      </c>
      <c r="V147" s="34" t="s">
        <v>95</v>
      </c>
      <c r="W147" s="34" t="s">
        <v>19</v>
      </c>
      <c r="X147" s="34" t="s">
        <v>18</v>
      </c>
      <c r="Y147" s="34" t="s">
        <v>48</v>
      </c>
      <c r="Z147" s="34" t="s">
        <v>49</v>
      </c>
      <c r="AA147" s="34" t="s">
        <v>17</v>
      </c>
      <c r="AB147" s="106" t="s">
        <v>16</v>
      </c>
      <c r="AC147" s="106" t="s">
        <v>15</v>
      </c>
      <c r="AD147" s="106" t="s">
        <v>14</v>
      </c>
      <c r="AE147" s="106" t="s">
        <v>13</v>
      </c>
      <c r="AF147" s="106" t="s">
        <v>12</v>
      </c>
      <c r="AG147" s="116" t="s">
        <v>11</v>
      </c>
      <c r="AH147" s="118" t="s">
        <v>10</v>
      </c>
      <c r="AI147" s="120" t="s">
        <v>9</v>
      </c>
      <c r="AJ147" s="35">
        <f>(1-R149/F149)</f>
        <v>0.2568806161745828</v>
      </c>
      <c r="AK147" s="35">
        <f>1-(AD149+AM149)/F149</f>
        <v>0.15134772785622597</v>
      </c>
      <c r="AM147" s="106" t="s">
        <v>8</v>
      </c>
      <c r="AN147" s="106" t="s">
        <v>7</v>
      </c>
      <c r="AO147" s="106" t="s">
        <v>37</v>
      </c>
      <c r="AP147" s="106" t="s">
        <v>38</v>
      </c>
      <c r="AQ147" s="106" t="s">
        <v>6</v>
      </c>
      <c r="AR147" s="106" t="s">
        <v>5</v>
      </c>
      <c r="AT147" s="106" t="s">
        <v>4</v>
      </c>
      <c r="AU147" s="106" t="s">
        <v>3</v>
      </c>
      <c r="AV147" s="106" t="s">
        <v>2</v>
      </c>
      <c r="AW147" s="106" t="s">
        <v>1</v>
      </c>
      <c r="AY147" s="106"/>
      <c r="AZ147" s="108"/>
      <c r="BA147" s="52"/>
      <c r="BB147" s="106"/>
    </row>
    <row r="148" spans="1:54" ht="27" customHeight="1" x14ac:dyDescent="0.3">
      <c r="A148" s="126"/>
      <c r="B148" s="134"/>
      <c r="C148" s="134"/>
      <c r="D148" s="117"/>
      <c r="E148" s="117"/>
      <c r="F148" s="31">
        <v>0</v>
      </c>
      <c r="G148" s="33">
        <v>0.09</v>
      </c>
      <c r="H148" s="32">
        <v>400000</v>
      </c>
      <c r="I148" s="31">
        <v>0</v>
      </c>
      <c r="J148" s="32">
        <v>0</v>
      </c>
      <c r="K148" s="31">
        <v>1</v>
      </c>
      <c r="L148" s="32">
        <v>130000</v>
      </c>
      <c r="M148" s="31">
        <v>0</v>
      </c>
      <c r="N148" s="32">
        <v>70000</v>
      </c>
      <c r="O148" s="31">
        <v>0</v>
      </c>
      <c r="P148" s="32">
        <v>0</v>
      </c>
      <c r="Q148" s="107"/>
      <c r="R148" s="107"/>
      <c r="S148" s="21"/>
      <c r="T148" s="31">
        <f>IF(C149="노트북",7%,IF(C149="저장&amp;주변기기",9%,IF(C149="모니터",7%)))</f>
        <v>7.0000000000000007E-2</v>
      </c>
      <c r="U148" s="31">
        <v>0</v>
      </c>
      <c r="V148" s="31">
        <v>0.03</v>
      </c>
      <c r="W148" s="31">
        <f>IF(G148=0%,20%,0%)</f>
        <v>0</v>
      </c>
      <c r="X148" s="30">
        <v>0</v>
      </c>
      <c r="Y148" s="30">
        <v>1</v>
      </c>
      <c r="Z148" s="53">
        <v>0.92307600000000001</v>
      </c>
      <c r="AA148" s="29">
        <v>0.5</v>
      </c>
      <c r="AB148" s="107"/>
      <c r="AC148" s="107"/>
      <c r="AD148" s="107"/>
      <c r="AE148" s="107"/>
      <c r="AF148" s="107"/>
      <c r="AG148" s="117"/>
      <c r="AH148" s="119"/>
      <c r="AI148" s="121"/>
      <c r="AJ148" s="55" t="s">
        <v>52</v>
      </c>
      <c r="AK148" s="56">
        <f>AJ147-AK147</f>
        <v>0.10553288831835683</v>
      </c>
      <c r="AM148" s="107"/>
      <c r="AN148" s="107"/>
      <c r="AO148" s="107"/>
      <c r="AP148" s="107"/>
      <c r="AQ148" s="107"/>
      <c r="AR148" s="107"/>
      <c r="AS148" s="39"/>
      <c r="AT148" s="107"/>
      <c r="AU148" s="107"/>
      <c r="AV148" s="107"/>
      <c r="AW148" s="107"/>
      <c r="AY148" s="107"/>
      <c r="AZ148" s="109"/>
      <c r="BA148" s="52"/>
      <c r="BB148" s="107"/>
    </row>
    <row r="149" spans="1:54" ht="27" customHeight="1" x14ac:dyDescent="0.3">
      <c r="A149" s="51" t="s">
        <v>76</v>
      </c>
      <c r="B149" s="38" t="s">
        <v>35</v>
      </c>
      <c r="C149" s="27" t="s">
        <v>0</v>
      </c>
      <c r="D149" s="26">
        <v>4608884708</v>
      </c>
      <c r="E149" s="25">
        <v>779000</v>
      </c>
      <c r="F149" s="24">
        <f>ROUNDDOWN(E149/(1-F148),-1)</f>
        <v>779000</v>
      </c>
      <c r="G149" s="110">
        <f>ROUNDDOWN(IF(F149*G148&gt;H148,H148,F149*G148),-1)</f>
        <v>70110</v>
      </c>
      <c r="H149" s="111"/>
      <c r="I149" s="112">
        <f>ROUNDDOWN(IF(F149*I148&gt;J148,J148,F149*I148),-1)</f>
        <v>0</v>
      </c>
      <c r="J149" s="113"/>
      <c r="K149" s="112">
        <f>ROUNDDOWN(IF(F149*K148&gt;L148,L148,F149*K148),-1)</f>
        <v>130000</v>
      </c>
      <c r="L149" s="113"/>
      <c r="M149" s="110">
        <f>ROUNDDOWN(IF(Q149*M148&gt;N148,N148,Q149*M148),-1)</f>
        <v>0</v>
      </c>
      <c r="N149" s="111"/>
      <c r="O149" s="110">
        <f>ROUNDDOWN(IF(F149*O148&gt;P148,P148,F149*O148),-1)</f>
        <v>0</v>
      </c>
      <c r="P149" s="111"/>
      <c r="Q149" s="23">
        <f>F149-G149-I149-K149</f>
        <v>578890</v>
      </c>
      <c r="R149" s="22">
        <f>F149-G149-I149-K149-M149-O149</f>
        <v>578890</v>
      </c>
      <c r="S149" s="21"/>
      <c r="T149" s="20">
        <f>F149*T148</f>
        <v>54530.000000000007</v>
      </c>
      <c r="U149" s="20">
        <f>F149*U148</f>
        <v>0</v>
      </c>
      <c r="V149" s="20">
        <f>(F149-I149)*V148</f>
        <v>23370</v>
      </c>
      <c r="W149" s="19">
        <f>(F149*F148)*W148</f>
        <v>0</v>
      </c>
      <c r="X149" s="19">
        <f>G149*X148</f>
        <v>0</v>
      </c>
      <c r="Y149" s="19">
        <f>I149*Y148</f>
        <v>0</v>
      </c>
      <c r="Z149" s="19">
        <f>K149*Z148</f>
        <v>119999.88</v>
      </c>
      <c r="AA149" s="19">
        <f>M149*AA148</f>
        <v>0</v>
      </c>
      <c r="AB149" s="19">
        <v>0</v>
      </c>
      <c r="AC149" s="16">
        <v>6000</v>
      </c>
      <c r="AD149" s="18">
        <f>F149-T149-U149-V149-W149-AA149-X149-Y149-Z149-AB149</f>
        <v>581100.12</v>
      </c>
      <c r="AE149" s="18">
        <f>F149-T149-U149-V149-W149-X149-Y149-Z149-AA149-AB149-AC149</f>
        <v>575100.12</v>
      </c>
      <c r="AF149" s="17">
        <f>AE149-AG149</f>
        <v>-71899.88</v>
      </c>
      <c r="AG149" s="16">
        <v>647000</v>
      </c>
      <c r="AH149" s="15">
        <f>AF149/AG149</f>
        <v>-0.11112809891808346</v>
      </c>
      <c r="AI149" s="14">
        <f>1-R149/(AG149-AM149-AN149-AO149)</f>
        <v>-2.0970017636684268E-2</v>
      </c>
      <c r="AJ149" s="114">
        <f>(1-R149/F149)-(1-(AD149)/F149)</f>
        <v>2.8371245186136207E-3</v>
      </c>
      <c r="AK149" s="115"/>
      <c r="AM149" s="13">
        <v>80000</v>
      </c>
      <c r="AN149" s="12">
        <v>0</v>
      </c>
      <c r="AO149" s="12"/>
      <c r="AP149" s="12"/>
      <c r="AQ149" s="11">
        <f>AE149-(AG149-AM149-AN149-AO149-AP149)</f>
        <v>8100.1199999999953</v>
      </c>
      <c r="AR149" s="8">
        <f>AQ149/AG149</f>
        <v>1.2519505409582682E-2</v>
      </c>
      <c r="AT149" s="10">
        <v>0</v>
      </c>
      <c r="AU149" s="10">
        <v>0</v>
      </c>
      <c r="AV149" s="9">
        <f>AQ149-AT149-AU149</f>
        <v>8100.1199999999953</v>
      </c>
      <c r="AW149" s="8">
        <f>AV149/AG149</f>
        <v>1.2519505409582682E-2</v>
      </c>
      <c r="AY149" s="7"/>
      <c r="AZ149" s="50"/>
      <c r="BA149" s="52"/>
      <c r="BB149" s="7"/>
    </row>
    <row r="150" spans="1:54" ht="16.5" customHeight="1" x14ac:dyDescent="0.3">
      <c r="C150" s="57"/>
      <c r="D150" s="57"/>
      <c r="E150" s="5">
        <v>699000</v>
      </c>
      <c r="F150" s="4">
        <f>ROUNDDOWN(E150/(1-F148),-1)</f>
        <v>699000</v>
      </c>
      <c r="G150" s="105">
        <f>ROUNDDOWN(IF(F150*G148&gt;H148,H148,F150*G148),-1)</f>
        <v>62910</v>
      </c>
      <c r="H150" s="105"/>
      <c r="J150" s="54">
        <f>F149*4%</f>
        <v>31160</v>
      </c>
      <c r="R150" s="4">
        <v>629000</v>
      </c>
      <c r="X150" s="3">
        <f>G150*X148</f>
        <v>0</v>
      </c>
      <c r="Y150" s="3"/>
      <c r="Z150" s="3"/>
      <c r="AG150" s="4"/>
    </row>
    <row r="151" spans="1:54" ht="27" customHeight="1" x14ac:dyDescent="0.3">
      <c r="A151" s="124" t="s">
        <v>34</v>
      </c>
      <c r="B151" s="148" t="s">
        <v>96</v>
      </c>
      <c r="C151" s="149"/>
      <c r="D151" s="149"/>
      <c r="E151" s="149"/>
      <c r="F151" s="149"/>
      <c r="G151" s="149"/>
      <c r="H151" s="149"/>
      <c r="I151" s="149"/>
      <c r="J151" s="149"/>
      <c r="K151" s="149"/>
      <c r="L151" s="149"/>
      <c r="M151" s="149"/>
      <c r="N151" s="149"/>
      <c r="O151" s="149"/>
      <c r="P151" s="149"/>
      <c r="Q151" s="149"/>
      <c r="R151" s="150"/>
      <c r="T151" s="130" t="s">
        <v>33</v>
      </c>
      <c r="U151" s="131"/>
      <c r="V151" s="131"/>
      <c r="W151" s="131"/>
      <c r="X151" s="131"/>
      <c r="Y151" s="131"/>
      <c r="Z151" s="131"/>
      <c r="AA151" s="131"/>
      <c r="AB151" s="131"/>
      <c r="AC151" s="131"/>
      <c r="AD151" s="131"/>
      <c r="AE151" s="131"/>
      <c r="AF151" s="131"/>
      <c r="AG151" s="131"/>
      <c r="AH151" s="132"/>
      <c r="AI151" s="37"/>
      <c r="AM151" s="130" t="s">
        <v>32</v>
      </c>
      <c r="AN151" s="131"/>
      <c r="AO151" s="131"/>
      <c r="AP151" s="131"/>
      <c r="AQ151" s="131"/>
      <c r="AR151" s="132"/>
      <c r="AT151" s="130" t="s">
        <v>31</v>
      </c>
      <c r="AU151" s="131"/>
      <c r="AV151" s="131"/>
      <c r="AW151" s="132"/>
      <c r="AY151" s="36" t="s">
        <v>36</v>
      </c>
      <c r="AZ151" s="48"/>
      <c r="BA151" s="52"/>
      <c r="BB151" s="36"/>
    </row>
    <row r="152" spans="1:54" ht="32.25" customHeight="1" x14ac:dyDescent="0.3">
      <c r="A152" s="125"/>
      <c r="B152" s="133" t="s">
        <v>30</v>
      </c>
      <c r="C152" s="133" t="s">
        <v>29</v>
      </c>
      <c r="D152" s="116" t="s">
        <v>28</v>
      </c>
      <c r="E152" s="116" t="s">
        <v>27</v>
      </c>
      <c r="F152" s="34" t="s">
        <v>26</v>
      </c>
      <c r="G152" s="122" t="s">
        <v>63</v>
      </c>
      <c r="H152" s="123"/>
      <c r="I152" s="122" t="s">
        <v>50</v>
      </c>
      <c r="J152" s="123"/>
      <c r="K152" s="122" t="s">
        <v>62</v>
      </c>
      <c r="L152" s="123"/>
      <c r="M152" s="122" t="s">
        <v>25</v>
      </c>
      <c r="N152" s="123"/>
      <c r="O152" s="122" t="s">
        <v>24</v>
      </c>
      <c r="P152" s="123"/>
      <c r="Q152" s="106" t="s">
        <v>23</v>
      </c>
      <c r="R152" s="106" t="s">
        <v>22</v>
      </c>
      <c r="S152" s="21"/>
      <c r="T152" s="34" t="s">
        <v>21</v>
      </c>
      <c r="U152" s="34" t="s">
        <v>20</v>
      </c>
      <c r="V152" s="34" t="s">
        <v>95</v>
      </c>
      <c r="W152" s="34" t="s">
        <v>19</v>
      </c>
      <c r="X152" s="34" t="s">
        <v>18</v>
      </c>
      <c r="Y152" s="34" t="s">
        <v>48</v>
      </c>
      <c r="Z152" s="34" t="s">
        <v>49</v>
      </c>
      <c r="AA152" s="34" t="s">
        <v>17</v>
      </c>
      <c r="AB152" s="106" t="s">
        <v>16</v>
      </c>
      <c r="AC152" s="106" t="s">
        <v>15</v>
      </c>
      <c r="AD152" s="106" t="s">
        <v>14</v>
      </c>
      <c r="AE152" s="106" t="s">
        <v>13</v>
      </c>
      <c r="AF152" s="106" t="s">
        <v>12</v>
      </c>
      <c r="AG152" s="116" t="s">
        <v>11</v>
      </c>
      <c r="AH152" s="118" t="s">
        <v>10</v>
      </c>
      <c r="AI152" s="120" t="s">
        <v>9</v>
      </c>
      <c r="AJ152" s="35">
        <f>(1-R154/F154)</f>
        <v>0.30873507496184571</v>
      </c>
      <c r="AK152" s="35">
        <f>1-(AD154+AM154)/F154</f>
        <v>0.17730865812524854</v>
      </c>
      <c r="AM152" s="106" t="s">
        <v>8</v>
      </c>
      <c r="AN152" s="106" t="s">
        <v>7</v>
      </c>
      <c r="AO152" s="106" t="s">
        <v>37</v>
      </c>
      <c r="AP152" s="106" t="s">
        <v>38</v>
      </c>
      <c r="AQ152" s="106" t="s">
        <v>6</v>
      </c>
      <c r="AR152" s="106" t="s">
        <v>5</v>
      </c>
      <c r="AT152" s="106" t="s">
        <v>4</v>
      </c>
      <c r="AU152" s="106" t="s">
        <v>3</v>
      </c>
      <c r="AV152" s="106" t="s">
        <v>2</v>
      </c>
      <c r="AW152" s="106" t="s">
        <v>1</v>
      </c>
      <c r="AY152" s="106"/>
      <c r="AZ152" s="108"/>
      <c r="BA152" s="52"/>
      <c r="BB152" s="106"/>
    </row>
    <row r="153" spans="1:54" ht="27" customHeight="1" x14ac:dyDescent="0.3">
      <c r="A153" s="126"/>
      <c r="B153" s="134"/>
      <c r="C153" s="134"/>
      <c r="D153" s="117"/>
      <c r="E153" s="117"/>
      <c r="F153" s="31">
        <v>0</v>
      </c>
      <c r="G153" s="33">
        <v>0.09</v>
      </c>
      <c r="H153" s="32">
        <v>600000</v>
      </c>
      <c r="I153" s="31">
        <v>0</v>
      </c>
      <c r="J153" s="32">
        <v>0</v>
      </c>
      <c r="K153" s="31">
        <v>1</v>
      </c>
      <c r="L153" s="32">
        <v>130000</v>
      </c>
      <c r="M153" s="31">
        <v>7.0000000000000007E-2</v>
      </c>
      <c r="N153" s="32">
        <v>70000</v>
      </c>
      <c r="O153" s="31">
        <v>0</v>
      </c>
      <c r="P153" s="32">
        <v>0</v>
      </c>
      <c r="Q153" s="107"/>
      <c r="R153" s="107"/>
      <c r="S153" s="21"/>
      <c r="T153" s="31">
        <f>IF(C154="노트북",7%,IF(C154="저장&amp;주변기기",9%,IF(C154="모니터",7%)))</f>
        <v>7.0000000000000007E-2</v>
      </c>
      <c r="U153" s="31">
        <v>0</v>
      </c>
      <c r="V153" s="31">
        <v>0.03</v>
      </c>
      <c r="W153" s="31">
        <f>IF(G153=0%,20%,0%)</f>
        <v>0</v>
      </c>
      <c r="X153" s="30">
        <v>0</v>
      </c>
      <c r="Y153" s="30">
        <v>1</v>
      </c>
      <c r="Z153" s="53">
        <v>0.92307600000000001</v>
      </c>
      <c r="AA153" s="29">
        <v>0.5</v>
      </c>
      <c r="AB153" s="107"/>
      <c r="AC153" s="107"/>
      <c r="AD153" s="107"/>
      <c r="AE153" s="107"/>
      <c r="AF153" s="107"/>
      <c r="AG153" s="117"/>
      <c r="AH153" s="119"/>
      <c r="AI153" s="121"/>
      <c r="AJ153" s="55" t="s">
        <v>52</v>
      </c>
      <c r="AK153" s="56">
        <f>AJ152-AK152</f>
        <v>0.13142641683659717</v>
      </c>
      <c r="AM153" s="107"/>
      <c r="AN153" s="107"/>
      <c r="AO153" s="107"/>
      <c r="AP153" s="107"/>
      <c r="AQ153" s="107"/>
      <c r="AR153" s="107"/>
      <c r="AS153" s="39"/>
      <c r="AT153" s="107"/>
      <c r="AU153" s="107"/>
      <c r="AV153" s="107"/>
      <c r="AW153" s="107"/>
      <c r="AY153" s="107"/>
      <c r="AZ153" s="109"/>
      <c r="BA153" s="52"/>
      <c r="BB153" s="107"/>
    </row>
    <row r="154" spans="1:54" ht="27" customHeight="1" x14ac:dyDescent="0.3">
      <c r="A154" s="51" t="s">
        <v>76</v>
      </c>
      <c r="B154" s="38" t="s">
        <v>35</v>
      </c>
      <c r="C154" s="27" t="s">
        <v>0</v>
      </c>
      <c r="D154" s="26">
        <v>4608884708</v>
      </c>
      <c r="E154" s="25">
        <v>779730</v>
      </c>
      <c r="F154" s="24">
        <f>ROUNDDOWN(E154/(1-F153),-1)</f>
        <v>779730</v>
      </c>
      <c r="G154" s="110">
        <f>ROUNDDOWN(IF(F154*G153&gt;H153,H153,F154*G153),-1)</f>
        <v>70170</v>
      </c>
      <c r="H154" s="111"/>
      <c r="I154" s="112">
        <f>ROUNDDOWN(IF(F154*I153&gt;J153,J153,F154*I153),-1)</f>
        <v>0</v>
      </c>
      <c r="J154" s="113"/>
      <c r="K154" s="112">
        <f>ROUNDDOWN(IF(F154*K153&gt;L153,L153,F154*K153),-1)</f>
        <v>130000</v>
      </c>
      <c r="L154" s="113"/>
      <c r="M154" s="110">
        <f>ROUNDDOWN(IF(Q154*M153&gt;N153,N153,Q154*M153),-1)</f>
        <v>40560</v>
      </c>
      <c r="N154" s="111"/>
      <c r="O154" s="110">
        <f>ROUNDDOWN(IF(F154*O153&gt;P153,P153,F154*O153),-1)</f>
        <v>0</v>
      </c>
      <c r="P154" s="111"/>
      <c r="Q154" s="23">
        <f>F154-G154-I154-K154</f>
        <v>579560</v>
      </c>
      <c r="R154" s="22">
        <f>F154-G154-I154-K154-M154-O154</f>
        <v>539000</v>
      </c>
      <c r="S154" s="21"/>
      <c r="T154" s="20">
        <f>F154*T153</f>
        <v>54581.100000000006</v>
      </c>
      <c r="U154" s="20">
        <f>F154*U153</f>
        <v>0</v>
      </c>
      <c r="V154" s="20">
        <f>(F154-I154)*V153</f>
        <v>23391.899999999998</v>
      </c>
      <c r="W154" s="19">
        <f>(F154*F153)*W153</f>
        <v>0</v>
      </c>
      <c r="X154" s="19">
        <f>G154*X153</f>
        <v>0</v>
      </c>
      <c r="Y154" s="19">
        <f>I154*Y153</f>
        <v>0</v>
      </c>
      <c r="Z154" s="19">
        <f>K154*Z153</f>
        <v>119999.88</v>
      </c>
      <c r="AA154" s="19">
        <f>M154*AA153</f>
        <v>20280</v>
      </c>
      <c r="AB154" s="19">
        <v>0</v>
      </c>
      <c r="AC154" s="16">
        <v>6000</v>
      </c>
      <c r="AD154" s="18">
        <f>F154-T154-U154-V154-W154-AA154-X154-Y154-Z154-AB154</f>
        <v>561477.12</v>
      </c>
      <c r="AE154" s="18">
        <f>F154-T154-U154-V154-W154-X154-Y154-Z154-AA154-AB154-AC154</f>
        <v>555477.12</v>
      </c>
      <c r="AF154" s="17">
        <f>AE154-AG154</f>
        <v>-91522.880000000005</v>
      </c>
      <c r="AG154" s="16">
        <v>647000</v>
      </c>
      <c r="AH154" s="15">
        <f>AF154/AG154</f>
        <v>-0.14145731066460587</v>
      </c>
      <c r="AI154" s="14">
        <f>1-R154/(AG154-AM154-AN154-AO154)</f>
        <v>-3.7243947858474069E-3</v>
      </c>
      <c r="AJ154" s="114">
        <f>(1-R154/F154)-(1-(AD154)/F154)</f>
        <v>2.8826799020173599E-2</v>
      </c>
      <c r="AK154" s="115"/>
      <c r="AM154" s="13">
        <v>80000</v>
      </c>
      <c r="AN154" s="12">
        <v>30000</v>
      </c>
      <c r="AO154" s="12"/>
      <c r="AP154" s="12"/>
      <c r="AQ154" s="11">
        <f>AE154-(AG154-AM154-AN154-AO154-AP154)</f>
        <v>18477.119999999995</v>
      </c>
      <c r="AR154" s="8">
        <f>AQ154/AG154</f>
        <v>2.8558145285935078E-2</v>
      </c>
      <c r="AT154" s="10">
        <v>0</v>
      </c>
      <c r="AU154" s="10">
        <v>0</v>
      </c>
      <c r="AV154" s="9">
        <f>AQ154-AT154-AU154</f>
        <v>18477.119999999995</v>
      </c>
      <c r="AW154" s="8">
        <f>AV154/AG154</f>
        <v>2.8558145285935078E-2</v>
      </c>
      <c r="AY154" s="7"/>
      <c r="AZ154" s="50"/>
      <c r="BA154" s="52"/>
      <c r="BB154" s="7"/>
    </row>
    <row r="155" spans="1:54" ht="16.5" customHeight="1" x14ac:dyDescent="0.3">
      <c r="C155" s="57"/>
      <c r="D155" s="57"/>
      <c r="E155" s="5">
        <v>699000</v>
      </c>
      <c r="F155" s="4">
        <f>ROUNDDOWN(E155/(1-F153),-1)</f>
        <v>699000</v>
      </c>
      <c r="G155" s="105">
        <f>ROUNDDOWN(IF(F155*G153&gt;H153,H153,F155*G153),-1)</f>
        <v>62910</v>
      </c>
      <c r="H155" s="105"/>
      <c r="J155" s="54">
        <f>F154*4%</f>
        <v>31189.200000000001</v>
      </c>
      <c r="R155" s="4">
        <v>629000</v>
      </c>
      <c r="X155" s="3">
        <f>G155*X153</f>
        <v>0</v>
      </c>
      <c r="Y155" s="3"/>
      <c r="Z155" s="3"/>
      <c r="AG155" s="4"/>
    </row>
    <row r="156" spans="1:54" ht="27" customHeight="1" x14ac:dyDescent="0.3">
      <c r="A156" s="124" t="s">
        <v>34</v>
      </c>
      <c r="B156" s="148" t="s">
        <v>98</v>
      </c>
      <c r="C156" s="149"/>
      <c r="D156" s="149"/>
      <c r="E156" s="149"/>
      <c r="F156" s="149"/>
      <c r="G156" s="149"/>
      <c r="H156" s="149"/>
      <c r="I156" s="149"/>
      <c r="J156" s="149"/>
      <c r="K156" s="149"/>
      <c r="L156" s="149"/>
      <c r="M156" s="149"/>
      <c r="N156" s="149"/>
      <c r="O156" s="149"/>
      <c r="P156" s="149"/>
      <c r="Q156" s="149"/>
      <c r="R156" s="150"/>
      <c r="T156" s="130" t="s">
        <v>33</v>
      </c>
      <c r="U156" s="131"/>
      <c r="V156" s="131"/>
      <c r="W156" s="131"/>
      <c r="X156" s="131"/>
      <c r="Y156" s="131"/>
      <c r="Z156" s="131"/>
      <c r="AA156" s="131"/>
      <c r="AB156" s="131"/>
      <c r="AC156" s="131"/>
      <c r="AD156" s="131"/>
      <c r="AE156" s="131"/>
      <c r="AF156" s="131"/>
      <c r="AG156" s="131"/>
      <c r="AH156" s="132"/>
      <c r="AI156" s="37"/>
      <c r="AM156" s="130" t="s">
        <v>32</v>
      </c>
      <c r="AN156" s="131"/>
      <c r="AO156" s="131"/>
      <c r="AP156" s="131"/>
      <c r="AQ156" s="131"/>
      <c r="AR156" s="132"/>
      <c r="AT156" s="130" t="s">
        <v>31</v>
      </c>
      <c r="AU156" s="131"/>
      <c r="AV156" s="131"/>
      <c r="AW156" s="132"/>
      <c r="AY156" s="36" t="s">
        <v>36</v>
      </c>
      <c r="AZ156" s="48"/>
      <c r="BA156" s="52"/>
      <c r="BB156" s="36"/>
    </row>
    <row r="157" spans="1:54" ht="32.25" customHeight="1" x14ac:dyDescent="0.3">
      <c r="A157" s="125"/>
      <c r="B157" s="133" t="s">
        <v>30</v>
      </c>
      <c r="C157" s="133" t="s">
        <v>29</v>
      </c>
      <c r="D157" s="116" t="s">
        <v>28</v>
      </c>
      <c r="E157" s="116" t="s">
        <v>27</v>
      </c>
      <c r="F157" s="34" t="s">
        <v>26</v>
      </c>
      <c r="G157" s="122" t="s">
        <v>63</v>
      </c>
      <c r="H157" s="123"/>
      <c r="I157" s="122" t="s">
        <v>50</v>
      </c>
      <c r="J157" s="123"/>
      <c r="K157" s="122" t="s">
        <v>62</v>
      </c>
      <c r="L157" s="123"/>
      <c r="M157" s="122" t="s">
        <v>25</v>
      </c>
      <c r="N157" s="123"/>
      <c r="O157" s="122" t="s">
        <v>24</v>
      </c>
      <c r="P157" s="123"/>
      <c r="Q157" s="106" t="s">
        <v>23</v>
      </c>
      <c r="R157" s="106" t="s">
        <v>22</v>
      </c>
      <c r="S157" s="21"/>
      <c r="T157" s="34" t="s">
        <v>21</v>
      </c>
      <c r="U157" s="34" t="s">
        <v>20</v>
      </c>
      <c r="V157" s="34" t="s">
        <v>95</v>
      </c>
      <c r="W157" s="34" t="s">
        <v>19</v>
      </c>
      <c r="X157" s="34" t="s">
        <v>18</v>
      </c>
      <c r="Y157" s="34" t="s">
        <v>48</v>
      </c>
      <c r="Z157" s="34" t="s">
        <v>49</v>
      </c>
      <c r="AA157" s="34" t="s">
        <v>17</v>
      </c>
      <c r="AB157" s="106" t="s">
        <v>16</v>
      </c>
      <c r="AC157" s="106" t="s">
        <v>15</v>
      </c>
      <c r="AD157" s="106" t="s">
        <v>14</v>
      </c>
      <c r="AE157" s="106" t="s">
        <v>13</v>
      </c>
      <c r="AF157" s="106" t="s">
        <v>12</v>
      </c>
      <c r="AG157" s="116" t="s">
        <v>11</v>
      </c>
      <c r="AH157" s="118" t="s">
        <v>10</v>
      </c>
      <c r="AI157" s="120" t="s">
        <v>9</v>
      </c>
      <c r="AJ157" s="35">
        <f>(1-R159/F159)</f>
        <v>0.31481599186423437</v>
      </c>
      <c r="AK157" s="35">
        <f>1-(AD159+AM159)/F159</f>
        <v>0.18063291171423124</v>
      </c>
      <c r="AM157" s="106" t="s">
        <v>8</v>
      </c>
      <c r="AN157" s="106" t="s">
        <v>7</v>
      </c>
      <c r="AO157" s="106" t="s">
        <v>37</v>
      </c>
      <c r="AP157" s="106" t="s">
        <v>38</v>
      </c>
      <c r="AQ157" s="106" t="s">
        <v>6</v>
      </c>
      <c r="AR157" s="106" t="s">
        <v>5</v>
      </c>
      <c r="AT157" s="106" t="s">
        <v>4</v>
      </c>
      <c r="AU157" s="106" t="s">
        <v>3</v>
      </c>
      <c r="AV157" s="106" t="s">
        <v>2</v>
      </c>
      <c r="AW157" s="106" t="s">
        <v>1</v>
      </c>
      <c r="AY157" s="106"/>
      <c r="AZ157" s="108"/>
      <c r="BA157" s="52"/>
      <c r="BB157" s="106"/>
    </row>
    <row r="158" spans="1:54" ht="27" customHeight="1" x14ac:dyDescent="0.3">
      <c r="A158" s="126"/>
      <c r="B158" s="134"/>
      <c r="C158" s="134"/>
      <c r="D158" s="117"/>
      <c r="E158" s="117"/>
      <c r="F158" s="31">
        <v>0</v>
      </c>
      <c r="G158" s="33">
        <v>0.09</v>
      </c>
      <c r="H158" s="32">
        <v>600000</v>
      </c>
      <c r="I158" s="31">
        <v>0</v>
      </c>
      <c r="J158" s="32">
        <v>0</v>
      </c>
      <c r="K158" s="31">
        <v>1</v>
      </c>
      <c r="L158" s="32">
        <v>130000</v>
      </c>
      <c r="M158" s="31">
        <v>0.08</v>
      </c>
      <c r="N158" s="32">
        <v>70000</v>
      </c>
      <c r="O158" s="31">
        <v>0</v>
      </c>
      <c r="P158" s="32">
        <v>0</v>
      </c>
      <c r="Q158" s="107"/>
      <c r="R158" s="107"/>
      <c r="S158" s="21"/>
      <c r="T158" s="31">
        <f>IF(C159="노트북",7%,IF(C159="저장&amp;주변기기",9%,IF(C159="모니터",7%)))</f>
        <v>7.0000000000000007E-2</v>
      </c>
      <c r="U158" s="31">
        <v>0</v>
      </c>
      <c r="V158" s="31">
        <v>0.03</v>
      </c>
      <c r="W158" s="31">
        <f>IF(G158=0%,20%,0%)</f>
        <v>0</v>
      </c>
      <c r="X158" s="30">
        <v>0</v>
      </c>
      <c r="Y158" s="30">
        <v>1</v>
      </c>
      <c r="Z158" s="53">
        <v>0.92307600000000001</v>
      </c>
      <c r="AA158" s="29">
        <v>0.5</v>
      </c>
      <c r="AB158" s="107"/>
      <c r="AC158" s="107"/>
      <c r="AD158" s="107"/>
      <c r="AE158" s="107"/>
      <c r="AF158" s="107"/>
      <c r="AG158" s="117"/>
      <c r="AH158" s="119"/>
      <c r="AI158" s="121"/>
      <c r="AJ158" s="55" t="s">
        <v>52</v>
      </c>
      <c r="AK158" s="56">
        <f>AJ157-AK157</f>
        <v>0.13418308015000313</v>
      </c>
      <c r="AM158" s="107"/>
      <c r="AN158" s="107"/>
      <c r="AO158" s="107"/>
      <c r="AP158" s="107"/>
      <c r="AQ158" s="107"/>
      <c r="AR158" s="107"/>
      <c r="AS158" s="39"/>
      <c r="AT158" s="107"/>
      <c r="AU158" s="107"/>
      <c r="AV158" s="107"/>
      <c r="AW158" s="107"/>
      <c r="AY158" s="107"/>
      <c r="AZ158" s="109"/>
      <c r="BA158" s="52"/>
      <c r="BB158" s="107"/>
    </row>
    <row r="159" spans="1:54" ht="27" customHeight="1" x14ac:dyDescent="0.3">
      <c r="A159" s="51" t="s">
        <v>76</v>
      </c>
      <c r="B159" s="38" t="s">
        <v>35</v>
      </c>
      <c r="C159" s="27" t="s">
        <v>0</v>
      </c>
      <c r="D159" s="26">
        <v>4608884708</v>
      </c>
      <c r="E159" s="25">
        <v>786650</v>
      </c>
      <c r="F159" s="24">
        <f>ROUNDDOWN(E159/(1-F158),-1)</f>
        <v>786650</v>
      </c>
      <c r="G159" s="110">
        <f>ROUNDDOWN(IF(F159*G158&gt;H158,H158,F159*G158),-1)</f>
        <v>70790</v>
      </c>
      <c r="H159" s="111"/>
      <c r="I159" s="112">
        <f>ROUNDDOWN(IF(F159*I158&gt;J158,J158,F159*I158),-1)</f>
        <v>0</v>
      </c>
      <c r="J159" s="113"/>
      <c r="K159" s="112">
        <f>ROUNDDOWN(IF(F159*K158&gt;L158,L158,F159*K158),-1)</f>
        <v>130000</v>
      </c>
      <c r="L159" s="113"/>
      <c r="M159" s="110">
        <f>ROUNDDOWN(IF(Q159*M158&gt;N158,N158,Q159*M158),-1)</f>
        <v>46860</v>
      </c>
      <c r="N159" s="111"/>
      <c r="O159" s="110">
        <f>ROUNDDOWN(IF(F159*O158&gt;P158,P158,F159*O158),-1)</f>
        <v>0</v>
      </c>
      <c r="P159" s="111"/>
      <c r="Q159" s="23">
        <f>F159-G159-I159-K159</f>
        <v>585860</v>
      </c>
      <c r="R159" s="22">
        <f>F159-G159-I159-K159-M159-O159</f>
        <v>539000</v>
      </c>
      <c r="S159" s="21"/>
      <c r="T159" s="20">
        <f>F159*T158</f>
        <v>55065.500000000007</v>
      </c>
      <c r="U159" s="20">
        <f>F159*U158</f>
        <v>0</v>
      </c>
      <c r="V159" s="20">
        <f>(F159-I159)*V158</f>
        <v>23599.5</v>
      </c>
      <c r="W159" s="19">
        <f>(F159*F158)*W158</f>
        <v>0</v>
      </c>
      <c r="X159" s="19">
        <f>G159*X158</f>
        <v>0</v>
      </c>
      <c r="Y159" s="19">
        <f>I159*Y158</f>
        <v>0</v>
      </c>
      <c r="Z159" s="19">
        <f>K159*Z158</f>
        <v>119999.88</v>
      </c>
      <c r="AA159" s="19">
        <f>M159*AA158</f>
        <v>23430</v>
      </c>
      <c r="AB159" s="19">
        <v>0</v>
      </c>
      <c r="AC159" s="16">
        <v>6000</v>
      </c>
      <c r="AD159" s="18">
        <f>F159-T159-U159-V159-W159-AA159-X159-Y159-Z159-AB159</f>
        <v>564555.12</v>
      </c>
      <c r="AE159" s="18">
        <f>F159-T159-U159-V159-W159-X159-Y159-Z159-AA159-AB159-AC159</f>
        <v>558555.12</v>
      </c>
      <c r="AF159" s="17">
        <f>AE159-AG159</f>
        <v>-88444.88</v>
      </c>
      <c r="AG159" s="16">
        <v>647000</v>
      </c>
      <c r="AH159" s="15">
        <f>AF159/AG159</f>
        <v>-0.13669996908809892</v>
      </c>
      <c r="AI159" s="14">
        <f>1-R159/(AG159-AM159-AN159-AO159)</f>
        <v>-3.7243947858474069E-3</v>
      </c>
      <c r="AJ159" s="114">
        <f>(1-R159/F159)-(1-(AD159)/F159)</f>
        <v>3.2486010296828294E-2</v>
      </c>
      <c r="AK159" s="115"/>
      <c r="AM159" s="13">
        <v>80000</v>
      </c>
      <c r="AN159" s="12">
        <v>30000</v>
      </c>
      <c r="AO159" s="12"/>
      <c r="AP159" s="12"/>
      <c r="AQ159" s="11">
        <f>AE159-(AG159-AM159-AN159-AO159-AP159)</f>
        <v>21555.119999999995</v>
      </c>
      <c r="AR159" s="8">
        <f>AQ159/AG159</f>
        <v>3.3315486862442033E-2</v>
      </c>
      <c r="AT159" s="10">
        <v>0</v>
      </c>
      <c r="AU159" s="10">
        <v>0</v>
      </c>
      <c r="AV159" s="9">
        <f>AQ159-AT159-AU159</f>
        <v>21555.119999999995</v>
      </c>
      <c r="AW159" s="8">
        <f>AV159/AG159</f>
        <v>3.3315486862442033E-2</v>
      </c>
      <c r="AY159" s="7"/>
      <c r="AZ159" s="50"/>
      <c r="BA159" s="52"/>
      <c r="BB159" s="7"/>
    </row>
    <row r="160" spans="1:54" ht="16.5" customHeight="1" x14ac:dyDescent="0.3">
      <c r="C160" s="57"/>
      <c r="D160" s="57"/>
      <c r="E160" s="5">
        <v>699000</v>
      </c>
      <c r="F160" s="4">
        <f>ROUNDDOWN(E160/(1-F158),-1)</f>
        <v>699000</v>
      </c>
      <c r="G160" s="105">
        <f>ROUNDDOWN(IF(F160*G158&gt;H158,H158,F160*G158),-1)</f>
        <v>62910</v>
      </c>
      <c r="H160" s="105"/>
      <c r="J160" s="54">
        <f>F159*4%</f>
        <v>31466</v>
      </c>
      <c r="R160" s="4">
        <v>629000</v>
      </c>
      <c r="X160" s="3">
        <f>G160*X158</f>
        <v>0</v>
      </c>
      <c r="Y160" s="3"/>
      <c r="Z160" s="3"/>
      <c r="AG160" s="4"/>
    </row>
    <row r="161" spans="1:54" ht="27" customHeight="1" x14ac:dyDescent="0.3">
      <c r="A161" s="124" t="s">
        <v>34</v>
      </c>
      <c r="B161" s="148" t="s">
        <v>99</v>
      </c>
      <c r="C161" s="149"/>
      <c r="D161" s="149"/>
      <c r="E161" s="149"/>
      <c r="F161" s="149"/>
      <c r="G161" s="149"/>
      <c r="H161" s="149"/>
      <c r="I161" s="149"/>
      <c r="J161" s="149"/>
      <c r="K161" s="149"/>
      <c r="L161" s="149"/>
      <c r="M161" s="149"/>
      <c r="N161" s="149"/>
      <c r="O161" s="149"/>
      <c r="P161" s="149"/>
      <c r="Q161" s="149"/>
      <c r="R161" s="150"/>
      <c r="T161" s="130" t="s">
        <v>33</v>
      </c>
      <c r="U161" s="131"/>
      <c r="V161" s="131"/>
      <c r="W161" s="131"/>
      <c r="X161" s="131"/>
      <c r="Y161" s="131"/>
      <c r="Z161" s="131"/>
      <c r="AA161" s="131"/>
      <c r="AB161" s="131"/>
      <c r="AC161" s="131"/>
      <c r="AD161" s="131"/>
      <c r="AE161" s="131"/>
      <c r="AF161" s="131"/>
      <c r="AG161" s="131"/>
      <c r="AH161" s="132"/>
      <c r="AI161" s="37"/>
      <c r="AM161" s="130" t="s">
        <v>32</v>
      </c>
      <c r="AN161" s="131"/>
      <c r="AO161" s="131"/>
      <c r="AP161" s="131"/>
      <c r="AQ161" s="131"/>
      <c r="AR161" s="132"/>
      <c r="AT161" s="130" t="s">
        <v>31</v>
      </c>
      <c r="AU161" s="131"/>
      <c r="AV161" s="131"/>
      <c r="AW161" s="132"/>
      <c r="AY161" s="36" t="s">
        <v>36</v>
      </c>
      <c r="AZ161" s="48"/>
      <c r="BA161" s="52"/>
      <c r="BB161" s="36"/>
    </row>
    <row r="162" spans="1:54" ht="32.25" customHeight="1" x14ac:dyDescent="0.3">
      <c r="A162" s="125"/>
      <c r="B162" s="133" t="s">
        <v>30</v>
      </c>
      <c r="C162" s="133" t="s">
        <v>29</v>
      </c>
      <c r="D162" s="116" t="s">
        <v>28</v>
      </c>
      <c r="E162" s="116" t="s">
        <v>27</v>
      </c>
      <c r="F162" s="34" t="s">
        <v>26</v>
      </c>
      <c r="G162" s="122" t="s">
        <v>63</v>
      </c>
      <c r="H162" s="123"/>
      <c r="I162" s="122" t="s">
        <v>50</v>
      </c>
      <c r="J162" s="123"/>
      <c r="K162" s="122" t="s">
        <v>62</v>
      </c>
      <c r="L162" s="123"/>
      <c r="M162" s="122" t="s">
        <v>25</v>
      </c>
      <c r="N162" s="123"/>
      <c r="O162" s="122" t="s">
        <v>24</v>
      </c>
      <c r="P162" s="123"/>
      <c r="Q162" s="106" t="s">
        <v>23</v>
      </c>
      <c r="R162" s="106" t="s">
        <v>22</v>
      </c>
      <c r="S162" s="21"/>
      <c r="T162" s="34" t="s">
        <v>21</v>
      </c>
      <c r="U162" s="34" t="s">
        <v>20</v>
      </c>
      <c r="V162" s="34" t="s">
        <v>95</v>
      </c>
      <c r="W162" s="34" t="s">
        <v>19</v>
      </c>
      <c r="X162" s="34" t="s">
        <v>18</v>
      </c>
      <c r="Y162" s="34" t="s">
        <v>48</v>
      </c>
      <c r="Z162" s="34" t="s">
        <v>49</v>
      </c>
      <c r="AA162" s="34" t="s">
        <v>17</v>
      </c>
      <c r="AB162" s="106" t="s">
        <v>16</v>
      </c>
      <c r="AC162" s="106" t="s">
        <v>15</v>
      </c>
      <c r="AD162" s="106" t="s">
        <v>14</v>
      </c>
      <c r="AE162" s="106" t="s">
        <v>13</v>
      </c>
      <c r="AF162" s="106" t="s">
        <v>12</v>
      </c>
      <c r="AG162" s="116" t="s">
        <v>11</v>
      </c>
      <c r="AH162" s="118" t="s">
        <v>10</v>
      </c>
      <c r="AI162" s="120" t="s">
        <v>9</v>
      </c>
      <c r="AJ162" s="35">
        <f>(1-R164/F164)</f>
        <v>0.2640294511378849</v>
      </c>
      <c r="AK162" s="35">
        <f>1-(AD164+AM164)/F164</f>
        <v>0.15354736278447123</v>
      </c>
      <c r="AM162" s="106" t="s">
        <v>8</v>
      </c>
      <c r="AN162" s="106" t="s">
        <v>7</v>
      </c>
      <c r="AO162" s="106" t="s">
        <v>37</v>
      </c>
      <c r="AP162" s="106" t="s">
        <v>38</v>
      </c>
      <c r="AQ162" s="106" t="s">
        <v>6</v>
      </c>
      <c r="AR162" s="106" t="s">
        <v>5</v>
      </c>
      <c r="AT162" s="106" t="s">
        <v>4</v>
      </c>
      <c r="AU162" s="106" t="s">
        <v>3</v>
      </c>
      <c r="AV162" s="106" t="s">
        <v>2</v>
      </c>
      <c r="AW162" s="106" t="s">
        <v>1</v>
      </c>
      <c r="AY162" s="106"/>
      <c r="AZ162" s="108"/>
      <c r="BA162" s="52"/>
      <c r="BB162" s="106"/>
    </row>
    <row r="163" spans="1:54" ht="27" customHeight="1" x14ac:dyDescent="0.3">
      <c r="A163" s="126"/>
      <c r="B163" s="134"/>
      <c r="C163" s="134"/>
      <c r="D163" s="117"/>
      <c r="E163" s="117"/>
      <c r="F163" s="31">
        <v>0</v>
      </c>
      <c r="G163" s="33">
        <v>0.09</v>
      </c>
      <c r="H163" s="32">
        <v>600000</v>
      </c>
      <c r="I163" s="31">
        <v>0</v>
      </c>
      <c r="J163" s="32">
        <v>0</v>
      </c>
      <c r="K163" s="31">
        <v>1</v>
      </c>
      <c r="L163" s="32">
        <v>130000</v>
      </c>
      <c r="M163" s="31">
        <v>0</v>
      </c>
      <c r="N163" s="32">
        <v>70000</v>
      </c>
      <c r="O163" s="31">
        <v>0</v>
      </c>
      <c r="P163" s="32">
        <v>0</v>
      </c>
      <c r="Q163" s="107"/>
      <c r="R163" s="107"/>
      <c r="S163" s="21"/>
      <c r="T163" s="31">
        <f>IF(C164="노트북",7%,IF(C164="저장&amp;주변기기",9%,IF(C164="모니터",7%)))</f>
        <v>7.0000000000000007E-2</v>
      </c>
      <c r="U163" s="31">
        <v>0</v>
      </c>
      <c r="V163" s="31">
        <v>0.03</v>
      </c>
      <c r="W163" s="31">
        <f>IF(G163=0%,20%,0%)</f>
        <v>0</v>
      </c>
      <c r="X163" s="30">
        <v>0</v>
      </c>
      <c r="Y163" s="30">
        <v>1</v>
      </c>
      <c r="Z163" s="53">
        <v>0.92307600000000001</v>
      </c>
      <c r="AA163" s="29">
        <v>0.5</v>
      </c>
      <c r="AB163" s="107"/>
      <c r="AC163" s="107"/>
      <c r="AD163" s="107"/>
      <c r="AE163" s="107"/>
      <c r="AF163" s="107"/>
      <c r="AG163" s="117"/>
      <c r="AH163" s="119"/>
      <c r="AI163" s="121"/>
      <c r="AJ163" s="55" t="s">
        <v>52</v>
      </c>
      <c r="AK163" s="56">
        <f>AJ162-AK162</f>
        <v>0.11048208835341367</v>
      </c>
      <c r="AM163" s="107"/>
      <c r="AN163" s="107"/>
      <c r="AO163" s="107"/>
      <c r="AP163" s="107"/>
      <c r="AQ163" s="107"/>
      <c r="AR163" s="107"/>
      <c r="AS163" s="39"/>
      <c r="AT163" s="107"/>
      <c r="AU163" s="107"/>
      <c r="AV163" s="107"/>
      <c r="AW163" s="107"/>
      <c r="AY163" s="107"/>
      <c r="AZ163" s="109"/>
      <c r="BA163" s="52"/>
      <c r="BB163" s="107"/>
    </row>
    <row r="164" spans="1:54" ht="27" customHeight="1" x14ac:dyDescent="0.3">
      <c r="A164" s="51" t="s">
        <v>76</v>
      </c>
      <c r="B164" s="38" t="s">
        <v>35</v>
      </c>
      <c r="C164" s="27" t="s">
        <v>0</v>
      </c>
      <c r="D164" s="26">
        <v>4608884708</v>
      </c>
      <c r="E164" s="25">
        <v>747000</v>
      </c>
      <c r="F164" s="24">
        <f>ROUNDDOWN(E164/(1-F163),-1)</f>
        <v>747000</v>
      </c>
      <c r="G164" s="110">
        <f>ROUNDDOWN(IF(F164*G163&gt;H163,H163,F164*G163),-1)</f>
        <v>67230</v>
      </c>
      <c r="H164" s="111"/>
      <c r="I164" s="112">
        <f>ROUNDDOWN(IF(F164*I163&gt;J163,J163,F164*I163),-1)</f>
        <v>0</v>
      </c>
      <c r="J164" s="113"/>
      <c r="K164" s="112">
        <f>ROUNDDOWN(IF(F164*K163&gt;L163,L163,F164*K163),-1)</f>
        <v>130000</v>
      </c>
      <c r="L164" s="113"/>
      <c r="M164" s="110">
        <f>ROUNDDOWN(IF(Q164*M163&gt;N163,N163,Q164*M163),-1)</f>
        <v>0</v>
      </c>
      <c r="N164" s="111"/>
      <c r="O164" s="110">
        <f>ROUNDDOWN(IF(F164*O163&gt;P163,P163,F164*O163),-1)</f>
        <v>0</v>
      </c>
      <c r="P164" s="111"/>
      <c r="Q164" s="23">
        <f>F164-G164-I164-K164</f>
        <v>549770</v>
      </c>
      <c r="R164" s="22">
        <f>F164-G164-I164-K164-M164-O164</f>
        <v>549770</v>
      </c>
      <c r="S164" s="21"/>
      <c r="T164" s="20">
        <f>F164*T163</f>
        <v>52290.000000000007</v>
      </c>
      <c r="U164" s="20">
        <f>F164*U163</f>
        <v>0</v>
      </c>
      <c r="V164" s="20">
        <f>(F164-I164)*V163</f>
        <v>22410</v>
      </c>
      <c r="W164" s="19">
        <f>(F164*F163)*W163</f>
        <v>0</v>
      </c>
      <c r="X164" s="19">
        <f>G164*X163</f>
        <v>0</v>
      </c>
      <c r="Y164" s="19">
        <f>I164*Y163</f>
        <v>0</v>
      </c>
      <c r="Z164" s="19">
        <f>K164*Z163</f>
        <v>119999.88</v>
      </c>
      <c r="AA164" s="19">
        <f>M164*AA163</f>
        <v>0</v>
      </c>
      <c r="AB164" s="19">
        <v>0</v>
      </c>
      <c r="AC164" s="16">
        <v>6000</v>
      </c>
      <c r="AD164" s="18">
        <f>F164-T164-U164-V164-W164-AA164-X164-Y164-Z164-AB164</f>
        <v>552300.12</v>
      </c>
      <c r="AE164" s="18">
        <f>F164-T164-U164-V164-W164-X164-Y164-Z164-AA164-AB164-AC164</f>
        <v>546300.12</v>
      </c>
      <c r="AF164" s="17">
        <f>AE164-AG164</f>
        <v>-100699.88</v>
      </c>
      <c r="AG164" s="16">
        <v>647000</v>
      </c>
      <c r="AH164" s="15">
        <f>AF164/AG164</f>
        <v>-0.15564123647604328</v>
      </c>
      <c r="AI164" s="14">
        <f>1-R164/(AG164-AM164-AN164-AO164)</f>
        <v>-2.3780260707634948E-2</v>
      </c>
      <c r="AJ164" s="114">
        <f>(1-R164/F164)-(1-(AD164)/F164)</f>
        <v>3.3870414993306674E-3</v>
      </c>
      <c r="AK164" s="115"/>
      <c r="AM164" s="13">
        <v>80000</v>
      </c>
      <c r="AN164" s="12">
        <v>30000</v>
      </c>
      <c r="AO164" s="12"/>
      <c r="AP164" s="12"/>
      <c r="AQ164" s="11">
        <f>AE164-(AG164-AM164-AN164-AO164-AP164)</f>
        <v>9300.1199999999953</v>
      </c>
      <c r="AR164" s="8">
        <f>AQ164/AG164</f>
        <v>1.4374219474497674E-2</v>
      </c>
      <c r="AT164" s="10">
        <v>0</v>
      </c>
      <c r="AU164" s="10">
        <v>0</v>
      </c>
      <c r="AV164" s="9">
        <f>AQ164-AT164-AU164</f>
        <v>9300.1199999999953</v>
      </c>
      <c r="AW164" s="8">
        <f>AV164/AG164</f>
        <v>1.4374219474497674E-2</v>
      </c>
      <c r="AY164" s="7"/>
      <c r="AZ164" s="50"/>
      <c r="BA164" s="52"/>
      <c r="BB164" s="7"/>
    </row>
    <row r="165" spans="1:54" ht="16.5" customHeight="1" x14ac:dyDescent="0.3">
      <c r="C165" s="57"/>
      <c r="D165" s="57"/>
      <c r="E165" s="5">
        <v>699000</v>
      </c>
      <c r="F165" s="4">
        <f>ROUNDDOWN(E165/(1-F163),-1)</f>
        <v>699000</v>
      </c>
      <c r="G165" s="105">
        <f>ROUNDDOWN(IF(F165*G163&gt;H163,H163,F165*G163),-1)</f>
        <v>62910</v>
      </c>
      <c r="H165" s="105"/>
      <c r="J165" s="54">
        <f>F164*4%</f>
        <v>29880</v>
      </c>
      <c r="R165" s="4">
        <v>629000</v>
      </c>
      <c r="X165" s="3">
        <f>G165*X163</f>
        <v>0</v>
      </c>
      <c r="Y165" s="3"/>
      <c r="Z165" s="3"/>
      <c r="AG165" s="4"/>
    </row>
    <row r="166" spans="1:54" ht="27" customHeight="1" x14ac:dyDescent="0.3">
      <c r="A166" s="124" t="s">
        <v>34</v>
      </c>
      <c r="B166" s="148" t="s">
        <v>100</v>
      </c>
      <c r="C166" s="149"/>
      <c r="D166" s="149"/>
      <c r="E166" s="149"/>
      <c r="F166" s="149"/>
      <c r="G166" s="149"/>
      <c r="H166" s="149"/>
      <c r="I166" s="149"/>
      <c r="J166" s="149"/>
      <c r="K166" s="149"/>
      <c r="L166" s="149"/>
      <c r="M166" s="149"/>
      <c r="N166" s="149"/>
      <c r="O166" s="149"/>
      <c r="P166" s="149"/>
      <c r="Q166" s="149"/>
      <c r="R166" s="150"/>
      <c r="T166" s="130" t="s">
        <v>33</v>
      </c>
      <c r="U166" s="131"/>
      <c r="V166" s="131"/>
      <c r="W166" s="131"/>
      <c r="X166" s="131"/>
      <c r="Y166" s="131"/>
      <c r="Z166" s="131"/>
      <c r="AA166" s="131"/>
      <c r="AB166" s="131"/>
      <c r="AC166" s="131"/>
      <c r="AD166" s="131"/>
      <c r="AE166" s="131"/>
      <c r="AF166" s="131"/>
      <c r="AG166" s="131"/>
      <c r="AH166" s="132"/>
      <c r="AI166" s="37"/>
      <c r="AM166" s="130" t="s">
        <v>32</v>
      </c>
      <c r="AN166" s="131"/>
      <c r="AO166" s="131"/>
      <c r="AP166" s="131"/>
      <c r="AQ166" s="131"/>
      <c r="AR166" s="132"/>
      <c r="AT166" s="130" t="s">
        <v>31</v>
      </c>
      <c r="AU166" s="131"/>
      <c r="AV166" s="131"/>
      <c r="AW166" s="132"/>
      <c r="AY166" s="36" t="s">
        <v>36</v>
      </c>
      <c r="AZ166" s="48"/>
      <c r="BA166" s="52"/>
      <c r="BB166" s="36"/>
    </row>
    <row r="167" spans="1:54" ht="32.25" customHeight="1" x14ac:dyDescent="0.3">
      <c r="A167" s="125"/>
      <c r="B167" s="133" t="s">
        <v>30</v>
      </c>
      <c r="C167" s="133" t="s">
        <v>29</v>
      </c>
      <c r="D167" s="116" t="s">
        <v>28</v>
      </c>
      <c r="E167" s="116" t="s">
        <v>27</v>
      </c>
      <c r="F167" s="34" t="s">
        <v>26</v>
      </c>
      <c r="G167" s="122" t="s">
        <v>63</v>
      </c>
      <c r="H167" s="123"/>
      <c r="I167" s="122" t="s">
        <v>50</v>
      </c>
      <c r="J167" s="123"/>
      <c r="K167" s="122" t="s">
        <v>62</v>
      </c>
      <c r="L167" s="123"/>
      <c r="M167" s="122" t="s">
        <v>25</v>
      </c>
      <c r="N167" s="123"/>
      <c r="O167" s="122" t="s">
        <v>24</v>
      </c>
      <c r="P167" s="123"/>
      <c r="Q167" s="106" t="s">
        <v>23</v>
      </c>
      <c r="R167" s="106" t="s">
        <v>22</v>
      </c>
      <c r="S167" s="21"/>
      <c r="T167" s="34" t="s">
        <v>21</v>
      </c>
      <c r="U167" s="34" t="s">
        <v>20</v>
      </c>
      <c r="V167" s="34" t="s">
        <v>95</v>
      </c>
      <c r="W167" s="34" t="s">
        <v>19</v>
      </c>
      <c r="X167" s="34" t="s">
        <v>18</v>
      </c>
      <c r="Y167" s="34" t="s">
        <v>48</v>
      </c>
      <c r="Z167" s="34" t="s">
        <v>49</v>
      </c>
      <c r="AA167" s="34" t="s">
        <v>17</v>
      </c>
      <c r="AB167" s="106" t="s">
        <v>16</v>
      </c>
      <c r="AC167" s="106" t="s">
        <v>15</v>
      </c>
      <c r="AD167" s="106" t="s">
        <v>14</v>
      </c>
      <c r="AE167" s="106" t="s">
        <v>13</v>
      </c>
      <c r="AF167" s="106" t="s">
        <v>12</v>
      </c>
      <c r="AG167" s="116" t="s">
        <v>11</v>
      </c>
      <c r="AH167" s="118" t="s">
        <v>10</v>
      </c>
      <c r="AI167" s="120" t="s">
        <v>9</v>
      </c>
      <c r="AJ167" s="35">
        <f>(1-R169/F169)</f>
        <v>0.25560509554140132</v>
      </c>
      <c r="AK167" s="35">
        <f>1-(AD169+AM169)/F169</f>
        <v>0.15095526114649682</v>
      </c>
      <c r="AM167" s="106" t="s">
        <v>8</v>
      </c>
      <c r="AN167" s="106" t="s">
        <v>7</v>
      </c>
      <c r="AO167" s="106" t="s">
        <v>37</v>
      </c>
      <c r="AP167" s="106" t="s">
        <v>38</v>
      </c>
      <c r="AQ167" s="106" t="s">
        <v>6</v>
      </c>
      <c r="AR167" s="106" t="s">
        <v>5</v>
      </c>
      <c r="AT167" s="106" t="s">
        <v>4</v>
      </c>
      <c r="AU167" s="106" t="s">
        <v>3</v>
      </c>
      <c r="AV167" s="106" t="s">
        <v>2</v>
      </c>
      <c r="AW167" s="106" t="s">
        <v>1</v>
      </c>
      <c r="AY167" s="106"/>
      <c r="AZ167" s="108"/>
      <c r="BA167" s="52"/>
      <c r="BB167" s="106"/>
    </row>
    <row r="168" spans="1:54" ht="27" customHeight="1" x14ac:dyDescent="0.3">
      <c r="A168" s="126"/>
      <c r="B168" s="134"/>
      <c r="C168" s="134"/>
      <c r="D168" s="117"/>
      <c r="E168" s="117"/>
      <c r="F168" s="31">
        <v>0</v>
      </c>
      <c r="G168" s="33">
        <v>0.09</v>
      </c>
      <c r="H168" s="32">
        <v>600000</v>
      </c>
      <c r="I168" s="31">
        <v>0</v>
      </c>
      <c r="J168" s="32">
        <v>0</v>
      </c>
      <c r="K168" s="31">
        <v>1</v>
      </c>
      <c r="L168" s="32">
        <v>130000</v>
      </c>
      <c r="M168" s="31">
        <v>0</v>
      </c>
      <c r="N168" s="32">
        <v>70000</v>
      </c>
      <c r="O168" s="31">
        <v>0</v>
      </c>
      <c r="P168" s="32">
        <v>0</v>
      </c>
      <c r="Q168" s="107"/>
      <c r="R168" s="107"/>
      <c r="S168" s="21"/>
      <c r="T168" s="31">
        <f>IF(C169="노트북",7%,IF(C169="저장&amp;주변기기",9%,IF(C169="모니터",7%)))</f>
        <v>7.0000000000000007E-2</v>
      </c>
      <c r="U168" s="31">
        <v>0</v>
      </c>
      <c r="V168" s="31">
        <v>0.03</v>
      </c>
      <c r="W168" s="31">
        <f>IF(G168=0%,20%,0%)</f>
        <v>0</v>
      </c>
      <c r="X168" s="30">
        <v>0</v>
      </c>
      <c r="Y168" s="30">
        <v>1</v>
      </c>
      <c r="Z168" s="53">
        <v>0.92307600000000001</v>
      </c>
      <c r="AA168" s="29">
        <v>0.5</v>
      </c>
      <c r="AB168" s="107"/>
      <c r="AC168" s="107"/>
      <c r="AD168" s="107"/>
      <c r="AE168" s="107"/>
      <c r="AF168" s="107"/>
      <c r="AG168" s="117"/>
      <c r="AH168" s="119"/>
      <c r="AI168" s="121"/>
      <c r="AJ168" s="55" t="s">
        <v>52</v>
      </c>
      <c r="AK168" s="56">
        <f>AJ167-AK167</f>
        <v>0.1046498343949045</v>
      </c>
      <c r="AM168" s="107"/>
      <c r="AN168" s="107"/>
      <c r="AO168" s="107"/>
      <c r="AP168" s="107"/>
      <c r="AQ168" s="107"/>
      <c r="AR168" s="107"/>
      <c r="AS168" s="39"/>
      <c r="AT168" s="107"/>
      <c r="AU168" s="107"/>
      <c r="AV168" s="107"/>
      <c r="AW168" s="107"/>
      <c r="AY168" s="107"/>
      <c r="AZ168" s="109"/>
      <c r="BA168" s="52"/>
      <c r="BB168" s="107"/>
    </row>
    <row r="169" spans="1:54" ht="27" customHeight="1" x14ac:dyDescent="0.3">
      <c r="A169" s="51" t="s">
        <v>76</v>
      </c>
      <c r="B169" s="38" t="s">
        <v>35</v>
      </c>
      <c r="C169" s="27" t="s">
        <v>0</v>
      </c>
      <c r="D169" s="26">
        <v>4608884708</v>
      </c>
      <c r="E169" s="25">
        <v>785000</v>
      </c>
      <c r="F169" s="24">
        <f>ROUNDDOWN(E169/(1-F168),-1)</f>
        <v>785000</v>
      </c>
      <c r="G169" s="110">
        <f>ROUNDDOWN(IF(F169*G168&gt;H168,H168,F169*G168),-1)</f>
        <v>70650</v>
      </c>
      <c r="H169" s="111"/>
      <c r="I169" s="112">
        <f>ROUNDDOWN(IF(F169*I168&gt;J168,J168,F169*I168),-1)</f>
        <v>0</v>
      </c>
      <c r="J169" s="113"/>
      <c r="K169" s="112">
        <f>ROUNDDOWN(IF(F169*K168&gt;L168,L168,F169*K168),-1)</f>
        <v>130000</v>
      </c>
      <c r="L169" s="113"/>
      <c r="M169" s="110">
        <f>ROUNDDOWN(IF(Q169*M168&gt;N168,N168,Q169*M168),-1)</f>
        <v>0</v>
      </c>
      <c r="N169" s="111"/>
      <c r="O169" s="110">
        <f>ROUNDDOWN(IF(F169*O168&gt;P168,P168,F169*O168),-1)</f>
        <v>0</v>
      </c>
      <c r="P169" s="111"/>
      <c r="Q169" s="23">
        <f>F169-G169-I169-K169</f>
        <v>584350</v>
      </c>
      <c r="R169" s="22">
        <f>F169-G169-I169-K169-M169-O169</f>
        <v>584350</v>
      </c>
      <c r="S169" s="21"/>
      <c r="T169" s="20">
        <f>F169*T168</f>
        <v>54950.000000000007</v>
      </c>
      <c r="U169" s="20">
        <f>F169*U168</f>
        <v>0</v>
      </c>
      <c r="V169" s="20">
        <f>(F169-I169)*V168</f>
        <v>23550</v>
      </c>
      <c r="W169" s="19">
        <f>(F169*F168)*W168</f>
        <v>0</v>
      </c>
      <c r="X169" s="19">
        <f>G169*X168</f>
        <v>0</v>
      </c>
      <c r="Y169" s="19">
        <f>I169*Y168</f>
        <v>0</v>
      </c>
      <c r="Z169" s="19">
        <f>K169*Z168</f>
        <v>119999.88</v>
      </c>
      <c r="AA169" s="19">
        <f>M169*AA168</f>
        <v>0</v>
      </c>
      <c r="AB169" s="19">
        <v>0</v>
      </c>
      <c r="AC169" s="16">
        <v>6000</v>
      </c>
      <c r="AD169" s="18">
        <f>F169-T169-U169-V169-W169-AA169-X169-Y169-Z169-AB169</f>
        <v>586500.12</v>
      </c>
      <c r="AE169" s="18">
        <f>F169-T169-U169-V169-W169-X169-Y169-Z169-AA169-AB169-AC169</f>
        <v>580500.12</v>
      </c>
      <c r="AF169" s="17">
        <f>AE169-AG169</f>
        <v>-66499.88</v>
      </c>
      <c r="AG169" s="16">
        <v>647000</v>
      </c>
      <c r="AH169" s="15">
        <f>AF169/AG169</f>
        <v>-0.102781885625966</v>
      </c>
      <c r="AI169" s="14">
        <f>1-R169/(AG169-AM169-AN169-AO169)</f>
        <v>-3.0599647266313923E-2</v>
      </c>
      <c r="AJ169" s="114">
        <f>(1-R169/F169)-(1-(AD169)/F169)</f>
        <v>2.7390063694268107E-3</v>
      </c>
      <c r="AK169" s="115"/>
      <c r="AM169" s="13">
        <v>80000</v>
      </c>
      <c r="AN169" s="12">
        <v>0</v>
      </c>
      <c r="AO169" s="12"/>
      <c r="AP169" s="12"/>
      <c r="AQ169" s="11">
        <f>AE169-(AG169-AM169-AN169-AO169-AP169)</f>
        <v>13500.119999999995</v>
      </c>
      <c r="AR169" s="8">
        <f>AQ169/AG169</f>
        <v>2.0865718701700148E-2</v>
      </c>
      <c r="AT169" s="10">
        <v>0</v>
      </c>
      <c r="AU169" s="10">
        <v>0</v>
      </c>
      <c r="AV169" s="9">
        <f>AQ169-AT169-AU169</f>
        <v>13500.119999999995</v>
      </c>
      <c r="AW169" s="8">
        <f>AV169/AG169</f>
        <v>2.0865718701700148E-2</v>
      </c>
      <c r="AY169" s="7"/>
      <c r="AZ169" s="50"/>
      <c r="BA169" s="52"/>
      <c r="BB169" s="7"/>
    </row>
    <row r="170" spans="1:54" ht="16.5" customHeight="1" x14ac:dyDescent="0.3">
      <c r="C170" s="57"/>
      <c r="D170" s="57"/>
      <c r="E170" s="5">
        <v>699000</v>
      </c>
      <c r="F170" s="4">
        <f>ROUNDDOWN(E170/(1-F168),-1)</f>
        <v>699000</v>
      </c>
      <c r="G170" s="105">
        <f>ROUNDDOWN(IF(F170*G168&gt;H168,H168,F170*G168),-1)</f>
        <v>62910</v>
      </c>
      <c r="H170" s="105"/>
      <c r="J170" s="54">
        <f>F169*4%</f>
        <v>31400</v>
      </c>
      <c r="R170" s="4">
        <v>629000</v>
      </c>
      <c r="X170" s="3">
        <f>G170*X168</f>
        <v>0</v>
      </c>
      <c r="Y170" s="3"/>
      <c r="Z170" s="3"/>
      <c r="AG170" s="4"/>
    </row>
    <row r="171" spans="1:54" ht="27" customHeight="1" x14ac:dyDescent="0.3">
      <c r="A171" s="124" t="s">
        <v>34</v>
      </c>
      <c r="B171" s="127" t="s">
        <v>96</v>
      </c>
      <c r="C171" s="128"/>
      <c r="D171" s="128"/>
      <c r="E171" s="128"/>
      <c r="F171" s="128"/>
      <c r="G171" s="128"/>
      <c r="H171" s="128"/>
      <c r="I171" s="128"/>
      <c r="J171" s="128"/>
      <c r="K171" s="128"/>
      <c r="L171" s="128"/>
      <c r="M171" s="128"/>
      <c r="N171" s="128"/>
      <c r="O171" s="128"/>
      <c r="P171" s="128"/>
      <c r="Q171" s="128"/>
      <c r="R171" s="129"/>
      <c r="T171" s="130" t="s">
        <v>33</v>
      </c>
      <c r="U171" s="131"/>
      <c r="V171" s="131"/>
      <c r="W171" s="131"/>
      <c r="X171" s="131"/>
      <c r="Y171" s="131"/>
      <c r="Z171" s="131"/>
      <c r="AA171" s="131"/>
      <c r="AB171" s="131"/>
      <c r="AC171" s="131"/>
      <c r="AD171" s="131"/>
      <c r="AE171" s="131"/>
      <c r="AF171" s="131"/>
      <c r="AG171" s="131"/>
      <c r="AH171" s="132"/>
      <c r="AI171" s="37"/>
      <c r="AM171" s="130" t="s">
        <v>32</v>
      </c>
      <c r="AN171" s="131"/>
      <c r="AO171" s="131"/>
      <c r="AP171" s="131"/>
      <c r="AQ171" s="131"/>
      <c r="AR171" s="132"/>
      <c r="AT171" s="130" t="s">
        <v>31</v>
      </c>
      <c r="AU171" s="131"/>
      <c r="AV171" s="131"/>
      <c r="AW171" s="132"/>
      <c r="AY171" s="36" t="s">
        <v>36</v>
      </c>
      <c r="AZ171" s="48"/>
      <c r="BA171" s="52"/>
      <c r="BB171" s="36"/>
    </row>
    <row r="172" spans="1:54" ht="32.25" customHeight="1" x14ac:dyDescent="0.3">
      <c r="A172" s="125"/>
      <c r="B172" s="133" t="s">
        <v>30</v>
      </c>
      <c r="C172" s="133" t="s">
        <v>29</v>
      </c>
      <c r="D172" s="116" t="s">
        <v>28</v>
      </c>
      <c r="E172" s="116" t="s">
        <v>27</v>
      </c>
      <c r="F172" s="34" t="s">
        <v>26</v>
      </c>
      <c r="G172" s="122" t="s">
        <v>63</v>
      </c>
      <c r="H172" s="123"/>
      <c r="I172" s="122" t="s">
        <v>50</v>
      </c>
      <c r="J172" s="123"/>
      <c r="K172" s="122" t="s">
        <v>62</v>
      </c>
      <c r="L172" s="123"/>
      <c r="M172" s="122" t="s">
        <v>25</v>
      </c>
      <c r="N172" s="123"/>
      <c r="O172" s="122" t="s">
        <v>24</v>
      </c>
      <c r="P172" s="123"/>
      <c r="Q172" s="106" t="s">
        <v>23</v>
      </c>
      <c r="R172" s="106" t="s">
        <v>22</v>
      </c>
      <c r="S172" s="21"/>
      <c r="T172" s="34" t="s">
        <v>21</v>
      </c>
      <c r="U172" s="34" t="s">
        <v>20</v>
      </c>
      <c r="V172" s="34" t="s">
        <v>95</v>
      </c>
      <c r="W172" s="34" t="s">
        <v>19</v>
      </c>
      <c r="X172" s="34" t="s">
        <v>18</v>
      </c>
      <c r="Y172" s="34" t="s">
        <v>48</v>
      </c>
      <c r="Z172" s="34" t="s">
        <v>49</v>
      </c>
      <c r="AA172" s="34" t="s">
        <v>17</v>
      </c>
      <c r="AB172" s="106" t="s">
        <v>16</v>
      </c>
      <c r="AC172" s="106" t="s">
        <v>15</v>
      </c>
      <c r="AD172" s="106" t="s">
        <v>14</v>
      </c>
      <c r="AE172" s="106" t="s">
        <v>13</v>
      </c>
      <c r="AF172" s="106" t="s">
        <v>12</v>
      </c>
      <c r="AG172" s="116" t="s">
        <v>11</v>
      </c>
      <c r="AH172" s="118" t="s">
        <v>10</v>
      </c>
      <c r="AI172" s="120" t="s">
        <v>9</v>
      </c>
      <c r="AJ172" s="35">
        <f>(1-R174/F174)</f>
        <v>0.3116621233055753</v>
      </c>
      <c r="AK172" s="35">
        <f>1-(AD174+AM174)/F174</f>
        <v>0.17971405454522826</v>
      </c>
      <c r="AM172" s="106" t="s">
        <v>8</v>
      </c>
      <c r="AN172" s="106" t="s">
        <v>7</v>
      </c>
      <c r="AO172" s="106" t="s">
        <v>37</v>
      </c>
      <c r="AP172" s="106" t="s">
        <v>38</v>
      </c>
      <c r="AQ172" s="106" t="s">
        <v>6</v>
      </c>
      <c r="AR172" s="106" t="s">
        <v>5</v>
      </c>
      <c r="AT172" s="106" t="s">
        <v>4</v>
      </c>
      <c r="AU172" s="106" t="s">
        <v>3</v>
      </c>
      <c r="AV172" s="106" t="s">
        <v>2</v>
      </c>
      <c r="AW172" s="106" t="s">
        <v>1</v>
      </c>
      <c r="AY172" s="106"/>
      <c r="AZ172" s="108"/>
      <c r="BA172" s="52"/>
      <c r="BB172" s="106"/>
    </row>
    <row r="173" spans="1:54" ht="27" customHeight="1" x14ac:dyDescent="0.3">
      <c r="A173" s="126"/>
      <c r="B173" s="134"/>
      <c r="C173" s="134"/>
      <c r="D173" s="117"/>
      <c r="E173" s="117"/>
      <c r="F173" s="31">
        <v>0</v>
      </c>
      <c r="G173" s="33">
        <v>0.09</v>
      </c>
      <c r="H173" s="32">
        <v>600000</v>
      </c>
      <c r="I173" s="31">
        <v>0</v>
      </c>
      <c r="J173" s="32">
        <v>0</v>
      </c>
      <c r="K173" s="31">
        <v>1</v>
      </c>
      <c r="L173" s="32">
        <v>130000</v>
      </c>
      <c r="M173" s="31">
        <v>0.08</v>
      </c>
      <c r="N173" s="32">
        <v>70000</v>
      </c>
      <c r="O173" s="31">
        <v>0</v>
      </c>
      <c r="P173" s="32">
        <v>0</v>
      </c>
      <c r="Q173" s="107"/>
      <c r="R173" s="107"/>
      <c r="S173" s="21"/>
      <c r="T173" s="31">
        <f>IF(C174="노트북",7%,IF(C174="저장&amp;주변기기",9%,IF(C174="모니터",7%)))</f>
        <v>7.0000000000000007E-2</v>
      </c>
      <c r="U173" s="31">
        <v>0</v>
      </c>
      <c r="V173" s="31">
        <v>0.03</v>
      </c>
      <c r="W173" s="31">
        <f>IF(G173=0%,20%,0%)</f>
        <v>0</v>
      </c>
      <c r="X173" s="30">
        <v>0</v>
      </c>
      <c r="Y173" s="30">
        <v>1</v>
      </c>
      <c r="Z173" s="53">
        <v>0.92307600000000001</v>
      </c>
      <c r="AA173" s="29">
        <v>0.5</v>
      </c>
      <c r="AB173" s="107"/>
      <c r="AC173" s="107"/>
      <c r="AD173" s="107"/>
      <c r="AE173" s="107"/>
      <c r="AF173" s="107"/>
      <c r="AG173" s="117"/>
      <c r="AH173" s="119"/>
      <c r="AI173" s="121"/>
      <c r="AJ173" s="55" t="s">
        <v>52</v>
      </c>
      <c r="AK173" s="56">
        <f>AJ172-AK172</f>
        <v>0.13194806876034704</v>
      </c>
      <c r="AM173" s="107"/>
      <c r="AN173" s="107"/>
      <c r="AO173" s="107"/>
      <c r="AP173" s="107"/>
      <c r="AQ173" s="107"/>
      <c r="AR173" s="107"/>
      <c r="AS173" s="39"/>
      <c r="AT173" s="107"/>
      <c r="AU173" s="107"/>
      <c r="AV173" s="107"/>
      <c r="AW173" s="107"/>
      <c r="AY173" s="107"/>
      <c r="AZ173" s="109"/>
      <c r="BA173" s="52"/>
      <c r="BB173" s="107"/>
    </row>
    <row r="174" spans="1:54" ht="27" customHeight="1" x14ac:dyDescent="0.3">
      <c r="A174" s="51" t="s">
        <v>76</v>
      </c>
      <c r="B174" s="38" t="s">
        <v>35</v>
      </c>
      <c r="C174" s="27" t="s">
        <v>0</v>
      </c>
      <c r="D174" s="26">
        <v>4608884708</v>
      </c>
      <c r="E174" s="25">
        <v>803370</v>
      </c>
      <c r="F174" s="24">
        <f>ROUNDDOWN(E174/(1-F173),-1)</f>
        <v>803370</v>
      </c>
      <c r="G174" s="110">
        <f>ROUNDDOWN(IF(F174*G173&gt;H173,H173,F174*G173),-1)</f>
        <v>72300</v>
      </c>
      <c r="H174" s="111"/>
      <c r="I174" s="112">
        <f>ROUNDDOWN(IF(F174*I173&gt;J173,J173,F174*I173),-1)</f>
        <v>0</v>
      </c>
      <c r="J174" s="113"/>
      <c r="K174" s="112">
        <f>ROUNDDOWN(IF(F174*K173&gt;L173,L173,F174*K173),-1)</f>
        <v>130000</v>
      </c>
      <c r="L174" s="113"/>
      <c r="M174" s="110">
        <f>ROUNDDOWN(IF(Q174*M173&gt;N173,N173,Q174*M173),-1)</f>
        <v>48080</v>
      </c>
      <c r="N174" s="111"/>
      <c r="O174" s="110">
        <f>ROUNDDOWN(IF(F174*O173&gt;P173,P173,F174*O173),-1)</f>
        <v>0</v>
      </c>
      <c r="P174" s="111"/>
      <c r="Q174" s="23">
        <f>F174-G174-I174-K174</f>
        <v>601070</v>
      </c>
      <c r="R174" s="22">
        <f>F174-G174-I174-K174-M174-O174</f>
        <v>552990</v>
      </c>
      <c r="S174" s="21"/>
      <c r="T174" s="20">
        <f>F174*T173</f>
        <v>56235.900000000009</v>
      </c>
      <c r="U174" s="20">
        <f>F174*U173</f>
        <v>0</v>
      </c>
      <c r="V174" s="20">
        <f>(F174-I174)*V173</f>
        <v>24101.1</v>
      </c>
      <c r="W174" s="19">
        <f>(F174*F173)*W173</f>
        <v>0</v>
      </c>
      <c r="X174" s="19">
        <f>G174*X173</f>
        <v>0</v>
      </c>
      <c r="Y174" s="19">
        <f>I174*Y173</f>
        <v>0</v>
      </c>
      <c r="Z174" s="19">
        <f>K174*Z173</f>
        <v>119999.88</v>
      </c>
      <c r="AA174" s="19">
        <f>M174*AA173</f>
        <v>24040</v>
      </c>
      <c r="AB174" s="19">
        <v>0</v>
      </c>
      <c r="AC174" s="16">
        <v>6000</v>
      </c>
      <c r="AD174" s="18">
        <f>F174-T174-U174-V174-W174-AA174-X174-Y174-Z174-AB174</f>
        <v>578993.12</v>
      </c>
      <c r="AE174" s="18">
        <f>F174-T174-U174-V174-W174-X174-Y174-Z174-AA174-AB174-AC174</f>
        <v>572993.12</v>
      </c>
      <c r="AF174" s="17">
        <f>AE174-AG174</f>
        <v>-74006.880000000005</v>
      </c>
      <c r="AG174" s="16">
        <v>647000</v>
      </c>
      <c r="AH174" s="15">
        <f>AF174/AG174</f>
        <v>-0.11438466769706337</v>
      </c>
      <c r="AI174" s="14">
        <f>1-R174/(AG174-AM174-AN174-AO174)</f>
        <v>2.470899470899468E-2</v>
      </c>
      <c r="AJ174" s="114">
        <f>(1-R174/F174)-(1-(AD174)/F174)</f>
        <v>3.2367551688512131E-2</v>
      </c>
      <c r="AK174" s="115"/>
      <c r="AM174" s="13">
        <v>80000</v>
      </c>
      <c r="AN174" s="12">
        <v>0</v>
      </c>
      <c r="AO174" s="12"/>
      <c r="AP174" s="12"/>
      <c r="AQ174" s="11">
        <f>AE174-(AG174-AM174-AN174-AO174-AP174)</f>
        <v>5993.1199999999953</v>
      </c>
      <c r="AR174" s="8">
        <f>AQ174/AG174</f>
        <v>9.2629366306027743E-3</v>
      </c>
      <c r="AT174" s="10">
        <v>0</v>
      </c>
      <c r="AU174" s="10">
        <v>0</v>
      </c>
      <c r="AV174" s="9">
        <f>AQ174-AT174-AU174</f>
        <v>5993.1199999999953</v>
      </c>
      <c r="AW174" s="8">
        <f>AV174/AG174</f>
        <v>9.2629366306027743E-3</v>
      </c>
      <c r="AY174" s="7"/>
      <c r="AZ174" s="50"/>
      <c r="BA174" s="52"/>
      <c r="BB174" s="7"/>
    </row>
    <row r="175" spans="1:54" ht="16.5" customHeight="1" x14ac:dyDescent="0.3">
      <c r="C175" s="57"/>
      <c r="D175" s="57"/>
      <c r="E175" s="5">
        <v>699000</v>
      </c>
      <c r="F175" s="4">
        <f>ROUNDDOWN(E175/(1-F173),-1)</f>
        <v>699000</v>
      </c>
      <c r="G175" s="105">
        <f>ROUNDDOWN(IF(F175*G173&gt;H173,H173,F175*G173),-1)</f>
        <v>62910</v>
      </c>
      <c r="H175" s="105"/>
      <c r="J175" s="54">
        <f>F174*4%</f>
        <v>32134.799999999999</v>
      </c>
      <c r="R175" s="4">
        <v>629000</v>
      </c>
      <c r="X175" s="3">
        <f>G175*X173</f>
        <v>0</v>
      </c>
      <c r="Y175" s="3"/>
      <c r="Z175" s="3"/>
      <c r="AG175" s="4"/>
    </row>
    <row r="176" spans="1:54" ht="27" customHeight="1" x14ac:dyDescent="0.3">
      <c r="A176" s="124" t="s">
        <v>34</v>
      </c>
      <c r="B176" s="148" t="s">
        <v>102</v>
      </c>
      <c r="C176" s="149"/>
      <c r="D176" s="149"/>
      <c r="E176" s="149"/>
      <c r="F176" s="149"/>
      <c r="G176" s="149"/>
      <c r="H176" s="149"/>
      <c r="I176" s="149"/>
      <c r="J176" s="149"/>
      <c r="K176" s="149"/>
      <c r="L176" s="149"/>
      <c r="M176" s="149"/>
      <c r="N176" s="149"/>
      <c r="O176" s="149"/>
      <c r="P176" s="149"/>
      <c r="Q176" s="149"/>
      <c r="R176" s="150"/>
      <c r="T176" s="130" t="s">
        <v>33</v>
      </c>
      <c r="U176" s="131"/>
      <c r="V176" s="131"/>
      <c r="W176" s="131"/>
      <c r="X176" s="131"/>
      <c r="Y176" s="131"/>
      <c r="Z176" s="131"/>
      <c r="AA176" s="131"/>
      <c r="AB176" s="131"/>
      <c r="AC176" s="131"/>
      <c r="AD176" s="131"/>
      <c r="AE176" s="131"/>
      <c r="AF176" s="131"/>
      <c r="AG176" s="131"/>
      <c r="AH176" s="132"/>
      <c r="AI176" s="37"/>
      <c r="AM176" s="130" t="s">
        <v>32</v>
      </c>
      <c r="AN176" s="131"/>
      <c r="AO176" s="131"/>
      <c r="AP176" s="131"/>
      <c r="AQ176" s="131"/>
      <c r="AR176" s="132"/>
      <c r="AT176" s="130" t="s">
        <v>31</v>
      </c>
      <c r="AU176" s="131"/>
      <c r="AV176" s="131"/>
      <c r="AW176" s="132"/>
      <c r="AY176" s="36" t="s">
        <v>36</v>
      </c>
      <c r="AZ176" s="48"/>
      <c r="BA176" s="52"/>
      <c r="BB176" s="36"/>
    </row>
    <row r="177" spans="1:54" ht="32.25" customHeight="1" x14ac:dyDescent="0.3">
      <c r="A177" s="125"/>
      <c r="B177" s="133" t="s">
        <v>30</v>
      </c>
      <c r="C177" s="133" t="s">
        <v>29</v>
      </c>
      <c r="D177" s="116" t="s">
        <v>28</v>
      </c>
      <c r="E177" s="116" t="s">
        <v>27</v>
      </c>
      <c r="F177" s="34" t="s">
        <v>26</v>
      </c>
      <c r="G177" s="122" t="s">
        <v>63</v>
      </c>
      <c r="H177" s="123"/>
      <c r="I177" s="122" t="s">
        <v>50</v>
      </c>
      <c r="J177" s="123"/>
      <c r="K177" s="122" t="s">
        <v>62</v>
      </c>
      <c r="L177" s="123"/>
      <c r="M177" s="122" t="s">
        <v>25</v>
      </c>
      <c r="N177" s="123"/>
      <c r="O177" s="122" t="s">
        <v>24</v>
      </c>
      <c r="P177" s="123"/>
      <c r="Q177" s="106" t="s">
        <v>23</v>
      </c>
      <c r="R177" s="106" t="s">
        <v>22</v>
      </c>
      <c r="S177" s="21"/>
      <c r="T177" s="34" t="s">
        <v>21</v>
      </c>
      <c r="U177" s="34" t="s">
        <v>20</v>
      </c>
      <c r="V177" s="34" t="s">
        <v>95</v>
      </c>
      <c r="W177" s="34" t="s">
        <v>19</v>
      </c>
      <c r="X177" s="34" t="s">
        <v>18</v>
      </c>
      <c r="Y177" s="34" t="s">
        <v>48</v>
      </c>
      <c r="Z177" s="34" t="s">
        <v>49</v>
      </c>
      <c r="AA177" s="34" t="s">
        <v>17</v>
      </c>
      <c r="AB177" s="106" t="s">
        <v>16</v>
      </c>
      <c r="AC177" s="106" t="s">
        <v>15</v>
      </c>
      <c r="AD177" s="106" t="s">
        <v>14</v>
      </c>
      <c r="AE177" s="106" t="s">
        <v>13</v>
      </c>
      <c r="AF177" s="106" t="s">
        <v>12</v>
      </c>
      <c r="AG177" s="116" t="s">
        <v>11</v>
      </c>
      <c r="AH177" s="118" t="s">
        <v>10</v>
      </c>
      <c r="AI177" s="120" t="s">
        <v>9</v>
      </c>
      <c r="AJ177" s="35">
        <f>(1-R179/F179)</f>
        <v>0.30836613627543386</v>
      </c>
      <c r="AK177" s="35">
        <f>1-(AD179+AM179)/F179</f>
        <v>0.16760398070632576</v>
      </c>
      <c r="AM177" s="106" t="s">
        <v>8</v>
      </c>
      <c r="AN177" s="106" t="s">
        <v>7</v>
      </c>
      <c r="AO177" s="106" t="s">
        <v>37</v>
      </c>
      <c r="AP177" s="106" t="s">
        <v>38</v>
      </c>
      <c r="AQ177" s="106" t="s">
        <v>6</v>
      </c>
      <c r="AR177" s="106" t="s">
        <v>5</v>
      </c>
      <c r="AT177" s="106" t="s">
        <v>4</v>
      </c>
      <c r="AU177" s="106" t="s">
        <v>3</v>
      </c>
      <c r="AV177" s="106" t="s">
        <v>2</v>
      </c>
      <c r="AW177" s="106" t="s">
        <v>1</v>
      </c>
      <c r="AY177" s="106"/>
      <c r="AZ177" s="108"/>
      <c r="BA177" s="52"/>
      <c r="BB177" s="106"/>
    </row>
    <row r="178" spans="1:54" ht="27" customHeight="1" x14ac:dyDescent="0.3">
      <c r="A178" s="126"/>
      <c r="B178" s="134"/>
      <c r="C178" s="134"/>
      <c r="D178" s="117"/>
      <c r="E178" s="117"/>
      <c r="F178" s="31">
        <v>0</v>
      </c>
      <c r="G178" s="33">
        <v>0.09</v>
      </c>
      <c r="H178" s="32">
        <v>600000</v>
      </c>
      <c r="I178" s="31">
        <v>0</v>
      </c>
      <c r="J178" s="32">
        <v>0</v>
      </c>
      <c r="K178" s="31">
        <v>1</v>
      </c>
      <c r="L178" s="32">
        <v>120000</v>
      </c>
      <c r="M178" s="31">
        <v>7.0000000000000007E-2</v>
      </c>
      <c r="N178" s="32">
        <v>70000</v>
      </c>
      <c r="O178" s="31">
        <v>0</v>
      </c>
      <c r="P178" s="32">
        <v>0</v>
      </c>
      <c r="Q178" s="107"/>
      <c r="R178" s="107"/>
      <c r="S178" s="21"/>
      <c r="T178" s="31">
        <f>IF(C179="노트북",7%,IF(C179="저장&amp;주변기기",9%,IF(C179="모니터",7%)))</f>
        <v>7.0000000000000007E-2</v>
      </c>
      <c r="U178" s="31">
        <v>0</v>
      </c>
      <c r="V178" s="31">
        <v>0.03</v>
      </c>
      <c r="W178" s="31">
        <f>IF(G178=0%,20%,0%)</f>
        <v>0</v>
      </c>
      <c r="X178" s="30">
        <v>0</v>
      </c>
      <c r="Y178" s="30">
        <v>1</v>
      </c>
      <c r="Z178" s="53">
        <v>0.91666599999999998</v>
      </c>
      <c r="AA178" s="29">
        <v>0.5</v>
      </c>
      <c r="AB178" s="107"/>
      <c r="AC178" s="107"/>
      <c r="AD178" s="107"/>
      <c r="AE178" s="107"/>
      <c r="AF178" s="107"/>
      <c r="AG178" s="117"/>
      <c r="AH178" s="119"/>
      <c r="AI178" s="121"/>
      <c r="AJ178" s="55" t="s">
        <v>52</v>
      </c>
      <c r="AK178" s="56">
        <f>AJ177-AK177</f>
        <v>0.14076215556910809</v>
      </c>
      <c r="AM178" s="107"/>
      <c r="AN178" s="107"/>
      <c r="AO178" s="107"/>
      <c r="AP178" s="107"/>
      <c r="AQ178" s="107"/>
      <c r="AR178" s="107"/>
      <c r="AS178" s="39"/>
      <c r="AT178" s="107"/>
      <c r="AU178" s="107"/>
      <c r="AV178" s="107"/>
      <c r="AW178" s="107"/>
      <c r="AY178" s="107"/>
      <c r="AZ178" s="109"/>
      <c r="BA178" s="52"/>
      <c r="BB178" s="107"/>
    </row>
    <row r="179" spans="1:54" ht="27" customHeight="1" x14ac:dyDescent="0.3">
      <c r="A179" s="51" t="s">
        <v>76</v>
      </c>
      <c r="B179" s="38" t="s">
        <v>35</v>
      </c>
      <c r="C179" s="27" t="s">
        <v>0</v>
      </c>
      <c r="D179" s="26">
        <v>4608884708</v>
      </c>
      <c r="E179" s="25">
        <v>721480</v>
      </c>
      <c r="F179" s="24">
        <f>ROUNDDOWN(E179/(1-F178),-1)</f>
        <v>721480</v>
      </c>
      <c r="G179" s="110">
        <f>ROUNDDOWN(IF(F179*G178&gt;H178,H178,F179*G178),-1)</f>
        <v>64930</v>
      </c>
      <c r="H179" s="111"/>
      <c r="I179" s="112">
        <f>ROUNDDOWN(IF(F179*I178&gt;J178,J178,F179*I178),-1)</f>
        <v>0</v>
      </c>
      <c r="J179" s="113"/>
      <c r="K179" s="112">
        <f>ROUNDDOWN(IF(F179*K178&gt;L178,L178,F179*K178),-1)</f>
        <v>120000</v>
      </c>
      <c r="L179" s="113"/>
      <c r="M179" s="110">
        <f>ROUNDDOWN(IF(Q179*M178&gt;N178,N178,Q179*M178),-1)</f>
        <v>37550</v>
      </c>
      <c r="N179" s="111"/>
      <c r="O179" s="110">
        <f>ROUNDDOWN(IF(F179*O178&gt;P178,P178,F179*O178),-1)</f>
        <v>0</v>
      </c>
      <c r="P179" s="111"/>
      <c r="Q179" s="23">
        <f>F179-G179-I179-K179</f>
        <v>536550</v>
      </c>
      <c r="R179" s="22">
        <f>F179-G179-I179-K179-M179-O179</f>
        <v>499000</v>
      </c>
      <c r="S179" s="21"/>
      <c r="T179" s="20">
        <f>F179*T178</f>
        <v>50503.600000000006</v>
      </c>
      <c r="U179" s="20">
        <f>F179*U178</f>
        <v>0</v>
      </c>
      <c r="V179" s="20">
        <f>(F179-I179)*V178</f>
        <v>21644.399999999998</v>
      </c>
      <c r="W179" s="19">
        <f>(F179*F178)*W178</f>
        <v>0</v>
      </c>
      <c r="X179" s="19">
        <f>G179*X178</f>
        <v>0</v>
      </c>
      <c r="Y179" s="19">
        <f>I179*Y178</f>
        <v>0</v>
      </c>
      <c r="Z179" s="19">
        <f>K179*Z178</f>
        <v>109999.92</v>
      </c>
      <c r="AA179" s="19">
        <f>M179*AA178</f>
        <v>18775</v>
      </c>
      <c r="AB179" s="19">
        <v>0</v>
      </c>
      <c r="AC179" s="16">
        <v>6000</v>
      </c>
      <c r="AD179" s="18">
        <f>F179-T179-U179-V179-W179-AA179-X179-Y179-Z179-AB179</f>
        <v>520557.08</v>
      </c>
      <c r="AE179" s="18">
        <f>F179-T179-U179-V179-W179-X179-Y179-Z179-AA179-AB179-AC179</f>
        <v>514557.07999999996</v>
      </c>
      <c r="AF179" s="17">
        <f>AE179-AG179</f>
        <v>-132442.92000000004</v>
      </c>
      <c r="AG179" s="16">
        <v>647000</v>
      </c>
      <c r="AH179" s="15">
        <f>AF179/AG179</f>
        <v>-0.20470312210200933</v>
      </c>
      <c r="AI179" s="14">
        <f>1-R179/(AG179-AM179-AN179-AO179)</f>
        <v>0.11992945326278659</v>
      </c>
      <c r="AJ179" s="114">
        <f>(1-R179/F179)-(1-(AD179)/F179)</f>
        <v>2.9878971004047239E-2</v>
      </c>
      <c r="AK179" s="115"/>
      <c r="AM179" s="13">
        <v>80000</v>
      </c>
      <c r="AN179" s="12">
        <v>0</v>
      </c>
      <c r="AO179" s="12"/>
      <c r="AP179" s="12"/>
      <c r="AQ179" s="11">
        <f>AE179-(AG179-AM179-AN179-AO179-AP179)</f>
        <v>-52442.920000000042</v>
      </c>
      <c r="AR179" s="8">
        <f>AQ179/AG179</f>
        <v>-8.105551777434318E-2</v>
      </c>
      <c r="AT179" s="10">
        <v>0</v>
      </c>
      <c r="AU179" s="10">
        <v>0</v>
      </c>
      <c r="AV179" s="9">
        <f>AQ179-AT179-AU179</f>
        <v>-52442.920000000042</v>
      </c>
      <c r="AW179" s="8">
        <f>AV179/AG179</f>
        <v>-8.105551777434318E-2</v>
      </c>
      <c r="AY179" s="7"/>
      <c r="AZ179" s="50"/>
      <c r="BA179" s="52"/>
      <c r="BB179" s="7"/>
    </row>
    <row r="180" spans="1:54" ht="16.5" customHeight="1" x14ac:dyDescent="0.3">
      <c r="C180" s="57"/>
      <c r="D180" s="57"/>
      <c r="E180" s="5">
        <v>699000</v>
      </c>
      <c r="F180" s="4">
        <f>ROUNDDOWN(E180/(1-F178),-1)</f>
        <v>699000</v>
      </c>
      <c r="G180" s="105">
        <f>ROUNDDOWN(IF(F180*G178&gt;H178,H178,F180*G178),-1)</f>
        <v>62910</v>
      </c>
      <c r="H180" s="105"/>
      <c r="J180" s="54">
        <f>F179*4%</f>
        <v>28859.200000000001</v>
      </c>
      <c r="R180" s="4">
        <v>629000</v>
      </c>
      <c r="X180" s="3">
        <f>G180*X178</f>
        <v>0</v>
      </c>
      <c r="Y180" s="3"/>
      <c r="Z180" s="3"/>
      <c r="AG180" s="4"/>
    </row>
    <row r="181" spans="1:54" ht="16.5" customHeight="1" x14ac:dyDescent="0.3">
      <c r="C181" s="57"/>
      <c r="D181" s="57"/>
      <c r="E181" s="5"/>
      <c r="F181" s="4"/>
      <c r="G181" s="74"/>
      <c r="H181" s="74"/>
      <c r="J181" s="54"/>
      <c r="R181" s="4"/>
      <c r="X181" s="3"/>
      <c r="Y181" s="3"/>
      <c r="Z181" s="3"/>
      <c r="AG181" s="4"/>
    </row>
    <row r="182" spans="1:54" ht="27" customHeight="1" x14ac:dyDescent="0.3">
      <c r="A182" s="124" t="s">
        <v>34</v>
      </c>
      <c r="B182" s="127" t="s">
        <v>103</v>
      </c>
      <c r="C182" s="128"/>
      <c r="D182" s="128"/>
      <c r="E182" s="128"/>
      <c r="F182" s="128"/>
      <c r="G182" s="128"/>
      <c r="H182" s="128"/>
      <c r="I182" s="128"/>
      <c r="J182" s="128"/>
      <c r="K182" s="128"/>
      <c r="L182" s="128"/>
      <c r="M182" s="128"/>
      <c r="N182" s="128"/>
      <c r="O182" s="128"/>
      <c r="P182" s="128"/>
      <c r="Q182" s="128"/>
      <c r="R182" s="129"/>
      <c r="T182" s="130" t="s">
        <v>33</v>
      </c>
      <c r="U182" s="131"/>
      <c r="V182" s="131"/>
      <c r="W182" s="131"/>
      <c r="X182" s="131"/>
      <c r="Y182" s="131"/>
      <c r="Z182" s="131"/>
      <c r="AA182" s="131"/>
      <c r="AB182" s="131"/>
      <c r="AC182" s="131"/>
      <c r="AD182" s="131"/>
      <c r="AE182" s="131"/>
      <c r="AF182" s="131"/>
      <c r="AG182" s="131"/>
      <c r="AH182" s="132"/>
      <c r="AI182" s="37"/>
      <c r="AM182" s="130" t="s">
        <v>32</v>
      </c>
      <c r="AN182" s="131"/>
      <c r="AO182" s="131"/>
      <c r="AP182" s="131"/>
      <c r="AQ182" s="131"/>
      <c r="AR182" s="132"/>
      <c r="AT182" s="130" t="s">
        <v>31</v>
      </c>
      <c r="AU182" s="131"/>
      <c r="AV182" s="131"/>
      <c r="AW182" s="132"/>
      <c r="AY182" s="36" t="s">
        <v>36</v>
      </c>
      <c r="AZ182" s="48"/>
      <c r="BA182" s="52"/>
      <c r="BB182" s="36"/>
    </row>
    <row r="183" spans="1:54" ht="32.25" customHeight="1" x14ac:dyDescent="0.3">
      <c r="A183" s="125"/>
      <c r="B183" s="133" t="s">
        <v>30</v>
      </c>
      <c r="C183" s="133" t="s">
        <v>29</v>
      </c>
      <c r="D183" s="116" t="s">
        <v>28</v>
      </c>
      <c r="E183" s="116" t="s">
        <v>27</v>
      </c>
      <c r="F183" s="34" t="s">
        <v>26</v>
      </c>
      <c r="G183" s="122" t="s">
        <v>63</v>
      </c>
      <c r="H183" s="123"/>
      <c r="I183" s="122" t="s">
        <v>50</v>
      </c>
      <c r="J183" s="123"/>
      <c r="K183" s="122" t="s">
        <v>62</v>
      </c>
      <c r="L183" s="123"/>
      <c r="M183" s="122" t="s">
        <v>25</v>
      </c>
      <c r="N183" s="123"/>
      <c r="O183" s="122" t="s">
        <v>24</v>
      </c>
      <c r="P183" s="123"/>
      <c r="Q183" s="106" t="s">
        <v>23</v>
      </c>
      <c r="R183" s="106" t="s">
        <v>22</v>
      </c>
      <c r="S183" s="21"/>
      <c r="T183" s="34" t="s">
        <v>21</v>
      </c>
      <c r="U183" s="34" t="s">
        <v>20</v>
      </c>
      <c r="V183" s="34" t="s">
        <v>95</v>
      </c>
      <c r="W183" s="34" t="s">
        <v>19</v>
      </c>
      <c r="X183" s="34" t="s">
        <v>18</v>
      </c>
      <c r="Y183" s="34" t="s">
        <v>48</v>
      </c>
      <c r="Z183" s="34" t="s">
        <v>49</v>
      </c>
      <c r="AA183" s="34" t="s">
        <v>17</v>
      </c>
      <c r="AB183" s="106" t="s">
        <v>16</v>
      </c>
      <c r="AC183" s="106" t="s">
        <v>15</v>
      </c>
      <c r="AD183" s="106" t="s">
        <v>14</v>
      </c>
      <c r="AE183" s="106" t="s">
        <v>13</v>
      </c>
      <c r="AF183" s="106" t="s">
        <v>12</v>
      </c>
      <c r="AG183" s="116" t="s">
        <v>11</v>
      </c>
      <c r="AH183" s="118" t="s">
        <v>10</v>
      </c>
      <c r="AI183" s="120" t="s">
        <v>9</v>
      </c>
      <c r="AJ183" s="35">
        <f>(1-R185/F185)</f>
        <v>0.24608114070736864</v>
      </c>
      <c r="AK183" s="35">
        <f>1-(AD185+AM185)/F185</f>
        <v>0.13320675321056186</v>
      </c>
      <c r="AM183" s="106" t="s">
        <v>8</v>
      </c>
      <c r="AN183" s="106" t="s">
        <v>7</v>
      </c>
      <c r="AO183" s="106" t="s">
        <v>37</v>
      </c>
      <c r="AP183" s="106" t="s">
        <v>38</v>
      </c>
      <c r="AQ183" s="106" t="s">
        <v>6</v>
      </c>
      <c r="AR183" s="106" t="s">
        <v>5</v>
      </c>
      <c r="AT183" s="106" t="s">
        <v>4</v>
      </c>
      <c r="AU183" s="106" t="s">
        <v>3</v>
      </c>
      <c r="AV183" s="106" t="s">
        <v>2</v>
      </c>
      <c r="AW183" s="106" t="s">
        <v>1</v>
      </c>
      <c r="AY183" s="106"/>
      <c r="AZ183" s="108"/>
      <c r="BA183" s="52"/>
      <c r="BB183" s="106"/>
    </row>
    <row r="184" spans="1:54" ht="27" customHeight="1" x14ac:dyDescent="0.3">
      <c r="A184" s="126"/>
      <c r="B184" s="134"/>
      <c r="C184" s="134"/>
      <c r="D184" s="117"/>
      <c r="E184" s="117"/>
      <c r="F184" s="31">
        <v>0</v>
      </c>
      <c r="G184" s="33">
        <v>0.05</v>
      </c>
      <c r="H184" s="32">
        <v>1000000</v>
      </c>
      <c r="I184" s="31">
        <v>0</v>
      </c>
      <c r="J184" s="32">
        <v>0</v>
      </c>
      <c r="K184" s="31">
        <v>1</v>
      </c>
      <c r="L184" s="32">
        <v>120000</v>
      </c>
      <c r="M184" s="31">
        <v>7.0000000000000007E-2</v>
      </c>
      <c r="N184" s="32">
        <v>70000</v>
      </c>
      <c r="O184" s="31">
        <v>0</v>
      </c>
      <c r="P184" s="32">
        <v>0</v>
      </c>
      <c r="Q184" s="107"/>
      <c r="R184" s="107"/>
      <c r="S184" s="21"/>
      <c r="T184" s="31">
        <f>IF(C185="노트북",7%,IF(C185="저장&amp;주변기기",9%,IF(C185="모니터",7%)))</f>
        <v>7.0000000000000007E-2</v>
      </c>
      <c r="U184" s="31">
        <v>0</v>
      </c>
      <c r="V184" s="31">
        <v>0</v>
      </c>
      <c r="W184" s="31">
        <f>IF(G184=0%,20%,0%)</f>
        <v>0</v>
      </c>
      <c r="X184" s="30">
        <v>0</v>
      </c>
      <c r="Y184" s="30">
        <v>1</v>
      </c>
      <c r="Z184" s="53">
        <v>0.91666599999999998</v>
      </c>
      <c r="AA184" s="29">
        <v>0.5</v>
      </c>
      <c r="AB184" s="107"/>
      <c r="AC184" s="107"/>
      <c r="AD184" s="107"/>
      <c r="AE184" s="107"/>
      <c r="AF184" s="107"/>
      <c r="AG184" s="117"/>
      <c r="AH184" s="119"/>
      <c r="AI184" s="121"/>
      <c r="AJ184" s="55" t="s">
        <v>52</v>
      </c>
      <c r="AK184" s="56">
        <f>AJ183-AK183</f>
        <v>0.11287438749680678</v>
      </c>
      <c r="AM184" s="107"/>
      <c r="AN184" s="107"/>
      <c r="AO184" s="107"/>
      <c r="AP184" s="107"/>
      <c r="AQ184" s="107"/>
      <c r="AR184" s="107"/>
      <c r="AS184" s="39"/>
      <c r="AT184" s="107"/>
      <c r="AU184" s="107"/>
      <c r="AV184" s="107"/>
      <c r="AW184" s="107"/>
      <c r="AY184" s="107"/>
      <c r="AZ184" s="109"/>
      <c r="BA184" s="52"/>
      <c r="BB184" s="107"/>
    </row>
    <row r="185" spans="1:54" ht="27" customHeight="1" x14ac:dyDescent="0.3">
      <c r="A185" s="51" t="s">
        <v>76</v>
      </c>
      <c r="B185" s="38" t="s">
        <v>35</v>
      </c>
      <c r="C185" s="27" t="s">
        <v>0</v>
      </c>
      <c r="D185" s="26">
        <v>4608884708</v>
      </c>
      <c r="E185" s="25">
        <v>861220</v>
      </c>
      <c r="F185" s="24">
        <f>ROUNDDOWN(E185/(1-F184),-1)</f>
        <v>861220</v>
      </c>
      <c r="G185" s="110">
        <f>ROUNDDOWN(IF(F185*G184&gt;H184,H184,F185*G184),-1)</f>
        <v>43060</v>
      </c>
      <c r="H185" s="111"/>
      <c r="I185" s="112">
        <f>ROUNDDOWN(IF(F185*I184&gt;J184,J184,F185*I184),-1)</f>
        <v>0</v>
      </c>
      <c r="J185" s="113"/>
      <c r="K185" s="112">
        <f>ROUNDDOWN(IF(F185*K184&gt;L184,L184,F185*K184),-1)</f>
        <v>120000</v>
      </c>
      <c r="L185" s="113"/>
      <c r="M185" s="110">
        <f>ROUNDDOWN(IF(Q185*M184&gt;N184,N184,Q185*M184),-1)</f>
        <v>48870</v>
      </c>
      <c r="N185" s="111"/>
      <c r="O185" s="110">
        <f>ROUNDDOWN(IF(F185*O184&gt;P184,P184,F185*O184),-1)</f>
        <v>0</v>
      </c>
      <c r="P185" s="111"/>
      <c r="Q185" s="23">
        <f>F185-G185-I185-K185</f>
        <v>698160</v>
      </c>
      <c r="R185" s="22">
        <f>F185-G185-I185-K185-M185-O185</f>
        <v>649290</v>
      </c>
      <c r="S185" s="21"/>
      <c r="T185" s="20">
        <f>F185*T184</f>
        <v>60285.400000000009</v>
      </c>
      <c r="U185" s="20">
        <f>F185*U184</f>
        <v>0</v>
      </c>
      <c r="V185" s="20">
        <f>(F185-I185)*V184</f>
        <v>0</v>
      </c>
      <c r="W185" s="19">
        <f>(F185*F184)*W184</f>
        <v>0</v>
      </c>
      <c r="X185" s="19">
        <f>G185*X184</f>
        <v>0</v>
      </c>
      <c r="Y185" s="19">
        <f>I185*Y184</f>
        <v>0</v>
      </c>
      <c r="Z185" s="19">
        <f>K185*Z184</f>
        <v>109999.92</v>
      </c>
      <c r="AA185" s="19">
        <f>M185*AA184</f>
        <v>24435</v>
      </c>
      <c r="AB185" s="19">
        <v>0</v>
      </c>
      <c r="AC185" s="16">
        <v>6000</v>
      </c>
      <c r="AD185" s="18">
        <f>F185-T185-U185-V185-W185-AA185-X185-Y185-Z185-AB185</f>
        <v>666499.67999999993</v>
      </c>
      <c r="AE185" s="18">
        <f>F185-T185-U185-V185-W185-X185-Y185-Z185-AA185-AB185-AC185</f>
        <v>660499.67999999993</v>
      </c>
      <c r="AF185" s="17">
        <f>AE185-AG185</f>
        <v>13499.679999999935</v>
      </c>
      <c r="AG185" s="16">
        <v>647000</v>
      </c>
      <c r="AH185" s="15">
        <f>AF185/AG185</f>
        <v>2.0865038639876252E-2</v>
      </c>
      <c r="AI185" s="14">
        <f>1-R185/(AG185-AM185-AN185-AO185)</f>
        <v>-0.14513227513227522</v>
      </c>
      <c r="AJ185" s="114">
        <f>(1-R185/F185)-(1-(AD185)/F185)</f>
        <v>1.9982907967766583E-2</v>
      </c>
      <c r="AK185" s="115"/>
      <c r="AM185" s="13">
        <v>80000</v>
      </c>
      <c r="AN185" s="12">
        <v>0</v>
      </c>
      <c r="AO185" s="12"/>
      <c r="AP185" s="12"/>
      <c r="AQ185" s="11">
        <f>AE185-(AG185-AM185-AN185-AO185-AP185)</f>
        <v>93499.679999999935</v>
      </c>
      <c r="AR185" s="8">
        <f>AQ185/AG185</f>
        <v>0.1445126429675424</v>
      </c>
      <c r="AT185" s="10">
        <v>0</v>
      </c>
      <c r="AU185" s="10">
        <v>0</v>
      </c>
      <c r="AV185" s="9">
        <f>AQ185-AT185-AU185</f>
        <v>93499.679999999935</v>
      </c>
      <c r="AW185" s="8">
        <f>AV185/AG185</f>
        <v>0.1445126429675424</v>
      </c>
      <c r="AY185" s="7"/>
      <c r="AZ185" s="50"/>
      <c r="BA185" s="52"/>
      <c r="BB185" s="7"/>
    </row>
    <row r="186" spans="1:54" ht="16.5" customHeight="1" x14ac:dyDescent="0.3">
      <c r="C186" s="57"/>
      <c r="D186" s="57"/>
      <c r="E186" s="5">
        <v>699000</v>
      </c>
      <c r="F186" s="4">
        <f>ROUNDDOWN(E186/(1-F184),-1)</f>
        <v>699000</v>
      </c>
      <c r="G186" s="105">
        <f>ROUNDDOWN(IF(F186*G184&gt;H184,H184,F186*G184),-1)</f>
        <v>34950</v>
      </c>
      <c r="H186" s="105"/>
      <c r="J186" s="54">
        <f>F185*4%</f>
        <v>34448.800000000003</v>
      </c>
      <c r="R186" s="4">
        <v>629000</v>
      </c>
      <c r="X186" s="3">
        <f>G186*X184</f>
        <v>0</v>
      </c>
      <c r="Y186" s="3"/>
      <c r="Z186" s="3"/>
      <c r="AG186" s="4"/>
    </row>
    <row r="187" spans="1:54" ht="27" customHeight="1" x14ac:dyDescent="0.3">
      <c r="A187" s="124" t="s">
        <v>34</v>
      </c>
      <c r="B187" s="139" t="s">
        <v>113</v>
      </c>
      <c r="C187" s="140"/>
      <c r="D187" s="140"/>
      <c r="E187" s="140"/>
      <c r="F187" s="140"/>
      <c r="G187" s="140"/>
      <c r="H187" s="140"/>
      <c r="I187" s="140"/>
      <c r="J187" s="140"/>
      <c r="K187" s="140"/>
      <c r="L187" s="140"/>
      <c r="M187" s="140"/>
      <c r="N187" s="140"/>
      <c r="O187" s="140"/>
      <c r="P187" s="140"/>
      <c r="Q187" s="140"/>
      <c r="R187" s="141"/>
      <c r="T187" s="130" t="s">
        <v>33</v>
      </c>
      <c r="U187" s="131"/>
      <c r="V187" s="131"/>
      <c r="W187" s="131"/>
      <c r="X187" s="131"/>
      <c r="Y187" s="131"/>
      <c r="Z187" s="131"/>
      <c r="AA187" s="131"/>
      <c r="AB187" s="131"/>
      <c r="AC187" s="131"/>
      <c r="AD187" s="131"/>
      <c r="AE187" s="131"/>
      <c r="AF187" s="131"/>
      <c r="AG187" s="131"/>
      <c r="AH187" s="132"/>
      <c r="AI187" s="37"/>
      <c r="AM187" s="130" t="s">
        <v>32</v>
      </c>
      <c r="AN187" s="131"/>
      <c r="AO187" s="131"/>
      <c r="AP187" s="131"/>
      <c r="AQ187" s="131"/>
      <c r="AR187" s="132"/>
      <c r="AT187" s="130" t="s">
        <v>31</v>
      </c>
      <c r="AU187" s="131"/>
      <c r="AV187" s="131"/>
      <c r="AW187" s="132"/>
      <c r="AY187" s="36" t="s">
        <v>36</v>
      </c>
      <c r="AZ187" s="48"/>
      <c r="BA187" s="52"/>
      <c r="BB187" s="36"/>
    </row>
    <row r="188" spans="1:54" ht="32.25" customHeight="1" x14ac:dyDescent="0.3">
      <c r="A188" s="125"/>
      <c r="B188" s="133" t="s">
        <v>30</v>
      </c>
      <c r="C188" s="133" t="s">
        <v>29</v>
      </c>
      <c r="D188" s="116" t="s">
        <v>28</v>
      </c>
      <c r="E188" s="116" t="s">
        <v>27</v>
      </c>
      <c r="F188" s="34" t="s">
        <v>26</v>
      </c>
      <c r="G188" s="122" t="s">
        <v>63</v>
      </c>
      <c r="H188" s="123"/>
      <c r="I188" s="122" t="s">
        <v>50</v>
      </c>
      <c r="J188" s="123"/>
      <c r="K188" s="122" t="s">
        <v>62</v>
      </c>
      <c r="L188" s="123"/>
      <c r="M188" s="122" t="s">
        <v>25</v>
      </c>
      <c r="N188" s="123"/>
      <c r="O188" s="122" t="s">
        <v>24</v>
      </c>
      <c r="P188" s="123"/>
      <c r="Q188" s="106" t="s">
        <v>23</v>
      </c>
      <c r="R188" s="106" t="s">
        <v>22</v>
      </c>
      <c r="S188" s="21"/>
      <c r="T188" s="34" t="s">
        <v>21</v>
      </c>
      <c r="U188" s="34" t="s">
        <v>20</v>
      </c>
      <c r="V188" s="34" t="s">
        <v>95</v>
      </c>
      <c r="W188" s="34" t="s">
        <v>19</v>
      </c>
      <c r="X188" s="34" t="s">
        <v>18</v>
      </c>
      <c r="Y188" s="34" t="s">
        <v>48</v>
      </c>
      <c r="Z188" s="34" t="s">
        <v>49</v>
      </c>
      <c r="AA188" s="34" t="s">
        <v>17</v>
      </c>
      <c r="AB188" s="106" t="s">
        <v>16</v>
      </c>
      <c r="AC188" s="106" t="s">
        <v>15</v>
      </c>
      <c r="AD188" s="106" t="s">
        <v>14</v>
      </c>
      <c r="AE188" s="106" t="s">
        <v>13</v>
      </c>
      <c r="AF188" s="106" t="s">
        <v>12</v>
      </c>
      <c r="AG188" s="116" t="s">
        <v>11</v>
      </c>
      <c r="AH188" s="118" t="s">
        <v>10</v>
      </c>
      <c r="AI188" s="120" t="s">
        <v>9</v>
      </c>
      <c r="AJ188" s="35">
        <f>(1-R190/F190)</f>
        <v>0.27251213592233015</v>
      </c>
      <c r="AK188" s="35">
        <f>1-(AD190+AM190)/F190</f>
        <v>0.17018796116504853</v>
      </c>
      <c r="AM188" s="106" t="s">
        <v>8</v>
      </c>
      <c r="AN188" s="106" t="s">
        <v>7</v>
      </c>
      <c r="AO188" s="106" t="s">
        <v>37</v>
      </c>
      <c r="AP188" s="106" t="s">
        <v>38</v>
      </c>
      <c r="AQ188" s="106" t="s">
        <v>6</v>
      </c>
      <c r="AR188" s="106" t="s">
        <v>5</v>
      </c>
      <c r="AT188" s="106" t="s">
        <v>4</v>
      </c>
      <c r="AU188" s="106" t="s">
        <v>3</v>
      </c>
      <c r="AV188" s="106" t="s">
        <v>2</v>
      </c>
      <c r="AW188" s="106" t="s">
        <v>1</v>
      </c>
      <c r="AY188" s="106"/>
      <c r="AZ188" s="108"/>
      <c r="BA188" s="52"/>
      <c r="BB188" s="106"/>
    </row>
    <row r="189" spans="1:54" ht="27" customHeight="1" x14ac:dyDescent="0.3">
      <c r="A189" s="126"/>
      <c r="B189" s="134"/>
      <c r="C189" s="134"/>
      <c r="D189" s="117"/>
      <c r="E189" s="117"/>
      <c r="F189" s="31">
        <v>0</v>
      </c>
      <c r="G189" s="33">
        <v>0.06</v>
      </c>
      <c r="H189" s="32">
        <v>1000000</v>
      </c>
      <c r="I189" s="31">
        <v>0</v>
      </c>
      <c r="J189" s="32">
        <v>0</v>
      </c>
      <c r="K189" s="31">
        <v>1</v>
      </c>
      <c r="L189" s="32">
        <v>130000</v>
      </c>
      <c r="M189" s="31">
        <v>7.0000000000000007E-2</v>
      </c>
      <c r="N189" s="32">
        <v>70000</v>
      </c>
      <c r="O189" s="31">
        <v>0</v>
      </c>
      <c r="P189" s="32">
        <v>0</v>
      </c>
      <c r="Q189" s="107"/>
      <c r="R189" s="107"/>
      <c r="S189" s="21"/>
      <c r="T189" s="31">
        <f>IF(C190="노트북",7%,IF(C190="저장&amp;주변기기",9%,IF(C190="모니터",7%)))</f>
        <v>7.0000000000000007E-2</v>
      </c>
      <c r="U189" s="31">
        <v>0</v>
      </c>
      <c r="V189" s="31">
        <v>0</v>
      </c>
      <c r="W189" s="31">
        <f>IF(G189=0%,20%,0%)</f>
        <v>0</v>
      </c>
      <c r="X189" s="30">
        <v>0</v>
      </c>
      <c r="Y189" s="30">
        <v>1</v>
      </c>
      <c r="Z189" s="53">
        <v>0.92307600000000001</v>
      </c>
      <c r="AA189" s="29">
        <v>0.5</v>
      </c>
      <c r="AB189" s="107"/>
      <c r="AC189" s="107"/>
      <c r="AD189" s="107"/>
      <c r="AE189" s="107"/>
      <c r="AF189" s="107"/>
      <c r="AG189" s="117"/>
      <c r="AH189" s="119"/>
      <c r="AI189" s="121"/>
      <c r="AJ189" s="55" t="s">
        <v>52</v>
      </c>
      <c r="AK189" s="56">
        <f>AJ188-AK188</f>
        <v>0.10232417475728162</v>
      </c>
      <c r="AM189" s="107"/>
      <c r="AN189" s="107"/>
      <c r="AO189" s="107"/>
      <c r="AP189" s="107"/>
      <c r="AQ189" s="107"/>
      <c r="AR189" s="107"/>
      <c r="AS189" s="39"/>
      <c r="AT189" s="107"/>
      <c r="AU189" s="107"/>
      <c r="AV189" s="107"/>
      <c r="AW189" s="107"/>
      <c r="AY189" s="107"/>
      <c r="AZ189" s="109"/>
      <c r="BA189" s="52"/>
      <c r="BB189" s="107"/>
    </row>
    <row r="190" spans="1:54" ht="27" customHeight="1" x14ac:dyDescent="0.3">
      <c r="A190" s="51" t="s">
        <v>76</v>
      </c>
      <c r="B190" s="38" t="s">
        <v>35</v>
      </c>
      <c r="C190" s="27" t="s">
        <v>0</v>
      </c>
      <c r="D190" s="26">
        <v>4608884708</v>
      </c>
      <c r="E190" s="25">
        <v>824000</v>
      </c>
      <c r="F190" s="24">
        <f>ROUNDDOWN(E190/(1-F189),-1)</f>
        <v>824000</v>
      </c>
      <c r="G190" s="110">
        <f>ROUNDDOWN(IF(F190*G189&gt;H189,H189,F190*G189),-1)</f>
        <v>49440</v>
      </c>
      <c r="H190" s="111"/>
      <c r="I190" s="112">
        <f>ROUNDDOWN(IF(F190*I189&gt;J189,J189,F190*I189),-1)</f>
        <v>0</v>
      </c>
      <c r="J190" s="113"/>
      <c r="K190" s="112">
        <f>ROUNDDOWN(IF(F190*K189&gt;L189,L189,F190*K189),-1)</f>
        <v>130000</v>
      </c>
      <c r="L190" s="113"/>
      <c r="M190" s="110">
        <f>ROUNDDOWN(IF(Q190*M189&gt;N189,N189,Q190*M189),-1)</f>
        <v>45110</v>
      </c>
      <c r="N190" s="111"/>
      <c r="O190" s="110">
        <f>ROUNDDOWN(IF(F190*O189&gt;P189,P189,F190*O189),-1)</f>
        <v>0</v>
      </c>
      <c r="P190" s="111"/>
      <c r="Q190" s="23">
        <f>F190-G190-I190-K190</f>
        <v>644560</v>
      </c>
      <c r="R190" s="22">
        <f>F190-G190-I190-K190-M190-O190</f>
        <v>599450</v>
      </c>
      <c r="S190" s="21"/>
      <c r="T190" s="20">
        <f>F190*T189</f>
        <v>57680.000000000007</v>
      </c>
      <c r="U190" s="20">
        <f>F190*U189</f>
        <v>0</v>
      </c>
      <c r="V190" s="20">
        <f>(F190-I190)*V189</f>
        <v>0</v>
      </c>
      <c r="W190" s="19">
        <f>(F190*F189)*W189</f>
        <v>0</v>
      </c>
      <c r="X190" s="19">
        <f>G190*X189</f>
        <v>0</v>
      </c>
      <c r="Y190" s="19">
        <f>I190*Y189</f>
        <v>0</v>
      </c>
      <c r="Z190" s="19">
        <f>K190*Z189</f>
        <v>119999.88</v>
      </c>
      <c r="AA190" s="19">
        <f>M190*AA189</f>
        <v>22555</v>
      </c>
      <c r="AB190" s="19">
        <v>0</v>
      </c>
      <c r="AC190" s="16">
        <v>6000</v>
      </c>
      <c r="AD190" s="18">
        <f>F190-T190-U190-V190-W190-AA190-X190-Y190-Z190-AB190</f>
        <v>623765.12</v>
      </c>
      <c r="AE190" s="18">
        <f>F190-T190-U190-V190-W190-X190-Y190-Z190-AA190-AB190-AC190</f>
        <v>617765.12</v>
      </c>
      <c r="AF190" s="17">
        <f>AE190-AG190</f>
        <v>-29234.880000000005</v>
      </c>
      <c r="AG190" s="16">
        <v>647000</v>
      </c>
      <c r="AH190" s="15">
        <f>AF190/AG190</f>
        <v>-4.5185285935085015E-2</v>
      </c>
      <c r="AI190" s="14">
        <f>1-R190/(AG190-AM190-AN190-AO190)</f>
        <v>-7.6211849192100445E-2</v>
      </c>
      <c r="AJ190" s="114">
        <f>(1-R190/F190)-(1-(AD190)/F190)</f>
        <v>2.9508640776699124E-2</v>
      </c>
      <c r="AK190" s="115"/>
      <c r="AM190" s="13">
        <v>60000</v>
      </c>
      <c r="AN190" s="12">
        <v>30000</v>
      </c>
      <c r="AO190" s="12"/>
      <c r="AP190" s="12"/>
      <c r="AQ190" s="11">
        <f>AE190-(AG190-AM190-AN190-AO190-AP190)</f>
        <v>60765.119999999995</v>
      </c>
      <c r="AR190" s="8">
        <f>AQ190/AG190</f>
        <v>9.3918268933539412E-2</v>
      </c>
      <c r="AT190" s="10">
        <v>0</v>
      </c>
      <c r="AU190" s="10">
        <v>0</v>
      </c>
      <c r="AV190" s="9">
        <f>AQ190-AT190-AU190</f>
        <v>60765.119999999995</v>
      </c>
      <c r="AW190" s="8">
        <f>AV190/AG190</f>
        <v>9.3918268933539412E-2</v>
      </c>
      <c r="AY190" s="7"/>
      <c r="AZ190" s="50"/>
      <c r="BA190" s="52"/>
      <c r="BB190" s="7"/>
    </row>
    <row r="191" spans="1:54" ht="16.5" customHeight="1" x14ac:dyDescent="0.3">
      <c r="C191" s="57"/>
      <c r="D191" s="57"/>
      <c r="E191" s="5">
        <v>699000</v>
      </c>
      <c r="F191" s="4">
        <f>ROUNDDOWN(E191/(1-F189),-1)</f>
        <v>699000</v>
      </c>
      <c r="G191" s="105">
        <f>ROUNDDOWN(IF(F191*G189&gt;H189,H189,F191*G189),-1)</f>
        <v>41940</v>
      </c>
      <c r="H191" s="105"/>
      <c r="J191" s="54">
        <f>F190*4%</f>
        <v>32960</v>
      </c>
      <c r="R191" s="4">
        <v>629000</v>
      </c>
      <c r="X191" s="3">
        <f>G191*X189</f>
        <v>0</v>
      </c>
      <c r="Y191" s="3"/>
      <c r="Z191" s="3"/>
      <c r="AG191" s="4"/>
      <c r="AM191" s="1" t="s">
        <v>110</v>
      </c>
    </row>
    <row r="192" spans="1:54" ht="16.5" customHeight="1" x14ac:dyDescent="0.3">
      <c r="C192" s="57"/>
      <c r="D192" s="57"/>
      <c r="E192" s="5">
        <v>849000</v>
      </c>
      <c r="F192" s="4"/>
      <c r="G192" s="74"/>
      <c r="H192" s="74"/>
      <c r="J192" s="54"/>
      <c r="R192" s="4"/>
      <c r="X192" s="3"/>
      <c r="Y192" s="3"/>
      <c r="Z192" s="3"/>
      <c r="AG192" s="4"/>
    </row>
    <row r="193" spans="1:54" ht="27" customHeight="1" x14ac:dyDescent="0.3">
      <c r="A193" s="124" t="s">
        <v>34</v>
      </c>
      <c r="B193" s="139" t="s">
        <v>113</v>
      </c>
      <c r="C193" s="140"/>
      <c r="D193" s="140"/>
      <c r="E193" s="140"/>
      <c r="F193" s="140"/>
      <c r="G193" s="140"/>
      <c r="H193" s="140"/>
      <c r="I193" s="140"/>
      <c r="J193" s="140"/>
      <c r="K193" s="140"/>
      <c r="L193" s="140"/>
      <c r="M193" s="140"/>
      <c r="N193" s="140"/>
      <c r="O193" s="140"/>
      <c r="P193" s="140"/>
      <c r="Q193" s="140"/>
      <c r="R193" s="141"/>
      <c r="T193" s="130" t="s">
        <v>33</v>
      </c>
      <c r="U193" s="131"/>
      <c r="V193" s="131"/>
      <c r="W193" s="131"/>
      <c r="X193" s="131"/>
      <c r="Y193" s="131"/>
      <c r="Z193" s="131"/>
      <c r="AA193" s="131"/>
      <c r="AB193" s="131"/>
      <c r="AC193" s="131"/>
      <c r="AD193" s="131"/>
      <c r="AE193" s="131"/>
      <c r="AF193" s="131"/>
      <c r="AG193" s="131"/>
      <c r="AH193" s="132"/>
      <c r="AI193" s="37"/>
      <c r="AM193" s="130" t="s">
        <v>32</v>
      </c>
      <c r="AN193" s="131"/>
      <c r="AO193" s="131"/>
      <c r="AP193" s="131"/>
      <c r="AQ193" s="131"/>
      <c r="AR193" s="132"/>
      <c r="AT193" s="130" t="s">
        <v>31</v>
      </c>
      <c r="AU193" s="131"/>
      <c r="AV193" s="131"/>
      <c r="AW193" s="132"/>
      <c r="AY193" s="36" t="s">
        <v>36</v>
      </c>
      <c r="AZ193" s="48"/>
      <c r="BA193" s="52"/>
      <c r="BB193" s="36"/>
    </row>
    <row r="194" spans="1:54" ht="32.25" customHeight="1" x14ac:dyDescent="0.3">
      <c r="A194" s="125"/>
      <c r="B194" s="133" t="s">
        <v>30</v>
      </c>
      <c r="C194" s="133" t="s">
        <v>29</v>
      </c>
      <c r="D194" s="116" t="s">
        <v>28</v>
      </c>
      <c r="E194" s="116" t="s">
        <v>27</v>
      </c>
      <c r="F194" s="34" t="s">
        <v>26</v>
      </c>
      <c r="G194" s="122" t="s">
        <v>63</v>
      </c>
      <c r="H194" s="123"/>
      <c r="I194" s="122" t="s">
        <v>50</v>
      </c>
      <c r="J194" s="123"/>
      <c r="K194" s="122" t="s">
        <v>62</v>
      </c>
      <c r="L194" s="123"/>
      <c r="M194" s="122" t="s">
        <v>25</v>
      </c>
      <c r="N194" s="123"/>
      <c r="O194" s="122" t="s">
        <v>24</v>
      </c>
      <c r="P194" s="123"/>
      <c r="Q194" s="106" t="s">
        <v>23</v>
      </c>
      <c r="R194" s="106" t="s">
        <v>22</v>
      </c>
      <c r="S194" s="21"/>
      <c r="T194" s="34" t="s">
        <v>21</v>
      </c>
      <c r="U194" s="34" t="s">
        <v>20</v>
      </c>
      <c r="V194" s="34" t="s">
        <v>95</v>
      </c>
      <c r="W194" s="34" t="s">
        <v>19</v>
      </c>
      <c r="X194" s="34" t="s">
        <v>18</v>
      </c>
      <c r="Y194" s="34" t="s">
        <v>48</v>
      </c>
      <c r="Z194" s="34" t="s">
        <v>49</v>
      </c>
      <c r="AA194" s="34" t="s">
        <v>17</v>
      </c>
      <c r="AB194" s="106" t="s">
        <v>16</v>
      </c>
      <c r="AC194" s="106" t="s">
        <v>15</v>
      </c>
      <c r="AD194" s="106" t="s">
        <v>14</v>
      </c>
      <c r="AE194" s="106" t="s">
        <v>13</v>
      </c>
      <c r="AF194" s="106" t="s">
        <v>12</v>
      </c>
      <c r="AG194" s="116" t="s">
        <v>11</v>
      </c>
      <c r="AH194" s="118" t="s">
        <v>10</v>
      </c>
      <c r="AI194" s="120" t="s">
        <v>9</v>
      </c>
      <c r="AJ194" s="35">
        <f>(1-R196/F196)</f>
        <v>0.28190119978627293</v>
      </c>
      <c r="AK194" s="35">
        <f>1-(AD196+AM196)/F196</f>
        <v>0.18988084713654241</v>
      </c>
      <c r="AM194" s="106" t="s">
        <v>8</v>
      </c>
      <c r="AN194" s="106" t="s">
        <v>7</v>
      </c>
      <c r="AO194" s="106" t="s">
        <v>37</v>
      </c>
      <c r="AP194" s="106" t="s">
        <v>38</v>
      </c>
      <c r="AQ194" s="106" t="s">
        <v>6</v>
      </c>
      <c r="AR194" s="106" t="s">
        <v>5</v>
      </c>
      <c r="AT194" s="106" t="s">
        <v>4</v>
      </c>
      <c r="AU194" s="106" t="s">
        <v>3</v>
      </c>
      <c r="AV194" s="106" t="s">
        <v>2</v>
      </c>
      <c r="AW194" s="106" t="s">
        <v>1</v>
      </c>
      <c r="AY194" s="106"/>
      <c r="AZ194" s="108"/>
      <c r="BA194" s="52"/>
      <c r="BB194" s="106"/>
    </row>
    <row r="195" spans="1:54" ht="27" customHeight="1" x14ac:dyDescent="0.3">
      <c r="A195" s="126"/>
      <c r="B195" s="134"/>
      <c r="C195" s="134"/>
      <c r="D195" s="117"/>
      <c r="E195" s="117"/>
      <c r="F195" s="31">
        <v>0</v>
      </c>
      <c r="G195" s="33">
        <v>7.0000000000000007E-2</v>
      </c>
      <c r="H195" s="32">
        <v>1000000</v>
      </c>
      <c r="I195" s="31">
        <v>0</v>
      </c>
      <c r="J195" s="32">
        <v>0</v>
      </c>
      <c r="K195" s="31">
        <v>1</v>
      </c>
      <c r="L195" s="32">
        <v>130000</v>
      </c>
      <c r="M195" s="31">
        <v>7.0000000000000007E-2</v>
      </c>
      <c r="N195" s="32">
        <v>70000</v>
      </c>
      <c r="O195" s="31">
        <v>0</v>
      </c>
      <c r="P195" s="32">
        <v>0</v>
      </c>
      <c r="Q195" s="107"/>
      <c r="R195" s="107"/>
      <c r="S195" s="21"/>
      <c r="T195" s="31">
        <f>IF(C196="노트북",7%,IF(C196="저장&amp;주변기기",9%,IF(C196="모니터",7%)))</f>
        <v>7.0000000000000007E-2</v>
      </c>
      <c r="U195" s="31">
        <v>0</v>
      </c>
      <c r="V195" s="31">
        <v>0.02</v>
      </c>
      <c r="W195" s="31">
        <f>IF(G195=0%,20%,0%)</f>
        <v>0</v>
      </c>
      <c r="X195" s="30">
        <v>0</v>
      </c>
      <c r="Y195" s="30">
        <v>1</v>
      </c>
      <c r="Z195" s="53">
        <v>0.92307600000000001</v>
      </c>
      <c r="AA195" s="29">
        <v>0.5</v>
      </c>
      <c r="AB195" s="107"/>
      <c r="AC195" s="107"/>
      <c r="AD195" s="107"/>
      <c r="AE195" s="107"/>
      <c r="AF195" s="107"/>
      <c r="AG195" s="117"/>
      <c r="AH195" s="119"/>
      <c r="AI195" s="121"/>
      <c r="AJ195" s="55" t="s">
        <v>52</v>
      </c>
      <c r="AK195" s="56">
        <f>AJ194-AK194</f>
        <v>9.2020352649730519E-2</v>
      </c>
      <c r="AM195" s="107"/>
      <c r="AN195" s="107"/>
      <c r="AO195" s="107"/>
      <c r="AP195" s="107"/>
      <c r="AQ195" s="107"/>
      <c r="AR195" s="107"/>
      <c r="AS195" s="39"/>
      <c r="AT195" s="107"/>
      <c r="AU195" s="107"/>
      <c r="AV195" s="107"/>
      <c r="AW195" s="107"/>
      <c r="AY195" s="107"/>
      <c r="AZ195" s="109"/>
      <c r="BA195" s="52"/>
      <c r="BB195" s="107"/>
    </row>
    <row r="196" spans="1:54" ht="27" customHeight="1" x14ac:dyDescent="0.3">
      <c r="A196" s="51" t="s">
        <v>76</v>
      </c>
      <c r="B196" s="38" t="s">
        <v>35</v>
      </c>
      <c r="C196" s="27" t="s">
        <v>0</v>
      </c>
      <c r="D196" s="26">
        <v>4608884708</v>
      </c>
      <c r="E196" s="25">
        <v>823480</v>
      </c>
      <c r="F196" s="24">
        <f>ROUNDDOWN(E196/(1-F195),-1)</f>
        <v>823480</v>
      </c>
      <c r="G196" s="110">
        <f>ROUNDDOWN(IF(F196*G195&gt;H195,H195,F196*G195),-1)</f>
        <v>57640</v>
      </c>
      <c r="H196" s="111"/>
      <c r="I196" s="112">
        <f>ROUNDDOWN(IF(F196*I195&gt;J195,J195,F196*I195),-1)</f>
        <v>0</v>
      </c>
      <c r="J196" s="113"/>
      <c r="K196" s="112">
        <f>ROUNDDOWN(IF(F196*K195&gt;L195,L195,F196*K195),-1)</f>
        <v>130000</v>
      </c>
      <c r="L196" s="113"/>
      <c r="M196" s="110">
        <f>ROUNDDOWN(IF(Q196*M195&gt;N195,N195,Q196*M195),-1)</f>
        <v>44500</v>
      </c>
      <c r="N196" s="111"/>
      <c r="O196" s="110">
        <f>ROUNDDOWN(IF(F196*O195&gt;P195,P195,F196*O195),-1)</f>
        <v>0</v>
      </c>
      <c r="P196" s="111"/>
      <c r="Q196" s="23">
        <f>F196-G196-I196-K196</f>
        <v>635840</v>
      </c>
      <c r="R196" s="22">
        <f>F196-G196-I196-K196-M196-O196</f>
        <v>591340</v>
      </c>
      <c r="S196" s="21"/>
      <c r="T196" s="20">
        <f>F196*T195</f>
        <v>57643.600000000006</v>
      </c>
      <c r="U196" s="20">
        <f>F196*U195</f>
        <v>0</v>
      </c>
      <c r="V196" s="20">
        <f>(F196-I196)*V195</f>
        <v>16469.599999999999</v>
      </c>
      <c r="W196" s="19">
        <f>(F196*F195)*W195</f>
        <v>0</v>
      </c>
      <c r="X196" s="19">
        <f>G196*X195</f>
        <v>0</v>
      </c>
      <c r="Y196" s="19">
        <f>I196*Y195</f>
        <v>0</v>
      </c>
      <c r="Z196" s="19">
        <f>K196*Z195</f>
        <v>119999.88</v>
      </c>
      <c r="AA196" s="19">
        <f>M196*AA195</f>
        <v>22250</v>
      </c>
      <c r="AB196" s="19">
        <v>0</v>
      </c>
      <c r="AC196" s="16">
        <v>6000</v>
      </c>
      <c r="AD196" s="18">
        <f>F196-T196-U196-V196-W196-AA196-X196-Y196-Z196-AB196</f>
        <v>607116.92000000004</v>
      </c>
      <c r="AE196" s="18">
        <f>F196-T196-U196-V196-W196-X196-Y196-Z196-AA196-AB196-AC196</f>
        <v>601116.92000000004</v>
      </c>
      <c r="AF196" s="17">
        <f>AE196-AG196</f>
        <v>-45883.079999999958</v>
      </c>
      <c r="AG196" s="16">
        <v>647000</v>
      </c>
      <c r="AH196" s="15">
        <f>AF196/AG196</f>
        <v>-7.0916661514683094E-2</v>
      </c>
      <c r="AI196" s="14">
        <f>1-R196/(AG196-AM196-AN196-AO196)</f>
        <v>-7.3935264054514338E-3</v>
      </c>
      <c r="AJ196" s="114">
        <f>(1-R196/F196)-(1-(AD196)/F196)</f>
        <v>1.9158838101714815E-2</v>
      </c>
      <c r="AK196" s="115"/>
      <c r="AM196" s="13">
        <v>60000</v>
      </c>
      <c r="AN196" s="12"/>
      <c r="AO196" s="12"/>
      <c r="AP196" s="12"/>
      <c r="AQ196" s="11">
        <f>AE196-(AG196-AM196-AN196-AO196-AP196)</f>
        <v>14116.920000000042</v>
      </c>
      <c r="AR196" s="8">
        <f>AQ196/AG196</f>
        <v>2.1819041731066524E-2</v>
      </c>
      <c r="AT196" s="10">
        <v>0</v>
      </c>
      <c r="AU196" s="10">
        <v>0</v>
      </c>
      <c r="AV196" s="9">
        <f>AQ196-AT196-AU196</f>
        <v>14116.920000000042</v>
      </c>
      <c r="AW196" s="8">
        <f>AV196/AG196</f>
        <v>2.1819041731066524E-2</v>
      </c>
      <c r="AY196" s="7"/>
      <c r="AZ196" s="50"/>
      <c r="BA196" s="52"/>
      <c r="BB196" s="7"/>
    </row>
    <row r="197" spans="1:54" ht="16.5" customHeight="1" x14ac:dyDescent="0.3">
      <c r="C197" s="57"/>
      <c r="D197" s="57"/>
      <c r="E197" s="5">
        <v>699000</v>
      </c>
      <c r="F197" s="4">
        <f>ROUNDDOWN(E197/(1-F195),-1)</f>
        <v>699000</v>
      </c>
      <c r="G197" s="105">
        <f>ROUNDDOWN(IF(F197*G195&gt;H195,H195,F197*G195),-1)</f>
        <v>48930</v>
      </c>
      <c r="H197" s="105"/>
      <c r="J197" s="54">
        <f>F196*4%</f>
        <v>32939.199999999997</v>
      </c>
      <c r="R197" s="4">
        <v>629000</v>
      </c>
      <c r="X197" s="3">
        <f>G197*X195</f>
        <v>0</v>
      </c>
      <c r="Y197" s="3"/>
      <c r="Z197" s="3"/>
      <c r="AG197" s="4"/>
    </row>
    <row r="198" spans="1:54" ht="16.5" customHeight="1" x14ac:dyDescent="0.3">
      <c r="C198" s="57"/>
      <c r="D198" s="57"/>
      <c r="E198" s="5">
        <v>849000</v>
      </c>
      <c r="F198" s="4"/>
      <c r="G198" s="74"/>
      <c r="H198" s="74"/>
      <c r="J198" s="54"/>
      <c r="R198" s="4"/>
      <c r="X198" s="3"/>
      <c r="Y198" s="3"/>
      <c r="Z198" s="3"/>
      <c r="AG198" s="4"/>
    </row>
    <row r="199" spans="1:54" ht="27" customHeight="1" x14ac:dyDescent="0.3">
      <c r="A199" s="124" t="s">
        <v>34</v>
      </c>
      <c r="B199" s="135" t="s">
        <v>128</v>
      </c>
      <c r="C199" s="136"/>
      <c r="D199" s="136"/>
      <c r="E199" s="136"/>
      <c r="F199" s="136"/>
      <c r="G199" s="136"/>
      <c r="H199" s="136"/>
      <c r="I199" s="136"/>
      <c r="J199" s="136"/>
      <c r="K199" s="136"/>
      <c r="L199" s="136"/>
      <c r="M199" s="136"/>
      <c r="N199" s="136"/>
      <c r="O199" s="136"/>
      <c r="P199" s="136"/>
      <c r="Q199" s="136"/>
      <c r="R199" s="137"/>
      <c r="T199" s="130" t="s">
        <v>33</v>
      </c>
      <c r="U199" s="131"/>
      <c r="V199" s="131"/>
      <c r="W199" s="131"/>
      <c r="X199" s="131"/>
      <c r="Y199" s="131"/>
      <c r="Z199" s="131"/>
      <c r="AA199" s="131"/>
      <c r="AB199" s="131"/>
      <c r="AC199" s="131"/>
      <c r="AD199" s="131"/>
      <c r="AE199" s="131"/>
      <c r="AF199" s="131"/>
      <c r="AG199" s="131"/>
      <c r="AH199" s="132"/>
      <c r="AI199" s="37"/>
      <c r="AM199" s="130" t="s">
        <v>32</v>
      </c>
      <c r="AN199" s="131"/>
      <c r="AO199" s="131"/>
      <c r="AP199" s="131"/>
      <c r="AQ199" s="131"/>
      <c r="AR199" s="132"/>
      <c r="AT199" s="130" t="s">
        <v>31</v>
      </c>
      <c r="AU199" s="131"/>
      <c r="AV199" s="131"/>
      <c r="AW199" s="132"/>
      <c r="AY199" s="36" t="s">
        <v>36</v>
      </c>
      <c r="AZ199" s="48"/>
      <c r="BA199" s="52"/>
      <c r="BB199" s="36"/>
    </row>
    <row r="200" spans="1:54" ht="32.25" customHeight="1" x14ac:dyDescent="0.3">
      <c r="A200" s="125"/>
      <c r="B200" s="133" t="s">
        <v>30</v>
      </c>
      <c r="C200" s="133" t="s">
        <v>29</v>
      </c>
      <c r="D200" s="116" t="s">
        <v>28</v>
      </c>
      <c r="E200" s="116" t="s">
        <v>27</v>
      </c>
      <c r="F200" s="34" t="s">
        <v>26</v>
      </c>
      <c r="G200" s="122" t="s">
        <v>63</v>
      </c>
      <c r="H200" s="123"/>
      <c r="I200" s="122" t="s">
        <v>50</v>
      </c>
      <c r="J200" s="123"/>
      <c r="K200" s="122" t="s">
        <v>62</v>
      </c>
      <c r="L200" s="123"/>
      <c r="M200" s="122" t="s">
        <v>25</v>
      </c>
      <c r="N200" s="123"/>
      <c r="O200" s="122" t="s">
        <v>24</v>
      </c>
      <c r="P200" s="123"/>
      <c r="Q200" s="106" t="s">
        <v>23</v>
      </c>
      <c r="R200" s="106" t="s">
        <v>22</v>
      </c>
      <c r="S200" s="21"/>
      <c r="T200" s="34" t="s">
        <v>21</v>
      </c>
      <c r="U200" s="34" t="s">
        <v>20</v>
      </c>
      <c r="V200" s="34" t="s">
        <v>95</v>
      </c>
      <c r="W200" s="34" t="s">
        <v>19</v>
      </c>
      <c r="X200" s="34" t="s">
        <v>18</v>
      </c>
      <c r="Y200" s="34" t="s">
        <v>48</v>
      </c>
      <c r="Z200" s="34" t="s">
        <v>49</v>
      </c>
      <c r="AA200" s="34" t="s">
        <v>17</v>
      </c>
      <c r="AB200" s="106" t="s">
        <v>16</v>
      </c>
      <c r="AC200" s="106" t="s">
        <v>15</v>
      </c>
      <c r="AD200" s="106" t="s">
        <v>14</v>
      </c>
      <c r="AE200" s="106" t="s">
        <v>13</v>
      </c>
      <c r="AF200" s="106" t="s">
        <v>12</v>
      </c>
      <c r="AG200" s="116" t="s">
        <v>11</v>
      </c>
      <c r="AH200" s="118" t="s">
        <v>10</v>
      </c>
      <c r="AI200" s="120" t="s">
        <v>9</v>
      </c>
      <c r="AJ200" s="35">
        <f>(1-R202/F202)</f>
        <v>0.28798099762470308</v>
      </c>
      <c r="AK200" s="35">
        <f>1-(AD202+AM202)/F202</f>
        <v>0.19805211401425182</v>
      </c>
      <c r="AM200" s="106" t="s">
        <v>8</v>
      </c>
      <c r="AN200" s="106" t="s">
        <v>7</v>
      </c>
      <c r="AO200" s="106" t="s">
        <v>37</v>
      </c>
      <c r="AP200" s="106" t="s">
        <v>38</v>
      </c>
      <c r="AQ200" s="106" t="s">
        <v>6</v>
      </c>
      <c r="AR200" s="106" t="s">
        <v>5</v>
      </c>
      <c r="AT200" s="106" t="s">
        <v>4</v>
      </c>
      <c r="AU200" s="106" t="s">
        <v>3</v>
      </c>
      <c r="AV200" s="106" t="s">
        <v>2</v>
      </c>
      <c r="AW200" s="106" t="s">
        <v>1</v>
      </c>
      <c r="AY200" s="106"/>
      <c r="AZ200" s="108"/>
      <c r="BA200" s="52"/>
      <c r="BB200" s="106"/>
    </row>
    <row r="201" spans="1:54" ht="27" customHeight="1" x14ac:dyDescent="0.3">
      <c r="A201" s="126"/>
      <c r="B201" s="134"/>
      <c r="C201" s="134"/>
      <c r="D201" s="117"/>
      <c r="E201" s="117"/>
      <c r="F201" s="31">
        <v>0</v>
      </c>
      <c r="G201" s="33">
        <v>0.08</v>
      </c>
      <c r="H201" s="32">
        <v>1000000</v>
      </c>
      <c r="I201" s="31">
        <v>0</v>
      </c>
      <c r="J201" s="32">
        <v>0</v>
      </c>
      <c r="K201" s="31">
        <v>1</v>
      </c>
      <c r="L201" s="32">
        <v>130000</v>
      </c>
      <c r="M201" s="31">
        <v>7.0000000000000007E-2</v>
      </c>
      <c r="N201" s="32">
        <v>70000</v>
      </c>
      <c r="O201" s="31">
        <v>0</v>
      </c>
      <c r="P201" s="32">
        <v>0</v>
      </c>
      <c r="Q201" s="107"/>
      <c r="R201" s="107"/>
      <c r="S201" s="21"/>
      <c r="T201" s="31">
        <f>IF(C202="노트북",7%,IF(C202="저장&amp;주변기기",9%,IF(C202="모니터",7%)))</f>
        <v>7.0000000000000007E-2</v>
      </c>
      <c r="U201" s="31">
        <v>0</v>
      </c>
      <c r="V201" s="31">
        <v>0.03</v>
      </c>
      <c r="W201" s="31">
        <f>IF(G201=0%,20%,0%)</f>
        <v>0</v>
      </c>
      <c r="X201" s="30">
        <v>0</v>
      </c>
      <c r="Y201" s="30">
        <v>1</v>
      </c>
      <c r="Z201" s="53">
        <v>0.92307600000000001</v>
      </c>
      <c r="AA201" s="29">
        <v>0.5</v>
      </c>
      <c r="AB201" s="107"/>
      <c r="AC201" s="107"/>
      <c r="AD201" s="107"/>
      <c r="AE201" s="107"/>
      <c r="AF201" s="107"/>
      <c r="AG201" s="117"/>
      <c r="AH201" s="119"/>
      <c r="AI201" s="121"/>
      <c r="AJ201" s="55" t="s">
        <v>52</v>
      </c>
      <c r="AK201" s="56">
        <f>AJ200-AK200</f>
        <v>8.992888361045126E-2</v>
      </c>
      <c r="AM201" s="107"/>
      <c r="AN201" s="107"/>
      <c r="AO201" s="107"/>
      <c r="AP201" s="107"/>
      <c r="AQ201" s="107"/>
      <c r="AR201" s="107"/>
      <c r="AS201" s="39"/>
      <c r="AT201" s="107"/>
      <c r="AU201" s="107"/>
      <c r="AV201" s="107"/>
      <c r="AW201" s="107"/>
      <c r="AY201" s="107"/>
      <c r="AZ201" s="109"/>
      <c r="BA201" s="52"/>
      <c r="BB201" s="107"/>
    </row>
    <row r="202" spans="1:54" ht="27" customHeight="1" x14ac:dyDescent="0.3">
      <c r="A202" s="51" t="s">
        <v>76</v>
      </c>
      <c r="B202" s="38" t="s">
        <v>35</v>
      </c>
      <c r="C202" s="27" t="s">
        <v>0</v>
      </c>
      <c r="D202" s="26">
        <v>4608884708</v>
      </c>
      <c r="E202" s="25">
        <v>842000</v>
      </c>
      <c r="F202" s="24">
        <f>ROUNDDOWN(E202/(1-F201),-1)</f>
        <v>842000</v>
      </c>
      <c r="G202" s="110">
        <f>ROUNDDOWN(IF(F202*G201&gt;H201,H201,F202*G201),-1)</f>
        <v>67360</v>
      </c>
      <c r="H202" s="111"/>
      <c r="I202" s="112">
        <f>ROUNDDOWN(IF(F202*I201&gt;J201,J201,F202*I201),-1)</f>
        <v>0</v>
      </c>
      <c r="J202" s="113"/>
      <c r="K202" s="112">
        <f>ROUNDDOWN(IF(F202*K201&gt;L201,L201,F202*K201),-1)</f>
        <v>130000</v>
      </c>
      <c r="L202" s="113"/>
      <c r="M202" s="110">
        <f>ROUNDDOWN(IF(Q202*M201&gt;N201,N201,Q202*M201),-1)</f>
        <v>45120</v>
      </c>
      <c r="N202" s="111"/>
      <c r="O202" s="110">
        <f>ROUNDDOWN(IF(F202*O201&gt;P201,P201,F202*O201),-1)</f>
        <v>0</v>
      </c>
      <c r="P202" s="111"/>
      <c r="Q202" s="23">
        <f>F202-G202-I202-K202</f>
        <v>644640</v>
      </c>
      <c r="R202" s="22">
        <f>F202-G202-I202-K202-M202-O202</f>
        <v>599520</v>
      </c>
      <c r="S202" s="21"/>
      <c r="T202" s="20">
        <f>F202*T201</f>
        <v>58940.000000000007</v>
      </c>
      <c r="U202" s="20">
        <f>F202*U201</f>
        <v>0</v>
      </c>
      <c r="V202" s="20">
        <f>(F202-I202)*V201</f>
        <v>25260</v>
      </c>
      <c r="W202" s="19">
        <f>(F202*F201)*W201</f>
        <v>0</v>
      </c>
      <c r="X202" s="19">
        <f>G202*X201</f>
        <v>0</v>
      </c>
      <c r="Y202" s="19">
        <f>I202*Y201</f>
        <v>0</v>
      </c>
      <c r="Z202" s="19">
        <f>K202*Z201</f>
        <v>119999.88</v>
      </c>
      <c r="AA202" s="19">
        <f>M202*AA201</f>
        <v>22560</v>
      </c>
      <c r="AB202" s="19">
        <v>0</v>
      </c>
      <c r="AC202" s="16">
        <v>6000</v>
      </c>
      <c r="AD202" s="18">
        <f>F202-T202-U202-V202-W202-AA202-X202-Y202-Z202-AB202</f>
        <v>615240.12</v>
      </c>
      <c r="AE202" s="18">
        <f>F202-T202-U202-V202-W202-X202-Y202-Z202-AA202-AB202-AC202</f>
        <v>609240.12</v>
      </c>
      <c r="AF202" s="17">
        <f>AE202-AG202</f>
        <v>-37759.880000000005</v>
      </c>
      <c r="AG202" s="16">
        <v>647000</v>
      </c>
      <c r="AH202" s="15">
        <f>AF202/AG202</f>
        <v>-5.8361483771251936E-2</v>
      </c>
      <c r="AI202" s="14">
        <f>1-R202/(AG202-AM202-AN202-AO202)</f>
        <v>-2.1328790459965941E-2</v>
      </c>
      <c r="AJ202" s="114">
        <f>(1-R202/F202)-(1-(AD202)/F202)</f>
        <v>1.8669976247030817E-2</v>
      </c>
      <c r="AK202" s="115"/>
      <c r="AM202" s="13">
        <v>60000</v>
      </c>
      <c r="AN202" s="12">
        <v>0</v>
      </c>
      <c r="AO202" s="12"/>
      <c r="AP202" s="12"/>
      <c r="AQ202" s="11">
        <f>AE202-(AG202-AM202-AN202-AO202-AP202)</f>
        <v>22240.119999999995</v>
      </c>
      <c r="AR202" s="8">
        <f>AQ202/AG202</f>
        <v>3.4374219474497675E-2</v>
      </c>
      <c r="AT202" s="10">
        <v>0</v>
      </c>
      <c r="AU202" s="10">
        <v>0</v>
      </c>
      <c r="AV202" s="9">
        <f>AQ202-AT202-AU202</f>
        <v>22240.119999999995</v>
      </c>
      <c r="AW202" s="8">
        <f>AV202/AG202</f>
        <v>3.4374219474497675E-2</v>
      </c>
      <c r="AY202" s="7"/>
      <c r="AZ202" s="50"/>
      <c r="BA202" s="52"/>
      <c r="BB202" s="7"/>
    </row>
    <row r="203" spans="1:54" ht="16.5" customHeight="1" x14ac:dyDescent="0.3">
      <c r="C203" s="57"/>
      <c r="D203" s="57"/>
      <c r="E203" s="5">
        <v>699000</v>
      </c>
      <c r="F203" s="4">
        <f>ROUNDDOWN(E203/(1-F201),-1)</f>
        <v>699000</v>
      </c>
      <c r="G203" s="105">
        <f>ROUNDDOWN(IF(F203*G201&gt;H201,H201,F203*G201),-1)</f>
        <v>55920</v>
      </c>
      <c r="H203" s="105"/>
      <c r="J203" s="54">
        <f>F202*4%</f>
        <v>33680</v>
      </c>
      <c r="R203" s="4">
        <v>629000</v>
      </c>
      <c r="X203" s="3">
        <f>G203*X201</f>
        <v>0</v>
      </c>
      <c r="Y203" s="3"/>
      <c r="Z203" s="3"/>
      <c r="AG203" s="4"/>
    </row>
    <row r="204" spans="1:54" ht="16.5" customHeight="1" x14ac:dyDescent="0.3">
      <c r="C204" s="57"/>
      <c r="D204" s="57"/>
      <c r="E204" s="5">
        <v>849000</v>
      </c>
      <c r="F204" s="4"/>
      <c r="G204" s="74"/>
      <c r="H204" s="74"/>
      <c r="J204" s="54"/>
      <c r="R204" s="4"/>
      <c r="X204" s="3"/>
      <c r="Y204" s="3"/>
      <c r="Z204" s="3"/>
      <c r="AG204" s="4"/>
    </row>
    <row r="205" spans="1:54" ht="16.5" customHeight="1" x14ac:dyDescent="0.3">
      <c r="C205" s="57"/>
      <c r="D205" s="57"/>
      <c r="E205" s="5"/>
      <c r="F205" s="4"/>
      <c r="G205" s="74"/>
      <c r="H205" s="74"/>
      <c r="J205" s="54"/>
      <c r="R205" s="4"/>
      <c r="X205" s="3"/>
      <c r="Y205" s="3"/>
      <c r="Z205" s="3"/>
      <c r="AG205" s="4"/>
    </row>
    <row r="206" spans="1:54" ht="16.5" customHeight="1" x14ac:dyDescent="0.3">
      <c r="C206" s="57"/>
      <c r="D206" s="57"/>
      <c r="E206" s="5"/>
      <c r="F206" s="4"/>
      <c r="G206" s="74"/>
      <c r="H206" s="74"/>
      <c r="J206" s="54"/>
      <c r="R206" s="4"/>
      <c r="X206" s="3"/>
      <c r="Y206" s="3"/>
      <c r="Z206" s="3"/>
      <c r="AG206" s="4"/>
    </row>
    <row r="207" spans="1:54" ht="27" customHeight="1" x14ac:dyDescent="0.3">
      <c r="A207" s="124" t="s">
        <v>34</v>
      </c>
      <c r="B207" s="127" t="s">
        <v>70</v>
      </c>
      <c r="C207" s="128"/>
      <c r="D207" s="128"/>
      <c r="E207" s="128"/>
      <c r="F207" s="128"/>
      <c r="G207" s="128"/>
      <c r="H207" s="128"/>
      <c r="I207" s="128"/>
      <c r="J207" s="128"/>
      <c r="K207" s="128"/>
      <c r="L207" s="128"/>
      <c r="M207" s="128"/>
      <c r="N207" s="128"/>
      <c r="O207" s="128"/>
      <c r="P207" s="128"/>
      <c r="Q207" s="128"/>
      <c r="R207" s="129"/>
      <c r="T207" s="130" t="s">
        <v>33</v>
      </c>
      <c r="U207" s="131"/>
      <c r="V207" s="131"/>
      <c r="W207" s="131"/>
      <c r="X207" s="131"/>
      <c r="Y207" s="131"/>
      <c r="Z207" s="131"/>
      <c r="AA207" s="131"/>
      <c r="AB207" s="131"/>
      <c r="AC207" s="131"/>
      <c r="AD207" s="131"/>
      <c r="AE207" s="131"/>
      <c r="AF207" s="131"/>
      <c r="AG207" s="131"/>
      <c r="AH207" s="132"/>
      <c r="AI207" s="37"/>
      <c r="AM207" s="130" t="s">
        <v>32</v>
      </c>
      <c r="AN207" s="131"/>
      <c r="AO207" s="131"/>
      <c r="AP207" s="131"/>
      <c r="AQ207" s="131"/>
      <c r="AR207" s="132"/>
      <c r="AT207" s="130" t="s">
        <v>31</v>
      </c>
      <c r="AU207" s="131"/>
      <c r="AV207" s="131"/>
      <c r="AW207" s="132"/>
      <c r="AY207" s="36" t="s">
        <v>36</v>
      </c>
      <c r="AZ207" s="48"/>
      <c r="BA207" s="52"/>
      <c r="BB207" s="36"/>
    </row>
    <row r="208" spans="1:54" ht="32.25" customHeight="1" x14ac:dyDescent="0.3">
      <c r="A208" s="125"/>
      <c r="B208" s="133" t="s">
        <v>30</v>
      </c>
      <c r="C208" s="133" t="s">
        <v>29</v>
      </c>
      <c r="D208" s="116" t="s">
        <v>28</v>
      </c>
      <c r="E208" s="116" t="s">
        <v>27</v>
      </c>
      <c r="F208" s="34" t="s">
        <v>26</v>
      </c>
      <c r="G208" s="122" t="s">
        <v>63</v>
      </c>
      <c r="H208" s="123"/>
      <c r="I208" s="122" t="s">
        <v>50</v>
      </c>
      <c r="J208" s="123"/>
      <c r="K208" s="122" t="s">
        <v>62</v>
      </c>
      <c r="L208" s="123"/>
      <c r="M208" s="122" t="s">
        <v>25</v>
      </c>
      <c r="N208" s="123"/>
      <c r="O208" s="122" t="s">
        <v>24</v>
      </c>
      <c r="P208" s="123"/>
      <c r="Q208" s="106" t="s">
        <v>23</v>
      </c>
      <c r="R208" s="106" t="s">
        <v>22</v>
      </c>
      <c r="S208" s="21"/>
      <c r="T208" s="34" t="s">
        <v>21</v>
      </c>
      <c r="U208" s="34" t="s">
        <v>20</v>
      </c>
      <c r="V208" s="34" t="s">
        <v>69</v>
      </c>
      <c r="W208" s="34" t="s">
        <v>19</v>
      </c>
      <c r="X208" s="34" t="s">
        <v>18</v>
      </c>
      <c r="Y208" s="34" t="s">
        <v>48</v>
      </c>
      <c r="Z208" s="34" t="s">
        <v>49</v>
      </c>
      <c r="AA208" s="34" t="s">
        <v>17</v>
      </c>
      <c r="AB208" s="106" t="s">
        <v>16</v>
      </c>
      <c r="AC208" s="106" t="s">
        <v>15</v>
      </c>
      <c r="AD208" s="106" t="s">
        <v>14</v>
      </c>
      <c r="AE208" s="106" t="s">
        <v>13</v>
      </c>
      <c r="AF208" s="106" t="s">
        <v>12</v>
      </c>
      <c r="AG208" s="116" t="s">
        <v>11</v>
      </c>
      <c r="AH208" s="118" t="s">
        <v>10</v>
      </c>
      <c r="AI208" s="120" t="s">
        <v>9</v>
      </c>
      <c r="AJ208" s="35">
        <f>(1-R210/F210)</f>
        <v>0.35221229050279335</v>
      </c>
      <c r="AK208" s="35">
        <f>1-(AD210+AM210)/F210</f>
        <v>0.24845251396648049</v>
      </c>
      <c r="AM208" s="106" t="s">
        <v>8</v>
      </c>
      <c r="AN208" s="106" t="s">
        <v>7</v>
      </c>
      <c r="AO208" s="106" t="s">
        <v>37</v>
      </c>
      <c r="AP208" s="106" t="s">
        <v>38</v>
      </c>
      <c r="AQ208" s="106" t="s">
        <v>6</v>
      </c>
      <c r="AR208" s="106" t="s">
        <v>5</v>
      </c>
      <c r="AT208" s="106" t="s">
        <v>4</v>
      </c>
      <c r="AU208" s="106" t="s">
        <v>3</v>
      </c>
      <c r="AV208" s="106" t="s">
        <v>2</v>
      </c>
      <c r="AW208" s="106" t="s">
        <v>1</v>
      </c>
      <c r="AY208" s="106"/>
      <c r="AZ208" s="108"/>
      <c r="BA208" s="52"/>
      <c r="BB208" s="106"/>
    </row>
    <row r="209" spans="1:54" ht="27" customHeight="1" x14ac:dyDescent="0.3">
      <c r="A209" s="126"/>
      <c r="B209" s="134"/>
      <c r="C209" s="134"/>
      <c r="D209" s="117"/>
      <c r="E209" s="117"/>
      <c r="F209" s="31">
        <v>0</v>
      </c>
      <c r="G209" s="33">
        <v>0.08</v>
      </c>
      <c r="H209" s="32">
        <v>1000000</v>
      </c>
      <c r="I209" s="31">
        <v>1</v>
      </c>
      <c r="J209" s="32">
        <v>0</v>
      </c>
      <c r="K209" s="31">
        <v>1</v>
      </c>
      <c r="L209" s="32">
        <v>200000</v>
      </c>
      <c r="M209" s="31">
        <v>7.0000000000000007E-2</v>
      </c>
      <c r="N209" s="32">
        <v>70000</v>
      </c>
      <c r="O209" s="31">
        <v>0</v>
      </c>
      <c r="P209" s="32">
        <v>0</v>
      </c>
      <c r="Q209" s="107"/>
      <c r="R209" s="107"/>
      <c r="S209" s="21"/>
      <c r="T209" s="31">
        <f>IF(C210="노트북",7%,IF(C210="저장&amp;주변기기",9%,IF(C210="모니터",7%)))</f>
        <v>7.0000000000000007E-2</v>
      </c>
      <c r="U209" s="31">
        <v>0</v>
      </c>
      <c r="V209" s="31">
        <v>0.02</v>
      </c>
      <c r="W209" s="31">
        <f>IF(G209=0%,20%,0%)</f>
        <v>0</v>
      </c>
      <c r="X209" s="30">
        <v>0</v>
      </c>
      <c r="Y209" s="30">
        <v>1</v>
      </c>
      <c r="Z209" s="53">
        <v>1</v>
      </c>
      <c r="AA209" s="29">
        <v>0.5</v>
      </c>
      <c r="AB209" s="107"/>
      <c r="AC209" s="107"/>
      <c r="AD209" s="107"/>
      <c r="AE209" s="107"/>
      <c r="AF209" s="107"/>
      <c r="AG209" s="117"/>
      <c r="AH209" s="119"/>
      <c r="AI209" s="121"/>
      <c r="AJ209" s="55" t="s">
        <v>52</v>
      </c>
      <c r="AK209" s="56">
        <f>AJ208-AK208</f>
        <v>0.10375977653631285</v>
      </c>
      <c r="AM209" s="107"/>
      <c r="AN209" s="107"/>
      <c r="AO209" s="107"/>
      <c r="AP209" s="107"/>
      <c r="AQ209" s="107"/>
      <c r="AR209" s="107"/>
      <c r="AS209" s="39"/>
      <c r="AT209" s="107"/>
      <c r="AU209" s="107"/>
      <c r="AV209" s="107"/>
      <c r="AW209" s="107"/>
      <c r="AY209" s="107"/>
      <c r="AZ209" s="109"/>
      <c r="BA209" s="52"/>
      <c r="BB209" s="107"/>
    </row>
    <row r="210" spans="1:54" ht="27" customHeight="1" x14ac:dyDescent="0.3">
      <c r="A210" s="51" t="s">
        <v>47</v>
      </c>
      <c r="B210" s="38" t="s">
        <v>35</v>
      </c>
      <c r="C210" s="27" t="s">
        <v>0</v>
      </c>
      <c r="D210" s="26">
        <v>4363376144</v>
      </c>
      <c r="E210" s="25">
        <v>895000</v>
      </c>
      <c r="F210" s="24">
        <f>ROUNDDOWN(E210/(1-F209),-1)</f>
        <v>895000</v>
      </c>
      <c r="G210" s="110">
        <f>ROUNDDOWN(IF(F210*G209&gt;H209,H209,F210*G209),-1)</f>
        <v>71600</v>
      </c>
      <c r="H210" s="111"/>
      <c r="I210" s="112">
        <f>ROUNDDOWN(IF(F210*I209&gt;J209,J209,F210*I209),-1)</f>
        <v>0</v>
      </c>
      <c r="J210" s="113"/>
      <c r="K210" s="112">
        <f>ROUNDDOWN(IF(F210*K209&gt;L209,L209,F210*K209),-1)</f>
        <v>200000</v>
      </c>
      <c r="L210" s="113"/>
      <c r="M210" s="110">
        <f>ROUNDDOWN(IF(Q210*M209&gt;N209,N209,Q210*M209),-1)</f>
        <v>43630</v>
      </c>
      <c r="N210" s="111"/>
      <c r="O210" s="110">
        <f>ROUNDDOWN(IF(F210*O209&gt;P209,P209,F210*O209),-1)</f>
        <v>0</v>
      </c>
      <c r="P210" s="111"/>
      <c r="Q210" s="23">
        <f>F210-G210-I210-K210</f>
        <v>623400</v>
      </c>
      <c r="R210" s="22">
        <f>F210-G210-I210-K210-M210-O210</f>
        <v>579770</v>
      </c>
      <c r="S210" s="21"/>
      <c r="T210" s="20">
        <f>F210*T209</f>
        <v>62650.000000000007</v>
      </c>
      <c r="U210" s="20">
        <f>F210*U209</f>
        <v>0</v>
      </c>
      <c r="V210" s="20">
        <f>(F210-I210)*V209</f>
        <v>17900</v>
      </c>
      <c r="W210" s="19">
        <f>(F210*F209)*W209</f>
        <v>0</v>
      </c>
      <c r="X210" s="19">
        <f>G210*X209</f>
        <v>0</v>
      </c>
      <c r="Y210" s="19">
        <f>I210*Y209</f>
        <v>0</v>
      </c>
      <c r="Z210" s="19">
        <f>K210*Z209</f>
        <v>200000</v>
      </c>
      <c r="AA210" s="19">
        <f>M210*AA209</f>
        <v>21815</v>
      </c>
      <c r="AB210" s="19">
        <v>0</v>
      </c>
      <c r="AC210" s="16">
        <v>6000</v>
      </c>
      <c r="AD210" s="18">
        <f>F210-T210-U210-V210-W210-AA210-X210-Y210-Z210-AB210</f>
        <v>592635</v>
      </c>
      <c r="AE210" s="18">
        <f>F210-T210-U210-V210-W210-X210-Y210-Z210-AA210-AB210-AC210</f>
        <v>586635</v>
      </c>
      <c r="AF210" s="17">
        <f>AE210-AG210</f>
        <v>-68365</v>
      </c>
      <c r="AG210" s="16">
        <v>655000</v>
      </c>
      <c r="AH210" s="15">
        <f>AF210/AG210</f>
        <v>-0.10437404580152672</v>
      </c>
      <c r="AI210" s="14">
        <f>1-R210/(AG210-AM210-AN210-AO210)</f>
        <v>-8.2956521739130373E-3</v>
      </c>
      <c r="AJ210" s="114">
        <f>(1-R210/F210)-(1-(AD210)/F210)</f>
        <v>1.4374301675977752E-2</v>
      </c>
      <c r="AK210" s="115"/>
      <c r="AM210" s="13">
        <v>80000</v>
      </c>
      <c r="AN210" s="12"/>
      <c r="AO210" s="12"/>
      <c r="AP210" s="12"/>
      <c r="AQ210" s="11">
        <f>AE210-(AG210-AM210-AN210-AO210-AP210)</f>
        <v>11635</v>
      </c>
      <c r="AR210" s="8">
        <f>AQ210/AG210</f>
        <v>1.7763358778625955E-2</v>
      </c>
      <c r="AT210" s="10">
        <v>0</v>
      </c>
      <c r="AU210" s="10">
        <v>0</v>
      </c>
      <c r="AV210" s="9">
        <f>AQ210-AT210-AU210</f>
        <v>11635</v>
      </c>
      <c r="AW210" s="8">
        <f>AV210/AG210</f>
        <v>1.7763358778625955E-2</v>
      </c>
      <c r="AY210" s="7"/>
      <c r="AZ210" s="50"/>
      <c r="BA210" s="52"/>
      <c r="BB210" s="7"/>
    </row>
    <row r="211" spans="1:54" ht="16.5" customHeight="1" x14ac:dyDescent="0.3">
      <c r="C211" s="57" t="s">
        <v>68</v>
      </c>
      <c r="D211" s="57">
        <v>4583391989</v>
      </c>
      <c r="E211" s="5">
        <v>679000</v>
      </c>
      <c r="F211" s="4">
        <f>ROUNDDOWN(E211/(1-F209),-1)</f>
        <v>679000</v>
      </c>
      <c r="G211" s="105">
        <f>ROUNDDOWN(IF(F211*G209&gt;H209,H209,F211*G209),-1)</f>
        <v>54320</v>
      </c>
      <c r="H211" s="105"/>
      <c r="J211" s="54">
        <f>F210*4%</f>
        <v>35800</v>
      </c>
      <c r="X211" s="3">
        <f>G211*X209</f>
        <v>0</v>
      </c>
      <c r="Y211" s="3"/>
      <c r="Z211" s="3"/>
      <c r="AG211" s="4">
        <v>625000</v>
      </c>
    </row>
    <row r="212" spans="1:54" ht="27" customHeight="1" x14ac:dyDescent="0.3">
      <c r="A212" s="124" t="s">
        <v>34</v>
      </c>
      <c r="B212" s="127" t="s">
        <v>74</v>
      </c>
      <c r="C212" s="128"/>
      <c r="D212" s="128"/>
      <c r="E212" s="128"/>
      <c r="F212" s="128"/>
      <c r="G212" s="128"/>
      <c r="H212" s="128"/>
      <c r="I212" s="128"/>
      <c r="J212" s="128"/>
      <c r="K212" s="128"/>
      <c r="L212" s="128"/>
      <c r="M212" s="128"/>
      <c r="N212" s="128"/>
      <c r="O212" s="128"/>
      <c r="P212" s="128"/>
      <c r="Q212" s="128"/>
      <c r="R212" s="129"/>
      <c r="T212" s="130" t="s">
        <v>33</v>
      </c>
      <c r="U212" s="131"/>
      <c r="V212" s="131"/>
      <c r="W212" s="131"/>
      <c r="X212" s="131"/>
      <c r="Y212" s="131"/>
      <c r="Z212" s="131"/>
      <c r="AA212" s="131"/>
      <c r="AB212" s="131"/>
      <c r="AC212" s="131"/>
      <c r="AD212" s="131"/>
      <c r="AE212" s="131"/>
      <c r="AF212" s="131"/>
      <c r="AG212" s="131"/>
      <c r="AH212" s="132"/>
      <c r="AI212" s="37"/>
      <c r="AM212" s="130" t="s">
        <v>32</v>
      </c>
      <c r="AN212" s="131"/>
      <c r="AO212" s="131"/>
      <c r="AP212" s="131"/>
      <c r="AQ212" s="131"/>
      <c r="AR212" s="132"/>
      <c r="AT212" s="130" t="s">
        <v>31</v>
      </c>
      <c r="AU212" s="131"/>
      <c r="AV212" s="131"/>
      <c r="AW212" s="132"/>
      <c r="AY212" s="36" t="s">
        <v>36</v>
      </c>
      <c r="AZ212" s="48"/>
      <c r="BA212" s="52"/>
      <c r="BB212" s="36"/>
    </row>
    <row r="213" spans="1:54" ht="32.25" customHeight="1" x14ac:dyDescent="0.3">
      <c r="A213" s="125"/>
      <c r="B213" s="133" t="s">
        <v>30</v>
      </c>
      <c r="C213" s="133" t="s">
        <v>29</v>
      </c>
      <c r="D213" s="116" t="s">
        <v>28</v>
      </c>
      <c r="E213" s="116" t="s">
        <v>27</v>
      </c>
      <c r="F213" s="34" t="s">
        <v>26</v>
      </c>
      <c r="G213" s="122" t="s">
        <v>63</v>
      </c>
      <c r="H213" s="123"/>
      <c r="I213" s="122" t="s">
        <v>50</v>
      </c>
      <c r="J213" s="123"/>
      <c r="K213" s="122" t="s">
        <v>62</v>
      </c>
      <c r="L213" s="123"/>
      <c r="M213" s="122" t="s">
        <v>25</v>
      </c>
      <c r="N213" s="123"/>
      <c r="O213" s="122" t="s">
        <v>24</v>
      </c>
      <c r="P213" s="123"/>
      <c r="Q213" s="106" t="s">
        <v>23</v>
      </c>
      <c r="R213" s="106" t="s">
        <v>22</v>
      </c>
      <c r="S213" s="21"/>
      <c r="T213" s="34" t="s">
        <v>21</v>
      </c>
      <c r="U213" s="34" t="s">
        <v>20</v>
      </c>
      <c r="V213" s="34" t="s">
        <v>69</v>
      </c>
      <c r="W213" s="34" t="s">
        <v>19</v>
      </c>
      <c r="X213" s="34" t="s">
        <v>18</v>
      </c>
      <c r="Y213" s="34" t="s">
        <v>48</v>
      </c>
      <c r="Z213" s="34" t="s">
        <v>49</v>
      </c>
      <c r="AA213" s="34" t="s">
        <v>17</v>
      </c>
      <c r="AB213" s="106" t="s">
        <v>16</v>
      </c>
      <c r="AC213" s="106" t="s">
        <v>15</v>
      </c>
      <c r="AD213" s="106" t="s">
        <v>14</v>
      </c>
      <c r="AE213" s="106" t="s">
        <v>13</v>
      </c>
      <c r="AF213" s="106" t="s">
        <v>12</v>
      </c>
      <c r="AG213" s="116" t="s">
        <v>11</v>
      </c>
      <c r="AH213" s="118" t="s">
        <v>10</v>
      </c>
      <c r="AI213" s="120" t="s">
        <v>9</v>
      </c>
      <c r="AJ213" s="35">
        <f>(1-R215/F215)</f>
        <v>0.39482301755360383</v>
      </c>
      <c r="AK213" s="35">
        <f>1-(AD215+AM215)/F215</f>
        <v>0.23162738223348489</v>
      </c>
      <c r="AM213" s="106" t="s">
        <v>8</v>
      </c>
      <c r="AN213" s="106" t="s">
        <v>7</v>
      </c>
      <c r="AO213" s="106" t="s">
        <v>37</v>
      </c>
      <c r="AP213" s="106" t="s">
        <v>38</v>
      </c>
      <c r="AQ213" s="106" t="s">
        <v>6</v>
      </c>
      <c r="AR213" s="106" t="s">
        <v>5</v>
      </c>
      <c r="AT213" s="106" t="s">
        <v>4</v>
      </c>
      <c r="AU213" s="106" t="s">
        <v>3</v>
      </c>
      <c r="AV213" s="106" t="s">
        <v>2</v>
      </c>
      <c r="AW213" s="106" t="s">
        <v>1</v>
      </c>
      <c r="AY213" s="106"/>
      <c r="AZ213" s="108"/>
      <c r="BA213" s="52"/>
      <c r="BB213" s="106"/>
    </row>
    <row r="214" spans="1:54" ht="27" customHeight="1" x14ac:dyDescent="0.3">
      <c r="A214" s="126"/>
      <c r="B214" s="134"/>
      <c r="C214" s="134"/>
      <c r="D214" s="117"/>
      <c r="E214" s="117"/>
      <c r="F214" s="31">
        <v>0</v>
      </c>
      <c r="G214" s="33">
        <v>0.06</v>
      </c>
      <c r="H214" s="32">
        <v>1000000</v>
      </c>
      <c r="I214" s="31">
        <v>1</v>
      </c>
      <c r="J214" s="32">
        <v>0</v>
      </c>
      <c r="K214" s="31">
        <v>1</v>
      </c>
      <c r="L214" s="32">
        <v>250000</v>
      </c>
      <c r="M214" s="31">
        <v>7.0000000000000007E-2</v>
      </c>
      <c r="N214" s="32">
        <v>70000</v>
      </c>
      <c r="O214" s="31">
        <v>0</v>
      </c>
      <c r="P214" s="32">
        <v>0</v>
      </c>
      <c r="Q214" s="107"/>
      <c r="R214" s="107"/>
      <c r="S214" s="21"/>
      <c r="T214" s="31">
        <f>IF(C215="노트북",7%,IF(C215="저장&amp;주변기기",9%,IF(C215="모니터",7%)))</f>
        <v>7.0000000000000007E-2</v>
      </c>
      <c r="U214" s="31">
        <v>0</v>
      </c>
      <c r="V214" s="31">
        <v>0</v>
      </c>
      <c r="W214" s="31">
        <f>IF(G214=0%,20%,0%)</f>
        <v>0</v>
      </c>
      <c r="X214" s="30">
        <v>0</v>
      </c>
      <c r="Y214" s="30">
        <v>1</v>
      </c>
      <c r="Z214" s="53">
        <v>0.8</v>
      </c>
      <c r="AA214" s="29">
        <v>0.5</v>
      </c>
      <c r="AB214" s="107"/>
      <c r="AC214" s="107"/>
      <c r="AD214" s="107"/>
      <c r="AE214" s="107"/>
      <c r="AF214" s="107"/>
      <c r="AG214" s="117"/>
      <c r="AH214" s="119"/>
      <c r="AI214" s="121"/>
      <c r="AJ214" s="55" t="s">
        <v>52</v>
      </c>
      <c r="AK214" s="56">
        <f>AJ213-AK213</f>
        <v>0.16319563532011894</v>
      </c>
      <c r="AM214" s="107"/>
      <c r="AN214" s="107"/>
      <c r="AO214" s="107"/>
      <c r="AP214" s="107"/>
      <c r="AQ214" s="107"/>
      <c r="AR214" s="107"/>
      <c r="AS214" s="39"/>
      <c r="AT214" s="107"/>
      <c r="AU214" s="107"/>
      <c r="AV214" s="107"/>
      <c r="AW214" s="107"/>
      <c r="AY214" s="107"/>
      <c r="AZ214" s="109"/>
      <c r="BA214" s="52"/>
      <c r="BB214" s="107"/>
    </row>
    <row r="215" spans="1:54" ht="27" customHeight="1" x14ac:dyDescent="0.3">
      <c r="A215" s="51" t="s">
        <v>47</v>
      </c>
      <c r="B215" s="38" t="s">
        <v>35</v>
      </c>
      <c r="C215" s="27" t="s">
        <v>0</v>
      </c>
      <c r="D215" s="26">
        <v>4363376144</v>
      </c>
      <c r="E215" s="25">
        <v>864210</v>
      </c>
      <c r="F215" s="24">
        <f>ROUNDDOWN(E215/(1-F214),-1)</f>
        <v>864210</v>
      </c>
      <c r="G215" s="110">
        <f>ROUNDDOWN(IF(F215*G214&gt;H214,H214,F215*G214),-1)</f>
        <v>51850</v>
      </c>
      <c r="H215" s="111"/>
      <c r="I215" s="112">
        <f>ROUNDDOWN(IF(F215*I214&gt;J214,J214,F215*I214),-1)</f>
        <v>0</v>
      </c>
      <c r="J215" s="113"/>
      <c r="K215" s="112">
        <f>ROUNDDOWN(IF(F215*K214&gt;L214,L214,F215*K214),-1)</f>
        <v>250000</v>
      </c>
      <c r="L215" s="113"/>
      <c r="M215" s="110">
        <f>ROUNDDOWN(IF(Q215*M214&gt;N214,N214,Q215*M214),-1)</f>
        <v>39360</v>
      </c>
      <c r="N215" s="111"/>
      <c r="O215" s="110">
        <f>ROUNDDOWN(IF(F215*O214&gt;P214,P214,F215*O214),-1)</f>
        <v>0</v>
      </c>
      <c r="P215" s="111"/>
      <c r="Q215" s="23">
        <f>F215-G215-I215-K215</f>
        <v>562360</v>
      </c>
      <c r="R215" s="22">
        <f>F215-G215-I215-K215-M215-O215</f>
        <v>523000</v>
      </c>
      <c r="S215" s="21"/>
      <c r="T215" s="20">
        <f>F215*T214</f>
        <v>60494.700000000004</v>
      </c>
      <c r="U215" s="20">
        <f>F215*U214</f>
        <v>0</v>
      </c>
      <c r="V215" s="20">
        <f>(F215-I215)*V214</f>
        <v>0</v>
      </c>
      <c r="W215" s="19">
        <f>(F215*F214)*W214</f>
        <v>0</v>
      </c>
      <c r="X215" s="19">
        <f>G215*X214</f>
        <v>0</v>
      </c>
      <c r="Y215" s="19">
        <f>I215*Y214</f>
        <v>0</v>
      </c>
      <c r="Z215" s="19">
        <f>K215*Z214</f>
        <v>200000</v>
      </c>
      <c r="AA215" s="19">
        <f>M215*AA214</f>
        <v>19680</v>
      </c>
      <c r="AB215" s="19">
        <v>0</v>
      </c>
      <c r="AC215" s="16">
        <v>6000</v>
      </c>
      <c r="AD215" s="18">
        <f>F215-T215-U215-V215-W215-AA215-X215-Y215-Z215-AB215</f>
        <v>584035.30000000005</v>
      </c>
      <c r="AE215" s="18">
        <f>F215-T215-U215-V215-W215-X215-Y215-Z215-AA215-AB215-AC215</f>
        <v>578035.30000000005</v>
      </c>
      <c r="AF215" s="17">
        <f>AE215-AG215</f>
        <v>-56964.699999999953</v>
      </c>
      <c r="AG215" s="16">
        <v>635000</v>
      </c>
      <c r="AH215" s="15">
        <f>AF215/AG215</f>
        <v>-8.9708188976377876E-2</v>
      </c>
      <c r="AI215" s="14">
        <f>1-R215/(AG215-AM215-AN215-AO215)</f>
        <v>5.7657657657657624E-2</v>
      </c>
      <c r="AJ215" s="114">
        <f>(1-R215/F215)-(1-(AD215)/F215)</f>
        <v>7.0625542402888208E-2</v>
      </c>
      <c r="AK215" s="115"/>
      <c r="AM215" s="13">
        <v>80000</v>
      </c>
      <c r="AN215" s="12">
        <v>0</v>
      </c>
      <c r="AO215" s="12"/>
      <c r="AP215" s="12"/>
      <c r="AQ215" s="11">
        <f>AE215-(AG215-AM215-AN215-AO215-AP215)</f>
        <v>23035.300000000047</v>
      </c>
      <c r="AR215" s="8">
        <f>AQ215/AG215</f>
        <v>3.627606299212606E-2</v>
      </c>
      <c r="AT215" s="10">
        <v>0</v>
      </c>
      <c r="AU215" s="10">
        <v>0</v>
      </c>
      <c r="AV215" s="9">
        <f>AQ215-AT215-AU215</f>
        <v>23035.300000000047</v>
      </c>
      <c r="AW215" s="8">
        <f>AV215/AG215</f>
        <v>3.627606299212606E-2</v>
      </c>
      <c r="AY215" s="7"/>
      <c r="AZ215" s="50"/>
      <c r="BA215" s="52"/>
      <c r="BB215" s="7"/>
    </row>
    <row r="216" spans="1:54" ht="16.5" customHeight="1" x14ac:dyDescent="0.3">
      <c r="C216" s="57" t="s">
        <v>68</v>
      </c>
      <c r="D216" s="57">
        <v>4583391989</v>
      </c>
      <c r="E216" s="5">
        <v>679000</v>
      </c>
      <c r="F216" s="4">
        <f>ROUNDDOWN(E216/(1-F214),-1)</f>
        <v>679000</v>
      </c>
      <c r="G216" s="105">
        <f>ROUNDDOWN(IF(F216*G214&gt;H214,H214,F216*G214),-1)</f>
        <v>40740</v>
      </c>
      <c r="H216" s="105"/>
      <c r="J216" s="54">
        <f>F215*4%</f>
        <v>34568.400000000001</v>
      </c>
      <c r="R216" s="4">
        <v>523000</v>
      </c>
      <c r="X216" s="3">
        <f>G216*X214</f>
        <v>0</v>
      </c>
      <c r="Y216" s="3"/>
      <c r="Z216" s="3"/>
      <c r="AG216" s="4">
        <v>625000</v>
      </c>
    </row>
    <row r="217" spans="1:54" ht="27" customHeight="1" x14ac:dyDescent="0.3">
      <c r="A217" s="124" t="s">
        <v>34</v>
      </c>
      <c r="B217" s="127" t="s">
        <v>70</v>
      </c>
      <c r="C217" s="128"/>
      <c r="D217" s="128"/>
      <c r="E217" s="128"/>
      <c r="F217" s="128"/>
      <c r="G217" s="128"/>
      <c r="H217" s="128"/>
      <c r="I217" s="128"/>
      <c r="J217" s="128"/>
      <c r="K217" s="128"/>
      <c r="L217" s="128"/>
      <c r="M217" s="128"/>
      <c r="N217" s="128"/>
      <c r="O217" s="128"/>
      <c r="P217" s="128"/>
      <c r="Q217" s="128"/>
      <c r="R217" s="129"/>
      <c r="T217" s="130" t="s">
        <v>33</v>
      </c>
      <c r="U217" s="131"/>
      <c r="V217" s="131"/>
      <c r="W217" s="131"/>
      <c r="X217" s="131"/>
      <c r="Y217" s="131"/>
      <c r="Z217" s="131"/>
      <c r="AA217" s="131"/>
      <c r="AB217" s="131"/>
      <c r="AC217" s="131"/>
      <c r="AD217" s="131"/>
      <c r="AE217" s="131"/>
      <c r="AF217" s="131"/>
      <c r="AG217" s="131"/>
      <c r="AH217" s="132"/>
      <c r="AI217" s="37"/>
      <c r="AM217" s="130" t="s">
        <v>32</v>
      </c>
      <c r="AN217" s="131"/>
      <c r="AO217" s="131"/>
      <c r="AP217" s="131"/>
      <c r="AQ217" s="131"/>
      <c r="AR217" s="132"/>
      <c r="AT217" s="130" t="s">
        <v>31</v>
      </c>
      <c r="AU217" s="131"/>
      <c r="AV217" s="131"/>
      <c r="AW217" s="132"/>
      <c r="AY217" s="36" t="s">
        <v>36</v>
      </c>
      <c r="AZ217" s="48"/>
      <c r="BA217" s="52"/>
      <c r="BB217" s="36"/>
    </row>
    <row r="218" spans="1:54" ht="32.25" customHeight="1" x14ac:dyDescent="0.3">
      <c r="A218" s="125"/>
      <c r="B218" s="133" t="s">
        <v>30</v>
      </c>
      <c r="C218" s="133" t="s">
        <v>29</v>
      </c>
      <c r="D218" s="116" t="s">
        <v>28</v>
      </c>
      <c r="E218" s="116" t="s">
        <v>27</v>
      </c>
      <c r="F218" s="34" t="s">
        <v>26</v>
      </c>
      <c r="G218" s="122" t="s">
        <v>63</v>
      </c>
      <c r="H218" s="123"/>
      <c r="I218" s="122" t="s">
        <v>50</v>
      </c>
      <c r="J218" s="123"/>
      <c r="K218" s="122" t="s">
        <v>62</v>
      </c>
      <c r="L218" s="123"/>
      <c r="M218" s="122" t="s">
        <v>25</v>
      </c>
      <c r="N218" s="123"/>
      <c r="O218" s="122" t="s">
        <v>24</v>
      </c>
      <c r="P218" s="123"/>
      <c r="Q218" s="106" t="s">
        <v>23</v>
      </c>
      <c r="R218" s="106" t="s">
        <v>22</v>
      </c>
      <c r="S218" s="21"/>
      <c r="T218" s="34" t="s">
        <v>21</v>
      </c>
      <c r="U218" s="34" t="s">
        <v>20</v>
      </c>
      <c r="V218" s="34" t="s">
        <v>69</v>
      </c>
      <c r="W218" s="34" t="s">
        <v>19</v>
      </c>
      <c r="X218" s="34" t="s">
        <v>18</v>
      </c>
      <c r="Y218" s="34" t="s">
        <v>48</v>
      </c>
      <c r="Z218" s="34" t="s">
        <v>49</v>
      </c>
      <c r="AA218" s="34" t="s">
        <v>17</v>
      </c>
      <c r="AB218" s="106" t="s">
        <v>16</v>
      </c>
      <c r="AC218" s="106" t="s">
        <v>15</v>
      </c>
      <c r="AD218" s="106" t="s">
        <v>14</v>
      </c>
      <c r="AE218" s="106" t="s">
        <v>13</v>
      </c>
      <c r="AF218" s="106" t="s">
        <v>12</v>
      </c>
      <c r="AG218" s="116" t="s">
        <v>11</v>
      </c>
      <c r="AH218" s="118" t="s">
        <v>10</v>
      </c>
      <c r="AI218" s="120" t="s">
        <v>9</v>
      </c>
      <c r="AJ218" s="35">
        <f>(1-R220/F220)</f>
        <v>0.36050774723227275</v>
      </c>
      <c r="AK218" s="35">
        <f>1-(AD220+AM220)/F220</f>
        <v>0.21424637280475045</v>
      </c>
      <c r="AM218" s="106" t="s">
        <v>8</v>
      </c>
      <c r="AN218" s="106" t="s">
        <v>7</v>
      </c>
      <c r="AO218" s="106" t="s">
        <v>37</v>
      </c>
      <c r="AP218" s="106" t="s">
        <v>38</v>
      </c>
      <c r="AQ218" s="106" t="s">
        <v>6</v>
      </c>
      <c r="AR218" s="106" t="s">
        <v>5</v>
      </c>
      <c r="AT218" s="106" t="s">
        <v>4</v>
      </c>
      <c r="AU218" s="106" t="s">
        <v>3</v>
      </c>
      <c r="AV218" s="106" t="s">
        <v>2</v>
      </c>
      <c r="AW218" s="106" t="s">
        <v>1</v>
      </c>
      <c r="AY218" s="106"/>
      <c r="AZ218" s="108"/>
      <c r="BA218" s="52"/>
      <c r="BB218" s="106"/>
    </row>
    <row r="219" spans="1:54" ht="27" customHeight="1" x14ac:dyDescent="0.3">
      <c r="A219" s="126"/>
      <c r="B219" s="134"/>
      <c r="C219" s="134"/>
      <c r="D219" s="117"/>
      <c r="E219" s="117"/>
      <c r="F219" s="31">
        <v>0</v>
      </c>
      <c r="G219" s="33">
        <v>0.06</v>
      </c>
      <c r="H219" s="32">
        <v>1000000</v>
      </c>
      <c r="I219" s="31">
        <v>1</v>
      </c>
      <c r="J219" s="32">
        <v>0</v>
      </c>
      <c r="K219" s="31">
        <v>1</v>
      </c>
      <c r="L219" s="32">
        <v>250000</v>
      </c>
      <c r="M219" s="31">
        <v>0</v>
      </c>
      <c r="N219" s="32">
        <v>0</v>
      </c>
      <c r="O219" s="31">
        <v>0</v>
      </c>
      <c r="P219" s="32">
        <v>0</v>
      </c>
      <c r="Q219" s="107"/>
      <c r="R219" s="107"/>
      <c r="S219" s="21"/>
      <c r="T219" s="31">
        <f>IF(C220="노트북",7%,IF(C220="저장&amp;주변기기",9%,IF(C220="모니터",7%)))</f>
        <v>7.0000000000000007E-2</v>
      </c>
      <c r="U219" s="31">
        <v>0</v>
      </c>
      <c r="V219" s="31">
        <v>0</v>
      </c>
      <c r="W219" s="31">
        <f>IF(G219=0%,20%,0%)</f>
        <v>0</v>
      </c>
      <c r="X219" s="30">
        <v>0</v>
      </c>
      <c r="Y219" s="30">
        <v>1</v>
      </c>
      <c r="Z219" s="53">
        <v>0.8</v>
      </c>
      <c r="AA219" s="29">
        <v>0.5</v>
      </c>
      <c r="AB219" s="107"/>
      <c r="AC219" s="107"/>
      <c r="AD219" s="107"/>
      <c r="AE219" s="107"/>
      <c r="AF219" s="107"/>
      <c r="AG219" s="117"/>
      <c r="AH219" s="119"/>
      <c r="AI219" s="121"/>
      <c r="AJ219" s="55" t="s">
        <v>52</v>
      </c>
      <c r="AK219" s="56">
        <f>AJ218-AK218</f>
        <v>0.14626137442752229</v>
      </c>
      <c r="AM219" s="107"/>
      <c r="AN219" s="107"/>
      <c r="AO219" s="107"/>
      <c r="AP219" s="107"/>
      <c r="AQ219" s="107"/>
      <c r="AR219" s="107"/>
      <c r="AS219" s="39"/>
      <c r="AT219" s="107"/>
      <c r="AU219" s="107"/>
      <c r="AV219" s="107"/>
      <c r="AW219" s="107"/>
      <c r="AY219" s="107"/>
      <c r="AZ219" s="109"/>
      <c r="BA219" s="52"/>
      <c r="BB219" s="107"/>
    </row>
    <row r="220" spans="1:54" ht="27" customHeight="1" x14ac:dyDescent="0.3">
      <c r="A220" s="51" t="s">
        <v>47</v>
      </c>
      <c r="B220" s="38" t="s">
        <v>35</v>
      </c>
      <c r="C220" s="27" t="s">
        <v>0</v>
      </c>
      <c r="D220" s="26">
        <v>4363376144</v>
      </c>
      <c r="E220" s="25">
        <v>831910</v>
      </c>
      <c r="F220" s="24">
        <f>ROUNDDOWN(E220/(1-F219),-1)</f>
        <v>831910</v>
      </c>
      <c r="G220" s="110">
        <f>ROUNDDOWN(IF(F220*G219&gt;H219,H219,F220*G219),-1)</f>
        <v>49910</v>
      </c>
      <c r="H220" s="111"/>
      <c r="I220" s="112">
        <f>ROUNDDOWN(IF(F220*I219&gt;J219,J219,F220*I219),-1)</f>
        <v>0</v>
      </c>
      <c r="J220" s="113"/>
      <c r="K220" s="112">
        <f>ROUNDDOWN(IF(F220*K219&gt;L219,L219,F220*K219),-1)</f>
        <v>250000</v>
      </c>
      <c r="L220" s="113"/>
      <c r="M220" s="110">
        <f>ROUNDDOWN(IF(Q220*M219&gt;N219,N219,Q220*M219),-1)</f>
        <v>0</v>
      </c>
      <c r="N220" s="111"/>
      <c r="O220" s="110">
        <f>ROUNDDOWN(IF(F220*O219&gt;P219,P219,F220*O219),-1)</f>
        <v>0</v>
      </c>
      <c r="P220" s="111"/>
      <c r="Q220" s="23">
        <f>F220-G220-I220-K220</f>
        <v>532000</v>
      </c>
      <c r="R220" s="22">
        <f>F220-G220-I220-K220-M220-O220</f>
        <v>532000</v>
      </c>
      <c r="S220" s="21"/>
      <c r="T220" s="20">
        <f>F220*T219</f>
        <v>58233.700000000004</v>
      </c>
      <c r="U220" s="20">
        <f>F220*U219</f>
        <v>0</v>
      </c>
      <c r="V220" s="20">
        <f>(F220-I220)*V219</f>
        <v>0</v>
      </c>
      <c r="W220" s="19">
        <f>(F220*F219)*W219</f>
        <v>0</v>
      </c>
      <c r="X220" s="19">
        <f>G220*X219</f>
        <v>0</v>
      </c>
      <c r="Y220" s="19">
        <f>I220*Y219</f>
        <v>0</v>
      </c>
      <c r="Z220" s="19">
        <f>K220*Z219</f>
        <v>200000</v>
      </c>
      <c r="AA220" s="19">
        <f>M220*AA219</f>
        <v>0</v>
      </c>
      <c r="AB220" s="19">
        <v>0</v>
      </c>
      <c r="AC220" s="16">
        <v>6000</v>
      </c>
      <c r="AD220" s="18">
        <f>F220-T220-U220-V220-W220-AA220-X220-Y220-Z220-AB220</f>
        <v>573676.30000000005</v>
      </c>
      <c r="AE220" s="18">
        <f>F220-T220-U220-V220-W220-X220-Y220-Z220-AA220-AB220-AC220</f>
        <v>567676.30000000005</v>
      </c>
      <c r="AF220" s="17">
        <f>AE220-AG220</f>
        <v>-67323.699999999953</v>
      </c>
      <c r="AG220" s="16">
        <v>635000</v>
      </c>
      <c r="AH220" s="15">
        <f>AF220/AG220</f>
        <v>-0.10602157480314953</v>
      </c>
      <c r="AI220" s="14">
        <f>1-R220/(AG220-AM220-AN220-AO220)</f>
        <v>4.1441441441441462E-2</v>
      </c>
      <c r="AJ220" s="114">
        <f>(1-R220/F220)-(1-(AD220)/F220)</f>
        <v>5.0097125891021999E-2</v>
      </c>
      <c r="AK220" s="115"/>
      <c r="AM220" s="13">
        <v>80000</v>
      </c>
      <c r="AN220" s="12"/>
      <c r="AO220" s="12"/>
      <c r="AP220" s="12"/>
      <c r="AQ220" s="11">
        <f>AE220-(AG220-AM220-AN220-AO220-AP220)</f>
        <v>12676.300000000047</v>
      </c>
      <c r="AR220" s="8">
        <f>AQ220/AG220</f>
        <v>1.9962677165354405E-2</v>
      </c>
      <c r="AT220" s="10">
        <v>0</v>
      </c>
      <c r="AU220" s="10">
        <v>0</v>
      </c>
      <c r="AV220" s="9">
        <f>AQ220-AT220-AU220</f>
        <v>12676.300000000047</v>
      </c>
      <c r="AW220" s="8">
        <f>AV220/AG220</f>
        <v>1.9962677165354405E-2</v>
      </c>
      <c r="AY220" s="7"/>
      <c r="AZ220" s="50"/>
      <c r="BA220" s="52"/>
      <c r="BB220" s="7"/>
    </row>
    <row r="221" spans="1:54" ht="16.5" customHeight="1" x14ac:dyDescent="0.3">
      <c r="C221" s="57" t="s">
        <v>68</v>
      </c>
      <c r="D221" s="57">
        <v>4583391989</v>
      </c>
      <c r="E221" s="5">
        <v>679000</v>
      </c>
      <c r="F221" s="4">
        <f>ROUNDDOWN(E221/(1-F219),-1)</f>
        <v>679000</v>
      </c>
      <c r="G221" s="105">
        <f>ROUNDDOWN(IF(F221*G219&gt;H219,H219,F221*G219),-1)</f>
        <v>40740</v>
      </c>
      <c r="H221" s="105"/>
      <c r="J221" s="54">
        <f>F220*4%</f>
        <v>33276.400000000001</v>
      </c>
      <c r="X221" s="3">
        <f>G221*X219</f>
        <v>0</v>
      </c>
      <c r="Y221" s="3"/>
      <c r="Z221" s="3"/>
      <c r="AG221" s="4">
        <v>625000</v>
      </c>
    </row>
    <row r="222" spans="1:54" ht="27" customHeight="1" x14ac:dyDescent="0.3">
      <c r="A222" s="124" t="s">
        <v>34</v>
      </c>
      <c r="B222" s="148" t="s">
        <v>75</v>
      </c>
      <c r="C222" s="149"/>
      <c r="D222" s="149"/>
      <c r="E222" s="149"/>
      <c r="F222" s="149"/>
      <c r="G222" s="149"/>
      <c r="H222" s="149"/>
      <c r="I222" s="149"/>
      <c r="J222" s="149"/>
      <c r="K222" s="149"/>
      <c r="L222" s="149"/>
      <c r="M222" s="149"/>
      <c r="N222" s="149"/>
      <c r="O222" s="149"/>
      <c r="P222" s="149"/>
      <c r="Q222" s="149"/>
      <c r="R222" s="150"/>
      <c r="T222" s="130" t="s">
        <v>33</v>
      </c>
      <c r="U222" s="131"/>
      <c r="V222" s="131"/>
      <c r="W222" s="131"/>
      <c r="X222" s="131"/>
      <c r="Y222" s="131"/>
      <c r="Z222" s="131"/>
      <c r="AA222" s="131"/>
      <c r="AB222" s="131"/>
      <c r="AC222" s="131"/>
      <c r="AD222" s="131"/>
      <c r="AE222" s="131"/>
      <c r="AF222" s="131"/>
      <c r="AG222" s="131"/>
      <c r="AH222" s="132"/>
      <c r="AI222" s="37"/>
      <c r="AM222" s="130" t="s">
        <v>32</v>
      </c>
      <c r="AN222" s="131"/>
      <c r="AO222" s="131"/>
      <c r="AP222" s="131"/>
      <c r="AQ222" s="131"/>
      <c r="AR222" s="132"/>
      <c r="AT222" s="130" t="s">
        <v>31</v>
      </c>
      <c r="AU222" s="131"/>
      <c r="AV222" s="131"/>
      <c r="AW222" s="132"/>
      <c r="AY222" s="36" t="s">
        <v>36</v>
      </c>
      <c r="AZ222" s="48"/>
      <c r="BA222" s="52"/>
      <c r="BB222" s="36"/>
    </row>
    <row r="223" spans="1:54" ht="32.25" customHeight="1" x14ac:dyDescent="0.3">
      <c r="A223" s="125"/>
      <c r="B223" s="133" t="s">
        <v>30</v>
      </c>
      <c r="C223" s="133" t="s">
        <v>29</v>
      </c>
      <c r="D223" s="116" t="s">
        <v>28</v>
      </c>
      <c r="E223" s="116" t="s">
        <v>27</v>
      </c>
      <c r="F223" s="34" t="s">
        <v>26</v>
      </c>
      <c r="G223" s="122" t="s">
        <v>63</v>
      </c>
      <c r="H223" s="123"/>
      <c r="I223" s="122" t="s">
        <v>50</v>
      </c>
      <c r="J223" s="123"/>
      <c r="K223" s="122" t="s">
        <v>62</v>
      </c>
      <c r="L223" s="123"/>
      <c r="M223" s="122" t="s">
        <v>25</v>
      </c>
      <c r="N223" s="123"/>
      <c r="O223" s="122" t="s">
        <v>24</v>
      </c>
      <c r="P223" s="123"/>
      <c r="Q223" s="106" t="s">
        <v>23</v>
      </c>
      <c r="R223" s="106" t="s">
        <v>22</v>
      </c>
      <c r="S223" s="21"/>
      <c r="T223" s="34" t="s">
        <v>21</v>
      </c>
      <c r="U223" s="34" t="s">
        <v>20</v>
      </c>
      <c r="V223" s="34" t="s">
        <v>69</v>
      </c>
      <c r="W223" s="34" t="s">
        <v>19</v>
      </c>
      <c r="X223" s="34" t="s">
        <v>18</v>
      </c>
      <c r="Y223" s="34" t="s">
        <v>48</v>
      </c>
      <c r="Z223" s="34" t="s">
        <v>49</v>
      </c>
      <c r="AA223" s="34" t="s">
        <v>17</v>
      </c>
      <c r="AB223" s="106" t="s">
        <v>16</v>
      </c>
      <c r="AC223" s="106" t="s">
        <v>15</v>
      </c>
      <c r="AD223" s="106" t="s">
        <v>14</v>
      </c>
      <c r="AE223" s="106" t="s">
        <v>13</v>
      </c>
      <c r="AF223" s="106" t="s">
        <v>12</v>
      </c>
      <c r="AG223" s="116" t="s">
        <v>11</v>
      </c>
      <c r="AH223" s="118" t="s">
        <v>10</v>
      </c>
      <c r="AI223" s="120" t="s">
        <v>9</v>
      </c>
      <c r="AJ223" s="35">
        <f>(1-R225/F225)</f>
        <v>0.30551976498479616</v>
      </c>
      <c r="AK223" s="35">
        <f>1-(AD225+AM225)/F225</f>
        <v>0.28939906200072152</v>
      </c>
      <c r="AM223" s="106" t="s">
        <v>8</v>
      </c>
      <c r="AN223" s="106" t="s">
        <v>7</v>
      </c>
      <c r="AO223" s="106" t="s">
        <v>37</v>
      </c>
      <c r="AP223" s="106" t="s">
        <v>38</v>
      </c>
      <c r="AQ223" s="106" t="s">
        <v>6</v>
      </c>
      <c r="AR223" s="106" t="s">
        <v>5</v>
      </c>
      <c r="AT223" s="106" t="s">
        <v>4</v>
      </c>
      <c r="AU223" s="106" t="s">
        <v>3</v>
      </c>
      <c r="AV223" s="106" t="s">
        <v>2</v>
      </c>
      <c r="AW223" s="106" t="s">
        <v>1</v>
      </c>
      <c r="AY223" s="106"/>
      <c r="AZ223" s="108"/>
      <c r="BA223" s="52"/>
      <c r="BB223" s="106"/>
    </row>
    <row r="224" spans="1:54" ht="27" customHeight="1" x14ac:dyDescent="0.3">
      <c r="A224" s="126"/>
      <c r="B224" s="134"/>
      <c r="C224" s="134"/>
      <c r="D224" s="117"/>
      <c r="E224" s="117"/>
      <c r="F224" s="31">
        <v>0</v>
      </c>
      <c r="G224" s="33">
        <v>0.06</v>
      </c>
      <c r="H224" s="32">
        <v>1000000</v>
      </c>
      <c r="I224" s="31">
        <v>1</v>
      </c>
      <c r="J224" s="32">
        <v>0</v>
      </c>
      <c r="K224" s="31">
        <v>1</v>
      </c>
      <c r="L224" s="32">
        <v>150000</v>
      </c>
      <c r="M224" s="31">
        <v>7.0000000000000007E-2</v>
      </c>
      <c r="N224" s="32">
        <v>70000</v>
      </c>
      <c r="O224" s="31">
        <v>0</v>
      </c>
      <c r="P224" s="32">
        <v>0</v>
      </c>
      <c r="Q224" s="107"/>
      <c r="R224" s="107"/>
      <c r="S224" s="21"/>
      <c r="T224" s="31">
        <f>IF(C225="노트북",7%,IF(C225="저장&amp;주변기기",9%,IF(C225="모니터",7%)))</f>
        <v>7.0000000000000007E-2</v>
      </c>
      <c r="U224" s="31">
        <v>0</v>
      </c>
      <c r="V224" s="31">
        <v>0</v>
      </c>
      <c r="W224" s="31">
        <f>IF(G224=0%,20%,0%)</f>
        <v>0</v>
      </c>
      <c r="X224" s="30">
        <v>0</v>
      </c>
      <c r="Y224" s="30">
        <v>1</v>
      </c>
      <c r="Z224" s="53">
        <v>1</v>
      </c>
      <c r="AA224" s="29">
        <v>0.5</v>
      </c>
      <c r="AB224" s="107"/>
      <c r="AC224" s="107"/>
      <c r="AD224" s="107"/>
      <c r="AE224" s="107"/>
      <c r="AF224" s="107"/>
      <c r="AG224" s="117"/>
      <c r="AH224" s="119"/>
      <c r="AI224" s="121"/>
      <c r="AJ224" s="55" t="s">
        <v>52</v>
      </c>
      <c r="AK224" s="56">
        <f>AJ223-AK223</f>
        <v>1.6120702984074642E-2</v>
      </c>
      <c r="AM224" s="107"/>
      <c r="AN224" s="107"/>
      <c r="AO224" s="107"/>
      <c r="AP224" s="107"/>
      <c r="AQ224" s="107"/>
      <c r="AR224" s="107"/>
      <c r="AS224" s="39"/>
      <c r="AT224" s="107"/>
      <c r="AU224" s="107"/>
      <c r="AV224" s="107"/>
      <c r="AW224" s="107"/>
      <c r="AY224" s="107"/>
      <c r="AZ224" s="109"/>
      <c r="BA224" s="52"/>
      <c r="BB224" s="107"/>
    </row>
    <row r="225" spans="1:54" ht="27" customHeight="1" x14ac:dyDescent="0.3">
      <c r="A225" s="51" t="s">
        <v>47</v>
      </c>
      <c r="B225" s="38" t="s">
        <v>35</v>
      </c>
      <c r="C225" s="27" t="s">
        <v>0</v>
      </c>
      <c r="D225" s="26">
        <v>4363376144</v>
      </c>
      <c r="E225" s="25">
        <v>776120</v>
      </c>
      <c r="F225" s="24">
        <f>ROUNDDOWN(E225/(1-F224),-1)</f>
        <v>776120</v>
      </c>
      <c r="G225" s="110">
        <f>ROUNDDOWN(IF(F225*G224&gt;H224,H224,F225*G224),-1)</f>
        <v>46560</v>
      </c>
      <c r="H225" s="111"/>
      <c r="I225" s="112">
        <f>ROUNDDOWN(IF(F225*I224&gt;J224,J224,F225*I224),-1)</f>
        <v>0</v>
      </c>
      <c r="J225" s="113"/>
      <c r="K225" s="112">
        <f>ROUNDDOWN(IF(F225*K224&gt;L224,L224,F225*K224),-1)</f>
        <v>150000</v>
      </c>
      <c r="L225" s="113"/>
      <c r="M225" s="110">
        <f>ROUNDDOWN(IF(Q225*M224&gt;N224,N224,Q225*M224),-1)</f>
        <v>40560</v>
      </c>
      <c r="N225" s="111"/>
      <c r="O225" s="110">
        <f>ROUNDDOWN(IF(F225*O224&gt;P224,P224,F225*O224),-1)</f>
        <v>0</v>
      </c>
      <c r="P225" s="111"/>
      <c r="Q225" s="23">
        <f>F225-G225-I225-K225</f>
        <v>579560</v>
      </c>
      <c r="R225" s="22">
        <f>F225-G225-I225-K225-M225-O225</f>
        <v>539000</v>
      </c>
      <c r="S225" s="21"/>
      <c r="T225" s="20">
        <f>F225*T224</f>
        <v>54328.400000000009</v>
      </c>
      <c r="U225" s="20">
        <f>F225*U224</f>
        <v>0</v>
      </c>
      <c r="V225" s="20">
        <f>(F225-I225)*V224</f>
        <v>0</v>
      </c>
      <c r="W225" s="19">
        <f>(F225*F224)*W224</f>
        <v>0</v>
      </c>
      <c r="X225" s="19">
        <f>G225*X224</f>
        <v>0</v>
      </c>
      <c r="Y225" s="19">
        <f>I225*Y224</f>
        <v>0</v>
      </c>
      <c r="Z225" s="19">
        <f>K225*Z224</f>
        <v>150000</v>
      </c>
      <c r="AA225" s="19">
        <f>M225*AA224</f>
        <v>20280</v>
      </c>
      <c r="AB225" s="19">
        <v>0</v>
      </c>
      <c r="AC225" s="16">
        <v>6000</v>
      </c>
      <c r="AD225" s="18">
        <f>F225-T225-U225-V225-W225-AA225-X225-Y225-Z225-AB225</f>
        <v>551511.6</v>
      </c>
      <c r="AE225" s="18">
        <f>F225-T225-U225-V225-W225-X225-Y225-Z225-AA225-AB225-AC225</f>
        <v>545511.6</v>
      </c>
      <c r="AF225" s="17">
        <f>AE225-AG225</f>
        <v>545511.6</v>
      </c>
      <c r="AG225" s="16"/>
      <c r="AH225" s="15" t="e">
        <f>AF225/AG225</f>
        <v>#DIV/0!</v>
      </c>
      <c r="AI225" s="14" t="e">
        <f>1-R225/(AG225-AM225-AN225-AO225)</f>
        <v>#DIV/0!</v>
      </c>
      <c r="AJ225" s="114">
        <f>(1-R225/F225)-(1-(AD225)/F225)</f>
        <v>1.6120702984074642E-2</v>
      </c>
      <c r="AK225" s="115"/>
      <c r="AM225" s="13"/>
      <c r="AN225" s="12"/>
      <c r="AO225" s="12"/>
      <c r="AP225" s="12"/>
      <c r="AQ225" s="11">
        <f>AE225-(AG225-AM225-AN225-AO225-AP225)</f>
        <v>545511.6</v>
      </c>
      <c r="AR225" s="8" t="e">
        <f>AQ225/AG225</f>
        <v>#DIV/0!</v>
      </c>
      <c r="AT225" s="10">
        <v>0</v>
      </c>
      <c r="AU225" s="10">
        <v>0</v>
      </c>
      <c r="AV225" s="9">
        <f>AQ225-AT225-AU225</f>
        <v>545511.6</v>
      </c>
      <c r="AW225" s="8" t="e">
        <f>AV225/AG225</f>
        <v>#DIV/0!</v>
      </c>
      <c r="AY225" s="7"/>
      <c r="AZ225" s="50"/>
      <c r="BA225" s="52"/>
      <c r="BB225" s="7"/>
    </row>
    <row r="226" spans="1:54" ht="16.5" customHeight="1" x14ac:dyDescent="0.3">
      <c r="C226" s="57" t="s">
        <v>68</v>
      </c>
      <c r="D226" s="57">
        <v>4583391989</v>
      </c>
      <c r="E226" s="5">
        <v>679000</v>
      </c>
      <c r="F226" s="4">
        <f>ROUNDDOWN(E226/(1-F224),-1)</f>
        <v>679000</v>
      </c>
      <c r="G226" s="105">
        <f>ROUNDDOWN(IF(F226*G224&gt;H224,H224,F226*G224),-1)</f>
        <v>40740</v>
      </c>
      <c r="H226" s="105"/>
      <c r="J226" s="54">
        <f>F225*4%</f>
        <v>31044.799999999999</v>
      </c>
      <c r="X226" s="3">
        <f>G226*X224</f>
        <v>0</v>
      </c>
      <c r="Y226" s="3"/>
      <c r="Z226" s="3"/>
      <c r="AG226" s="4">
        <v>625000</v>
      </c>
    </row>
    <row r="229" spans="1:54" ht="27" customHeight="1" x14ac:dyDescent="0.3">
      <c r="A229" s="124" t="s">
        <v>34</v>
      </c>
      <c r="B229" s="127" t="s">
        <v>70</v>
      </c>
      <c r="C229" s="128"/>
      <c r="D229" s="128"/>
      <c r="E229" s="128"/>
      <c r="F229" s="128"/>
      <c r="G229" s="128"/>
      <c r="H229" s="128"/>
      <c r="I229" s="128"/>
      <c r="J229" s="128"/>
      <c r="K229" s="128"/>
      <c r="L229" s="128"/>
      <c r="M229" s="128"/>
      <c r="N229" s="128"/>
      <c r="O229" s="128"/>
      <c r="P229" s="128"/>
      <c r="Q229" s="128"/>
      <c r="R229" s="129"/>
      <c r="T229" s="130" t="s">
        <v>33</v>
      </c>
      <c r="U229" s="131"/>
      <c r="V229" s="131"/>
      <c r="W229" s="131"/>
      <c r="X229" s="131"/>
      <c r="Y229" s="131"/>
      <c r="Z229" s="131"/>
      <c r="AA229" s="131"/>
      <c r="AB229" s="131"/>
      <c r="AC229" s="131"/>
      <c r="AD229" s="131"/>
      <c r="AE229" s="131"/>
      <c r="AF229" s="131"/>
      <c r="AG229" s="131"/>
      <c r="AH229" s="132"/>
      <c r="AI229" s="37"/>
      <c r="AM229" s="130" t="s">
        <v>32</v>
      </c>
      <c r="AN229" s="131"/>
      <c r="AO229" s="131"/>
      <c r="AP229" s="131"/>
      <c r="AQ229" s="131"/>
      <c r="AR229" s="132"/>
      <c r="AT229" s="130" t="s">
        <v>31</v>
      </c>
      <c r="AU229" s="131"/>
      <c r="AV229" s="131"/>
      <c r="AW229" s="132"/>
      <c r="AY229" s="36" t="s">
        <v>36</v>
      </c>
      <c r="AZ229" s="48"/>
      <c r="BA229" s="52"/>
      <c r="BB229" s="36"/>
    </row>
    <row r="230" spans="1:54" ht="32.25" customHeight="1" x14ac:dyDescent="0.3">
      <c r="A230" s="125"/>
      <c r="B230" s="133" t="s">
        <v>30</v>
      </c>
      <c r="C230" s="133" t="s">
        <v>29</v>
      </c>
      <c r="D230" s="116" t="s">
        <v>28</v>
      </c>
      <c r="E230" s="116" t="s">
        <v>27</v>
      </c>
      <c r="F230" s="34" t="s">
        <v>26</v>
      </c>
      <c r="G230" s="122" t="s">
        <v>63</v>
      </c>
      <c r="H230" s="123"/>
      <c r="I230" s="122" t="s">
        <v>50</v>
      </c>
      <c r="J230" s="123"/>
      <c r="K230" s="122" t="s">
        <v>62</v>
      </c>
      <c r="L230" s="123"/>
      <c r="M230" s="122" t="s">
        <v>25</v>
      </c>
      <c r="N230" s="123"/>
      <c r="O230" s="122" t="s">
        <v>24</v>
      </c>
      <c r="P230" s="123"/>
      <c r="Q230" s="106" t="s">
        <v>23</v>
      </c>
      <c r="R230" s="106" t="s">
        <v>22</v>
      </c>
      <c r="S230" s="21"/>
      <c r="T230" s="34" t="s">
        <v>21</v>
      </c>
      <c r="U230" s="34" t="s">
        <v>20</v>
      </c>
      <c r="V230" s="34" t="s">
        <v>69</v>
      </c>
      <c r="W230" s="34" t="s">
        <v>19</v>
      </c>
      <c r="X230" s="34" t="s">
        <v>18</v>
      </c>
      <c r="Y230" s="34" t="s">
        <v>48</v>
      </c>
      <c r="Z230" s="34" t="s">
        <v>49</v>
      </c>
      <c r="AA230" s="34" t="s">
        <v>17</v>
      </c>
      <c r="AB230" s="106" t="s">
        <v>16</v>
      </c>
      <c r="AC230" s="106" t="s">
        <v>15</v>
      </c>
      <c r="AD230" s="106" t="s">
        <v>14</v>
      </c>
      <c r="AE230" s="106" t="s">
        <v>13</v>
      </c>
      <c r="AF230" s="106" t="s">
        <v>12</v>
      </c>
      <c r="AG230" s="116" t="s">
        <v>11</v>
      </c>
      <c r="AH230" s="118" t="s">
        <v>10</v>
      </c>
      <c r="AI230" s="120" t="s">
        <v>9</v>
      </c>
      <c r="AJ230" s="35">
        <f>(1-R232/F232)</f>
        <v>0.36373820754716979</v>
      </c>
      <c r="AK230" s="35">
        <f>1-(AD232+AM232)/F232</f>
        <v>0.23186910377358494</v>
      </c>
      <c r="AM230" s="106" t="s">
        <v>8</v>
      </c>
      <c r="AN230" s="106" t="s">
        <v>7</v>
      </c>
      <c r="AO230" s="106" t="s">
        <v>37</v>
      </c>
      <c r="AP230" s="106" t="s">
        <v>38</v>
      </c>
      <c r="AQ230" s="106" t="s">
        <v>6</v>
      </c>
      <c r="AR230" s="106" t="s">
        <v>5</v>
      </c>
      <c r="AT230" s="106" t="s">
        <v>4</v>
      </c>
      <c r="AU230" s="106" t="s">
        <v>3</v>
      </c>
      <c r="AV230" s="106" t="s">
        <v>2</v>
      </c>
      <c r="AW230" s="106" t="s">
        <v>1</v>
      </c>
      <c r="AY230" s="106"/>
      <c r="AZ230" s="108"/>
      <c r="BA230" s="52"/>
      <c r="BB230" s="106"/>
    </row>
    <row r="231" spans="1:54" ht="27" customHeight="1" x14ac:dyDescent="0.3">
      <c r="A231" s="126"/>
      <c r="B231" s="134"/>
      <c r="C231" s="134"/>
      <c r="D231" s="117"/>
      <c r="E231" s="117"/>
      <c r="F231" s="31">
        <v>0</v>
      </c>
      <c r="G231" s="33">
        <v>0.08</v>
      </c>
      <c r="H231" s="32">
        <v>1000000</v>
      </c>
      <c r="I231" s="31">
        <v>1</v>
      </c>
      <c r="J231" s="32">
        <v>0</v>
      </c>
      <c r="K231" s="31">
        <v>1</v>
      </c>
      <c r="L231" s="32">
        <v>200000</v>
      </c>
      <c r="M231" s="31">
        <v>7.0000000000000007E-2</v>
      </c>
      <c r="N231" s="32">
        <v>70000</v>
      </c>
      <c r="O231" s="31">
        <v>0</v>
      </c>
      <c r="P231" s="32">
        <v>0</v>
      </c>
      <c r="Q231" s="107"/>
      <c r="R231" s="107"/>
      <c r="S231" s="21"/>
      <c r="T231" s="31">
        <f>IF(C232="노트북",7%,IF(C232="저장&amp;주변기기",9%,IF(C232="모니터",7%)))</f>
        <v>7.0000000000000007E-2</v>
      </c>
      <c r="U231" s="31">
        <v>0</v>
      </c>
      <c r="V231" s="31">
        <v>0.02</v>
      </c>
      <c r="W231" s="31">
        <f>IF(G231=0%,20%,0%)</f>
        <v>0</v>
      </c>
      <c r="X231" s="30">
        <v>0</v>
      </c>
      <c r="Y231" s="30">
        <v>1</v>
      </c>
      <c r="Z231" s="53">
        <v>1</v>
      </c>
      <c r="AA231" s="29">
        <v>0.5</v>
      </c>
      <c r="AB231" s="107"/>
      <c r="AC231" s="107"/>
      <c r="AD231" s="107"/>
      <c r="AE231" s="107"/>
      <c r="AF231" s="107"/>
      <c r="AG231" s="117"/>
      <c r="AH231" s="119"/>
      <c r="AI231" s="121"/>
      <c r="AJ231" s="55" t="s">
        <v>52</v>
      </c>
      <c r="AK231" s="56">
        <f>AJ230-AK230</f>
        <v>0.13186910377358485</v>
      </c>
      <c r="AM231" s="107"/>
      <c r="AN231" s="107"/>
      <c r="AO231" s="107"/>
      <c r="AP231" s="107"/>
      <c r="AQ231" s="107"/>
      <c r="AR231" s="107"/>
      <c r="AS231" s="39"/>
      <c r="AT231" s="107"/>
      <c r="AU231" s="107"/>
      <c r="AV231" s="107"/>
      <c r="AW231" s="107"/>
      <c r="AY231" s="107"/>
      <c r="AZ231" s="109"/>
      <c r="BA231" s="52"/>
      <c r="BB231" s="107"/>
    </row>
    <row r="232" spans="1:54" ht="27" customHeight="1" x14ac:dyDescent="0.3">
      <c r="A232" s="51" t="s">
        <v>57</v>
      </c>
      <c r="B232" s="38" t="s">
        <v>35</v>
      </c>
      <c r="C232" s="27" t="s">
        <v>0</v>
      </c>
      <c r="D232" s="26">
        <v>4538541227</v>
      </c>
      <c r="E232" s="25">
        <v>848000</v>
      </c>
      <c r="F232" s="24">
        <f>ROUNDDOWN(E232/(1-F231),-1)</f>
        <v>848000</v>
      </c>
      <c r="G232" s="110">
        <f>ROUNDDOWN(IF(F232*G231&gt;H231,H231,F232*G231),-1)</f>
        <v>67840</v>
      </c>
      <c r="H232" s="111"/>
      <c r="I232" s="112">
        <f>ROUNDDOWN(IF(F232*I231&gt;J231,J231,F232*I231),-1)</f>
        <v>0</v>
      </c>
      <c r="J232" s="113"/>
      <c r="K232" s="112">
        <f>ROUNDDOWN(IF(F232*K231&gt;L231,L231,F232*K231),-1)</f>
        <v>200000</v>
      </c>
      <c r="L232" s="113"/>
      <c r="M232" s="110">
        <f>ROUNDDOWN(IF(Q232*M231&gt;N231,N231,Q232*M231),-1)</f>
        <v>40610</v>
      </c>
      <c r="N232" s="111"/>
      <c r="O232" s="110">
        <f>ROUNDDOWN(IF(F232*O231&gt;P231,P231,F232*O231),-1)</f>
        <v>0</v>
      </c>
      <c r="P232" s="111"/>
      <c r="Q232" s="23">
        <f>F232-G232-I232-K232</f>
        <v>580160</v>
      </c>
      <c r="R232" s="22">
        <f>F232-G232-I232-K232-M232-O232</f>
        <v>539550</v>
      </c>
      <c r="S232" s="21"/>
      <c r="T232" s="20">
        <f>F232*T231</f>
        <v>59360.000000000007</v>
      </c>
      <c r="U232" s="20">
        <f>F232*U231</f>
        <v>0</v>
      </c>
      <c r="V232" s="20">
        <f>(F232-I232)*V231</f>
        <v>16960</v>
      </c>
      <c r="W232" s="19">
        <f>(F232*F231)*W231</f>
        <v>0</v>
      </c>
      <c r="X232" s="19">
        <f>G232*X231</f>
        <v>0</v>
      </c>
      <c r="Y232" s="19">
        <f>I232*Y231</f>
        <v>0</v>
      </c>
      <c r="Z232" s="19">
        <f>K232*Z231</f>
        <v>200000</v>
      </c>
      <c r="AA232" s="19">
        <f>M232*AA231</f>
        <v>20305</v>
      </c>
      <c r="AB232" s="19">
        <v>0</v>
      </c>
      <c r="AC232" s="16">
        <v>6000</v>
      </c>
      <c r="AD232" s="18">
        <f>F232-T232-U232-V232-W232-AA232-X232-Y232-Z232-AB232</f>
        <v>551375</v>
      </c>
      <c r="AE232" s="18">
        <f>F232-T232-U232-V232-W232-X232-Y232-Z232-AA232-AB232-AC232</f>
        <v>545375</v>
      </c>
      <c r="AF232" s="17">
        <f>AE232-AG232</f>
        <v>-61625</v>
      </c>
      <c r="AG232" s="16">
        <v>607000</v>
      </c>
      <c r="AH232" s="15">
        <f>AF232/AG232</f>
        <v>-0.10152388797364086</v>
      </c>
      <c r="AI232" s="14">
        <f>1-R232/(AG232-AM232-AN232-AO232)</f>
        <v>-6.4201183431952691E-2</v>
      </c>
      <c r="AJ232" s="114">
        <f>(1-R232/F232)-(1-(AD232)/F232)</f>
        <v>1.394457547169814E-2</v>
      </c>
      <c r="AK232" s="115"/>
      <c r="AM232" s="13">
        <v>100000</v>
      </c>
      <c r="AN232" s="12"/>
      <c r="AO232" s="12"/>
      <c r="AP232" s="12"/>
      <c r="AQ232" s="11">
        <f>AE232-(AG232-AM232-AN232-AO232-AP232)</f>
        <v>38375</v>
      </c>
      <c r="AR232" s="8">
        <f>AQ232/AG232</f>
        <v>6.3220757825370677E-2</v>
      </c>
      <c r="AT232" s="10">
        <v>0</v>
      </c>
      <c r="AU232" s="10">
        <v>0</v>
      </c>
      <c r="AV232" s="9">
        <f>AQ232-AT232-AU232</f>
        <v>38375</v>
      </c>
      <c r="AW232" s="8">
        <f>AV232/AG232</f>
        <v>6.3220757825370677E-2</v>
      </c>
      <c r="AY232" s="7"/>
      <c r="AZ232" s="50"/>
      <c r="BA232" s="52"/>
      <c r="BB232" s="7"/>
    </row>
    <row r="233" spans="1:54" ht="16.5" customHeight="1" x14ac:dyDescent="0.3">
      <c r="C233" s="57" t="s">
        <v>68</v>
      </c>
      <c r="D233" s="57">
        <v>4583400092</v>
      </c>
      <c r="E233" s="5">
        <v>649000</v>
      </c>
      <c r="F233" s="4">
        <f>ROUNDDOWN(E233/(1-F231),-1)</f>
        <v>649000</v>
      </c>
      <c r="G233" s="105">
        <f>ROUNDDOWN(IF(F233*G231&gt;H231,H231,F233*G231),-1)</f>
        <v>51920</v>
      </c>
      <c r="H233" s="105"/>
      <c r="J233" s="54">
        <f>F232*4%</f>
        <v>33920</v>
      </c>
      <c r="X233" s="3">
        <f>G233*X231</f>
        <v>0</v>
      </c>
      <c r="Y233" s="3"/>
      <c r="Z233" s="3"/>
    </row>
    <row r="236" spans="1:54" ht="27" customHeight="1" x14ac:dyDescent="0.3">
      <c r="A236" s="124" t="s">
        <v>34</v>
      </c>
      <c r="B236" s="127" t="s">
        <v>70</v>
      </c>
      <c r="C236" s="128"/>
      <c r="D236" s="128"/>
      <c r="E236" s="128"/>
      <c r="F236" s="128"/>
      <c r="G236" s="128"/>
      <c r="H236" s="128"/>
      <c r="I236" s="128"/>
      <c r="J236" s="128"/>
      <c r="K236" s="128"/>
      <c r="L236" s="128"/>
      <c r="M236" s="128"/>
      <c r="N236" s="128"/>
      <c r="O236" s="128"/>
      <c r="P236" s="128"/>
      <c r="Q236" s="128"/>
      <c r="R236" s="129"/>
      <c r="T236" s="130" t="s">
        <v>33</v>
      </c>
      <c r="U236" s="131"/>
      <c r="V236" s="131"/>
      <c r="W236" s="131"/>
      <c r="X236" s="131"/>
      <c r="Y236" s="131"/>
      <c r="Z236" s="131"/>
      <c r="AA236" s="131"/>
      <c r="AB236" s="131"/>
      <c r="AC236" s="131"/>
      <c r="AD236" s="131"/>
      <c r="AE236" s="131"/>
      <c r="AF236" s="131"/>
      <c r="AG236" s="131"/>
      <c r="AH236" s="132"/>
      <c r="AI236" s="37"/>
      <c r="AM236" s="130" t="s">
        <v>32</v>
      </c>
      <c r="AN236" s="131"/>
      <c r="AO236" s="131"/>
      <c r="AP236" s="131"/>
      <c r="AQ236" s="131"/>
      <c r="AR236" s="132"/>
      <c r="AT236" s="130" t="s">
        <v>31</v>
      </c>
      <c r="AU236" s="131"/>
      <c r="AV236" s="131"/>
      <c r="AW236" s="132"/>
      <c r="AY236" s="36" t="s">
        <v>36</v>
      </c>
      <c r="AZ236" s="48"/>
      <c r="BA236" s="52"/>
      <c r="BB236" s="36"/>
    </row>
    <row r="237" spans="1:54" ht="32.25" customHeight="1" x14ac:dyDescent="0.3">
      <c r="A237" s="125"/>
      <c r="B237" s="133" t="s">
        <v>30</v>
      </c>
      <c r="C237" s="133" t="s">
        <v>29</v>
      </c>
      <c r="D237" s="116" t="s">
        <v>28</v>
      </c>
      <c r="E237" s="116" t="s">
        <v>27</v>
      </c>
      <c r="F237" s="34" t="s">
        <v>26</v>
      </c>
      <c r="G237" s="122" t="s">
        <v>51</v>
      </c>
      <c r="H237" s="123"/>
      <c r="I237" s="122" t="s">
        <v>50</v>
      </c>
      <c r="J237" s="123"/>
      <c r="K237" s="122" t="s">
        <v>62</v>
      </c>
      <c r="L237" s="123"/>
      <c r="M237" s="122" t="s">
        <v>25</v>
      </c>
      <c r="N237" s="123"/>
      <c r="O237" s="122" t="s">
        <v>24</v>
      </c>
      <c r="P237" s="123"/>
      <c r="Q237" s="106" t="s">
        <v>23</v>
      </c>
      <c r="R237" s="106" t="s">
        <v>22</v>
      </c>
      <c r="S237" s="21"/>
      <c r="T237" s="34" t="s">
        <v>21</v>
      </c>
      <c r="U237" s="34" t="s">
        <v>20</v>
      </c>
      <c r="V237" s="34" t="s">
        <v>69</v>
      </c>
      <c r="W237" s="34" t="s">
        <v>19</v>
      </c>
      <c r="X237" s="34" t="s">
        <v>18</v>
      </c>
      <c r="Y237" s="34" t="s">
        <v>48</v>
      </c>
      <c r="Z237" s="34" t="s">
        <v>49</v>
      </c>
      <c r="AA237" s="34" t="s">
        <v>17</v>
      </c>
      <c r="AB237" s="106" t="s">
        <v>16</v>
      </c>
      <c r="AC237" s="106" t="s">
        <v>15</v>
      </c>
      <c r="AD237" s="106" t="s">
        <v>14</v>
      </c>
      <c r="AE237" s="106" t="s">
        <v>13</v>
      </c>
      <c r="AF237" s="106" t="s">
        <v>12</v>
      </c>
      <c r="AG237" s="116" t="s">
        <v>11</v>
      </c>
      <c r="AH237" s="118" t="s">
        <v>10</v>
      </c>
      <c r="AI237" s="120" t="s">
        <v>9</v>
      </c>
      <c r="AJ237" s="35">
        <f>(1-R239/F239)</f>
        <v>0.30585069444444446</v>
      </c>
      <c r="AK237" s="35">
        <f>1-(AD239+AM239)/F239</f>
        <v>0.2897309027777778</v>
      </c>
      <c r="AM237" s="106" t="s">
        <v>8</v>
      </c>
      <c r="AN237" s="106" t="s">
        <v>7</v>
      </c>
      <c r="AO237" s="106" t="s">
        <v>37</v>
      </c>
      <c r="AP237" s="106" t="s">
        <v>38</v>
      </c>
      <c r="AQ237" s="106" t="s">
        <v>6</v>
      </c>
      <c r="AR237" s="106" t="s">
        <v>5</v>
      </c>
      <c r="AT237" s="106" t="s">
        <v>4</v>
      </c>
      <c r="AU237" s="106" t="s">
        <v>3</v>
      </c>
      <c r="AV237" s="106" t="s">
        <v>2</v>
      </c>
      <c r="AW237" s="106" t="s">
        <v>1</v>
      </c>
      <c r="AY237" s="106"/>
      <c r="AZ237" s="108"/>
      <c r="BA237" s="52"/>
      <c r="BB237" s="106"/>
    </row>
    <row r="238" spans="1:54" ht="27" customHeight="1" x14ac:dyDescent="0.3">
      <c r="A238" s="126"/>
      <c r="B238" s="134"/>
      <c r="C238" s="134"/>
      <c r="D238" s="117"/>
      <c r="E238" s="117"/>
      <c r="F238" s="31">
        <v>0</v>
      </c>
      <c r="G238" s="33">
        <v>0.08</v>
      </c>
      <c r="H238" s="32">
        <v>1000000</v>
      </c>
      <c r="I238" s="31">
        <v>1</v>
      </c>
      <c r="J238" s="32">
        <v>0</v>
      </c>
      <c r="K238" s="31">
        <v>1</v>
      </c>
      <c r="L238" s="32">
        <v>200000</v>
      </c>
      <c r="M238" s="31">
        <v>7.0000000000000007E-2</v>
      </c>
      <c r="N238" s="32">
        <v>70000</v>
      </c>
      <c r="O238" s="31">
        <v>0</v>
      </c>
      <c r="P238" s="32">
        <v>0</v>
      </c>
      <c r="Q238" s="107"/>
      <c r="R238" s="107"/>
      <c r="S238" s="21"/>
      <c r="T238" s="31">
        <f>IF(C239="노트북",7%,IF(C239="저장&amp;주변기기",9%,IF(C239="모니터",7%)))</f>
        <v>7.0000000000000007E-2</v>
      </c>
      <c r="U238" s="31">
        <v>0</v>
      </c>
      <c r="V238" s="31">
        <v>0.02</v>
      </c>
      <c r="W238" s="31">
        <f>IF(G238=0%,20%,0%)</f>
        <v>0</v>
      </c>
      <c r="X238" s="30">
        <v>0</v>
      </c>
      <c r="Y238" s="30">
        <v>1</v>
      </c>
      <c r="Z238" s="53">
        <v>1</v>
      </c>
      <c r="AA238" s="29">
        <v>0.5</v>
      </c>
      <c r="AB238" s="107"/>
      <c r="AC238" s="107"/>
      <c r="AD238" s="107"/>
      <c r="AE238" s="107"/>
      <c r="AF238" s="107"/>
      <c r="AG238" s="117"/>
      <c r="AH238" s="119"/>
      <c r="AI238" s="121"/>
      <c r="AJ238" s="55" t="s">
        <v>52</v>
      </c>
      <c r="AK238" s="56">
        <f>AJ237-AK237</f>
        <v>1.6119791666666661E-2</v>
      </c>
      <c r="AM238" s="107"/>
      <c r="AN238" s="107"/>
      <c r="AO238" s="107"/>
      <c r="AP238" s="107"/>
      <c r="AQ238" s="107"/>
      <c r="AR238" s="107"/>
      <c r="AS238" s="39"/>
      <c r="AT238" s="107"/>
      <c r="AU238" s="107"/>
      <c r="AV238" s="107"/>
      <c r="AW238" s="107"/>
      <c r="AY238" s="107"/>
      <c r="AZ238" s="109"/>
      <c r="BA238" s="52"/>
      <c r="BB238" s="107"/>
    </row>
    <row r="239" spans="1:54" ht="27" customHeight="1" x14ac:dyDescent="0.3">
      <c r="A239" s="51" t="s">
        <v>60</v>
      </c>
      <c r="B239" s="38" t="s">
        <v>35</v>
      </c>
      <c r="C239" s="27" t="s">
        <v>0</v>
      </c>
      <c r="D239" s="26">
        <v>4504312202</v>
      </c>
      <c r="E239" s="25">
        <v>1152000</v>
      </c>
      <c r="F239" s="24">
        <f>ROUNDDOWN(E239/(1-F238),-1)</f>
        <v>1152000</v>
      </c>
      <c r="G239" s="110">
        <f>ROUNDDOWN(IF(F239*G238&gt;H238,H238,F239*G238),-1)</f>
        <v>92160</v>
      </c>
      <c r="H239" s="111"/>
      <c r="I239" s="112">
        <f>ROUNDDOWN(IF(F239*I238&gt;J238,J238,F239*I238),-1)</f>
        <v>0</v>
      </c>
      <c r="J239" s="113"/>
      <c r="K239" s="112">
        <f>ROUNDDOWN(IF(F239*K238&gt;L238,L238,F239*K238),-1)</f>
        <v>200000</v>
      </c>
      <c r="L239" s="113"/>
      <c r="M239" s="110">
        <f>ROUNDDOWN(IF(Q239*M238&gt;N238,N238,Q239*M238),-1)</f>
        <v>60180</v>
      </c>
      <c r="N239" s="111"/>
      <c r="O239" s="110">
        <f>ROUNDDOWN(IF(F239*O238&gt;P238,P238,F239*O238),-1)</f>
        <v>0</v>
      </c>
      <c r="P239" s="111"/>
      <c r="Q239" s="23">
        <f>F239-G239-I239-K239</f>
        <v>859840</v>
      </c>
      <c r="R239" s="22">
        <f>F239-G239-I239-K239-M239-O239</f>
        <v>799660</v>
      </c>
      <c r="S239" s="21"/>
      <c r="T239" s="20">
        <f>F239*T238</f>
        <v>80640.000000000015</v>
      </c>
      <c r="U239" s="20">
        <f>F239*U238</f>
        <v>0</v>
      </c>
      <c r="V239" s="20">
        <f>(F239-I239)*V238</f>
        <v>23040</v>
      </c>
      <c r="W239" s="19">
        <f>(F239*F238)*W238</f>
        <v>0</v>
      </c>
      <c r="X239" s="19">
        <f>G239*X238</f>
        <v>0</v>
      </c>
      <c r="Y239" s="19">
        <f>I239*Y238</f>
        <v>0</v>
      </c>
      <c r="Z239" s="19">
        <f>K239*Z238</f>
        <v>200000</v>
      </c>
      <c r="AA239" s="19">
        <f>M239*AA238</f>
        <v>30090</v>
      </c>
      <c r="AB239" s="19">
        <v>0</v>
      </c>
      <c r="AC239" s="16">
        <v>6000</v>
      </c>
      <c r="AD239" s="18">
        <f>F239-T239-U239-V239-W239-AA239-X239-Y239-Z239-AB239</f>
        <v>818230</v>
      </c>
      <c r="AE239" s="18">
        <f>F239-T239-U239-V239-W239-X239-Y239-Z239-AA239-AB239-AC239</f>
        <v>812230</v>
      </c>
      <c r="AF239" s="17">
        <f>AE239-AG239</f>
        <v>27230</v>
      </c>
      <c r="AG239" s="16">
        <v>785000</v>
      </c>
      <c r="AH239" s="15">
        <f>AF239/AG239</f>
        <v>3.4687898089171977E-2</v>
      </c>
      <c r="AI239" s="14">
        <f>1-R239/(AG239-AM239-AN239-AO239)</f>
        <v>-1.867515923566887E-2</v>
      </c>
      <c r="AJ239" s="114">
        <f>(1-R239/F239)-(1-(AD239)/F239)</f>
        <v>1.6119791666666661E-2</v>
      </c>
      <c r="AK239" s="115"/>
      <c r="AM239" s="13"/>
      <c r="AN239" s="12"/>
      <c r="AO239" s="12"/>
      <c r="AP239" s="12"/>
      <c r="AQ239" s="11">
        <f>AE239-(AG239-AM239-AN239-AO239-AP239)</f>
        <v>27230</v>
      </c>
      <c r="AR239" s="8">
        <f>AQ239/AG239</f>
        <v>3.4687898089171977E-2</v>
      </c>
      <c r="AT239" s="10">
        <v>0</v>
      </c>
      <c r="AU239" s="10">
        <v>0</v>
      </c>
      <c r="AV239" s="9">
        <f>AQ239-AT239-AU239</f>
        <v>27230</v>
      </c>
      <c r="AW239" s="8">
        <f>AV239/AG239</f>
        <v>3.4687898089171977E-2</v>
      </c>
      <c r="AY239" s="7"/>
      <c r="AZ239" s="50"/>
      <c r="BA239" s="52"/>
      <c r="BB239" s="7"/>
    </row>
    <row r="240" spans="1:54" ht="16.5" customHeight="1" x14ac:dyDescent="0.3">
      <c r="E240" s="5">
        <v>849000</v>
      </c>
      <c r="F240" s="4">
        <f>ROUNDDOWN(E240/(1-F238),-1)</f>
        <v>849000</v>
      </c>
      <c r="G240" s="105">
        <f>ROUNDDOWN(IF(F240*G238&gt;H238,H238,F240*G238),-1)</f>
        <v>67920</v>
      </c>
      <c r="H240" s="105"/>
      <c r="J240" s="54">
        <f>F239*4%</f>
        <v>46080</v>
      </c>
      <c r="X240" s="3">
        <f>G240*X238</f>
        <v>0</v>
      </c>
      <c r="Y240" s="3"/>
      <c r="Z240" s="3"/>
      <c r="AG240" s="5">
        <v>826000</v>
      </c>
    </row>
    <row r="241" spans="1:54" ht="27" customHeight="1" x14ac:dyDescent="0.3">
      <c r="A241" s="124" t="s">
        <v>34</v>
      </c>
      <c r="B241" s="127" t="s">
        <v>70</v>
      </c>
      <c r="C241" s="128"/>
      <c r="D241" s="128"/>
      <c r="E241" s="128"/>
      <c r="F241" s="128"/>
      <c r="G241" s="128"/>
      <c r="H241" s="128"/>
      <c r="I241" s="128"/>
      <c r="J241" s="128"/>
      <c r="K241" s="128"/>
      <c r="L241" s="128"/>
      <c r="M241" s="128"/>
      <c r="N241" s="128"/>
      <c r="O241" s="128"/>
      <c r="P241" s="128"/>
      <c r="Q241" s="128"/>
      <c r="R241" s="129"/>
      <c r="T241" s="130" t="s">
        <v>33</v>
      </c>
      <c r="U241" s="131"/>
      <c r="V241" s="131"/>
      <c r="W241" s="131"/>
      <c r="X241" s="131"/>
      <c r="Y241" s="131"/>
      <c r="Z241" s="131"/>
      <c r="AA241" s="131"/>
      <c r="AB241" s="131"/>
      <c r="AC241" s="131"/>
      <c r="AD241" s="131"/>
      <c r="AE241" s="131"/>
      <c r="AF241" s="131"/>
      <c r="AG241" s="131"/>
      <c r="AH241" s="132"/>
      <c r="AI241" s="37"/>
      <c r="AM241" s="130" t="s">
        <v>32</v>
      </c>
      <c r="AN241" s="131"/>
      <c r="AO241" s="131"/>
      <c r="AP241" s="131"/>
      <c r="AQ241" s="131"/>
      <c r="AR241" s="132"/>
      <c r="AT241" s="130" t="s">
        <v>31</v>
      </c>
      <c r="AU241" s="131"/>
      <c r="AV241" s="131"/>
      <c r="AW241" s="132"/>
      <c r="AY241" s="36" t="s">
        <v>36</v>
      </c>
      <c r="AZ241" s="48"/>
      <c r="BA241" s="52"/>
      <c r="BB241" s="36"/>
    </row>
    <row r="242" spans="1:54" ht="32.25" customHeight="1" x14ac:dyDescent="0.3">
      <c r="A242" s="125"/>
      <c r="B242" s="133" t="s">
        <v>30</v>
      </c>
      <c r="C242" s="133" t="s">
        <v>29</v>
      </c>
      <c r="D242" s="116" t="s">
        <v>28</v>
      </c>
      <c r="E242" s="116" t="s">
        <v>27</v>
      </c>
      <c r="F242" s="34" t="s">
        <v>26</v>
      </c>
      <c r="G242" s="122" t="s">
        <v>51</v>
      </c>
      <c r="H242" s="123"/>
      <c r="I242" s="122" t="s">
        <v>50</v>
      </c>
      <c r="J242" s="123"/>
      <c r="K242" s="122" t="s">
        <v>62</v>
      </c>
      <c r="L242" s="123"/>
      <c r="M242" s="122" t="s">
        <v>25</v>
      </c>
      <c r="N242" s="123"/>
      <c r="O242" s="122" t="s">
        <v>24</v>
      </c>
      <c r="P242" s="123"/>
      <c r="Q242" s="106" t="s">
        <v>23</v>
      </c>
      <c r="R242" s="106" t="s">
        <v>22</v>
      </c>
      <c r="S242" s="21"/>
      <c r="T242" s="34" t="s">
        <v>21</v>
      </c>
      <c r="U242" s="34" t="s">
        <v>20</v>
      </c>
      <c r="V242" s="34" t="s">
        <v>69</v>
      </c>
      <c r="W242" s="34" t="s">
        <v>19</v>
      </c>
      <c r="X242" s="34" t="s">
        <v>18</v>
      </c>
      <c r="Y242" s="34" t="s">
        <v>48</v>
      </c>
      <c r="Z242" s="34" t="s">
        <v>49</v>
      </c>
      <c r="AA242" s="34" t="s">
        <v>17</v>
      </c>
      <c r="AB242" s="106" t="s">
        <v>16</v>
      </c>
      <c r="AC242" s="106" t="s">
        <v>15</v>
      </c>
      <c r="AD242" s="106" t="s">
        <v>14</v>
      </c>
      <c r="AE242" s="106" t="s">
        <v>13</v>
      </c>
      <c r="AF242" s="106" t="s">
        <v>12</v>
      </c>
      <c r="AG242" s="116" t="s">
        <v>11</v>
      </c>
      <c r="AH242" s="118" t="s">
        <v>10</v>
      </c>
      <c r="AI242" s="120" t="s">
        <v>9</v>
      </c>
      <c r="AJ242" s="35">
        <f>(1-R244/F244)</f>
        <v>0.32410628019323673</v>
      </c>
      <c r="AK242" s="35">
        <f>1-(AD244+AM244)/F244</f>
        <v>0.2603623188405797</v>
      </c>
      <c r="AM242" s="106" t="s">
        <v>71</v>
      </c>
      <c r="AN242" s="106" t="s">
        <v>72</v>
      </c>
      <c r="AO242" s="106" t="s">
        <v>37</v>
      </c>
      <c r="AP242" s="106" t="s">
        <v>38</v>
      </c>
      <c r="AQ242" s="106" t="s">
        <v>6</v>
      </c>
      <c r="AR242" s="106" t="s">
        <v>5</v>
      </c>
      <c r="AT242" s="106" t="s">
        <v>4</v>
      </c>
      <c r="AU242" s="106" t="s">
        <v>3</v>
      </c>
      <c r="AV242" s="106" t="s">
        <v>2</v>
      </c>
      <c r="AW242" s="106" t="s">
        <v>1</v>
      </c>
      <c r="AY242" s="106"/>
      <c r="AZ242" s="108"/>
      <c r="BA242" s="52"/>
      <c r="BB242" s="106"/>
    </row>
    <row r="243" spans="1:54" ht="27" customHeight="1" x14ac:dyDescent="0.3">
      <c r="A243" s="126"/>
      <c r="B243" s="134"/>
      <c r="C243" s="134"/>
      <c r="D243" s="117"/>
      <c r="E243" s="117"/>
      <c r="F243" s="31">
        <v>0</v>
      </c>
      <c r="G243" s="33">
        <v>0.08</v>
      </c>
      <c r="H243" s="32">
        <v>1000000</v>
      </c>
      <c r="I243" s="31">
        <v>0</v>
      </c>
      <c r="J243" s="32">
        <v>0</v>
      </c>
      <c r="K243" s="31">
        <v>1</v>
      </c>
      <c r="L243" s="32">
        <v>200000</v>
      </c>
      <c r="M243" s="31">
        <v>7.0000000000000007E-2</v>
      </c>
      <c r="N243" s="32">
        <v>150000</v>
      </c>
      <c r="O243" s="31">
        <v>0</v>
      </c>
      <c r="P243" s="32">
        <v>0</v>
      </c>
      <c r="Q243" s="107"/>
      <c r="R243" s="107"/>
      <c r="S243" s="21"/>
      <c r="T243" s="31">
        <f>IF(C244="노트북",7%,IF(C244="저장&amp;주변기기",9%,IF(C244="모니터",7%)))</f>
        <v>7.0000000000000007E-2</v>
      </c>
      <c r="U243" s="31">
        <v>0</v>
      </c>
      <c r="V243" s="31">
        <v>0.02</v>
      </c>
      <c r="W243" s="31">
        <f>IF(G243=0%,20%,0%)</f>
        <v>0</v>
      </c>
      <c r="X243" s="30">
        <v>0</v>
      </c>
      <c r="Y243" s="30">
        <v>1</v>
      </c>
      <c r="Z243" s="53">
        <v>1</v>
      </c>
      <c r="AA243" s="29">
        <v>0.5</v>
      </c>
      <c r="AB243" s="107"/>
      <c r="AC243" s="107"/>
      <c r="AD243" s="107"/>
      <c r="AE243" s="107"/>
      <c r="AF243" s="107"/>
      <c r="AG243" s="117"/>
      <c r="AH243" s="119"/>
      <c r="AI243" s="121"/>
      <c r="AJ243" s="55" t="s">
        <v>52</v>
      </c>
      <c r="AK243" s="56">
        <f>AJ242-AK242</f>
        <v>6.374396135265703E-2</v>
      </c>
      <c r="AM243" s="107"/>
      <c r="AN243" s="107"/>
      <c r="AO243" s="107"/>
      <c r="AP243" s="107"/>
      <c r="AQ243" s="107"/>
      <c r="AR243" s="107"/>
      <c r="AS243" s="39"/>
      <c r="AT243" s="107"/>
      <c r="AU243" s="107"/>
      <c r="AV243" s="107"/>
      <c r="AW243" s="107"/>
      <c r="AY243" s="107"/>
      <c r="AZ243" s="109"/>
      <c r="BA243" s="52"/>
      <c r="BB243" s="107"/>
    </row>
    <row r="244" spans="1:54" ht="27" customHeight="1" x14ac:dyDescent="0.3">
      <c r="A244" s="51" t="s">
        <v>60</v>
      </c>
      <c r="B244" s="38" t="s">
        <v>35</v>
      </c>
      <c r="C244" s="27" t="s">
        <v>0</v>
      </c>
      <c r="D244" s="26">
        <v>4504312202</v>
      </c>
      <c r="E244" s="25">
        <v>1035000</v>
      </c>
      <c r="F244" s="24">
        <f>ROUNDDOWN(E244/(1-F243),-1)</f>
        <v>1035000</v>
      </c>
      <c r="G244" s="110">
        <f>ROUNDDOWN(IF(F244*G243&gt;H243,H243,F244*G243),-1)</f>
        <v>82800</v>
      </c>
      <c r="H244" s="111"/>
      <c r="I244" s="112">
        <f>ROUNDDOWN(IF(F244*I243&gt;J243,J243,F244*I243),-1)</f>
        <v>0</v>
      </c>
      <c r="J244" s="113"/>
      <c r="K244" s="112">
        <f>ROUNDDOWN(IF(F244*K243&gt;L243,L243,F244*K243),-1)</f>
        <v>200000</v>
      </c>
      <c r="L244" s="113"/>
      <c r="M244" s="110">
        <f>ROUNDDOWN(IF(Q244*M243&gt;N243,N243,Q244*M243),-1)</f>
        <v>52650</v>
      </c>
      <c r="N244" s="111"/>
      <c r="O244" s="110">
        <f>ROUNDDOWN(IF(F244*O243&gt;P243,P243,F244*O243),-1)</f>
        <v>0</v>
      </c>
      <c r="P244" s="111"/>
      <c r="Q244" s="23">
        <f>F244-G244-I244-K244</f>
        <v>752200</v>
      </c>
      <c r="R244" s="22">
        <f>F244-G244-I244-K244-M244-O244</f>
        <v>699550</v>
      </c>
      <c r="S244" s="21"/>
      <c r="T244" s="20">
        <f>F244*T243</f>
        <v>72450</v>
      </c>
      <c r="U244" s="20">
        <f>F244*U243</f>
        <v>0</v>
      </c>
      <c r="V244" s="20">
        <f>(F244-I244)*V243</f>
        <v>20700</v>
      </c>
      <c r="W244" s="19">
        <f>(F244*F243)*W243</f>
        <v>0</v>
      </c>
      <c r="X244" s="19">
        <f>G244*X243</f>
        <v>0</v>
      </c>
      <c r="Y244" s="19">
        <f>I244*Y243</f>
        <v>0</v>
      </c>
      <c r="Z244" s="19">
        <f>K244*Z243</f>
        <v>200000</v>
      </c>
      <c r="AA244" s="19">
        <f>M244*AA243</f>
        <v>26325</v>
      </c>
      <c r="AB244" s="19">
        <v>0</v>
      </c>
      <c r="AC244" s="16">
        <v>6000</v>
      </c>
      <c r="AD244" s="18">
        <f>F244-T244-U244-V244-W244-AA244-X244-Y244-Z244-AB244</f>
        <v>715525</v>
      </c>
      <c r="AE244" s="18">
        <f>F244-T244-U244-V244-W244-X244-Y244-Z244-AA244-AB244-AC244</f>
        <v>709525</v>
      </c>
      <c r="AF244" s="17">
        <f>AE244-AG244</f>
        <v>-75475</v>
      </c>
      <c r="AG244" s="16">
        <v>785000</v>
      </c>
      <c r="AH244" s="15">
        <f>AF244/AG244</f>
        <v>-9.6146496815286628E-2</v>
      </c>
      <c r="AI244" s="14">
        <f>1-R244/(AG244-AM244-AN244-AO244)</f>
        <v>-6.5467625899280346E-3</v>
      </c>
      <c r="AJ244" s="114">
        <f>(1-R244/F244)-(1-(AD244)/F244)</f>
        <v>1.5434782608695685E-2</v>
      </c>
      <c r="AK244" s="115"/>
      <c r="AM244" s="13">
        <v>50000</v>
      </c>
      <c r="AN244" s="12">
        <v>40000</v>
      </c>
      <c r="AO244" s="12"/>
      <c r="AP244" s="12"/>
      <c r="AQ244" s="11">
        <f>AE244-(AG244-AM244-AN244-AO244-AP244)</f>
        <v>14525</v>
      </c>
      <c r="AR244" s="8">
        <f>AQ244/AG244</f>
        <v>1.8503184713375795E-2</v>
      </c>
      <c r="AT244" s="10">
        <v>0</v>
      </c>
      <c r="AU244" s="10">
        <v>0</v>
      </c>
      <c r="AV244" s="9">
        <f>AQ244-AT244-AU244</f>
        <v>14525</v>
      </c>
      <c r="AW244" s="8">
        <f>AV244/AG244</f>
        <v>1.8503184713375795E-2</v>
      </c>
      <c r="AY244" s="7"/>
      <c r="AZ244" s="50"/>
      <c r="BA244" s="52"/>
      <c r="BB244" s="7"/>
    </row>
    <row r="245" spans="1:54" ht="16.5" customHeight="1" x14ac:dyDescent="0.3">
      <c r="E245" s="5">
        <v>849000</v>
      </c>
      <c r="F245" s="4">
        <f>ROUNDDOWN(E245/(1-F243),-1)</f>
        <v>849000</v>
      </c>
      <c r="G245" s="105">
        <f>ROUNDDOWN(IF(F245*G243&gt;H243,H243,F245*G243),-1)</f>
        <v>67920</v>
      </c>
      <c r="H245" s="105"/>
      <c r="J245" s="54">
        <f>F244*4%</f>
        <v>41400</v>
      </c>
      <c r="X245" s="3">
        <f>G245*X243</f>
        <v>0</v>
      </c>
      <c r="Y245" s="3"/>
      <c r="Z245" s="3"/>
      <c r="AG245" s="5">
        <v>826000</v>
      </c>
    </row>
    <row r="246" spans="1:54" ht="16.5" customHeight="1" x14ac:dyDescent="0.3">
      <c r="E246" s="5"/>
      <c r="F246" s="4"/>
      <c r="G246" s="42"/>
      <c r="H246" s="42"/>
      <c r="J246" s="54"/>
      <c r="X246" s="3"/>
      <c r="Y246" s="3"/>
      <c r="Z246" s="3"/>
      <c r="AG246" s="5"/>
    </row>
    <row r="247" spans="1:54" ht="16.5" customHeight="1" x14ac:dyDescent="0.3">
      <c r="E247" s="5"/>
      <c r="F247" s="4"/>
      <c r="G247" s="42"/>
      <c r="H247" s="42"/>
      <c r="J247" s="54"/>
      <c r="X247" s="3"/>
      <c r="Y247" s="3"/>
      <c r="Z247" s="3"/>
      <c r="AG247" s="5"/>
    </row>
    <row r="248" spans="1:54" ht="27" customHeight="1" x14ac:dyDescent="0.3">
      <c r="A248" s="124" t="s">
        <v>34</v>
      </c>
      <c r="B248" s="127" t="s">
        <v>70</v>
      </c>
      <c r="C248" s="128"/>
      <c r="D248" s="128"/>
      <c r="E248" s="128"/>
      <c r="F248" s="128"/>
      <c r="G248" s="128"/>
      <c r="H248" s="128"/>
      <c r="I248" s="128"/>
      <c r="J248" s="128"/>
      <c r="K248" s="128"/>
      <c r="L248" s="128"/>
      <c r="M248" s="128"/>
      <c r="N248" s="128"/>
      <c r="O248" s="128"/>
      <c r="P248" s="128"/>
      <c r="Q248" s="128"/>
      <c r="R248" s="129"/>
      <c r="T248" s="130" t="s">
        <v>33</v>
      </c>
      <c r="U248" s="131"/>
      <c r="V248" s="131"/>
      <c r="W248" s="131"/>
      <c r="X248" s="131"/>
      <c r="Y248" s="131"/>
      <c r="Z248" s="131"/>
      <c r="AA248" s="131"/>
      <c r="AB248" s="131"/>
      <c r="AC248" s="131"/>
      <c r="AD248" s="131"/>
      <c r="AE248" s="131"/>
      <c r="AF248" s="131"/>
      <c r="AG248" s="131"/>
      <c r="AH248" s="132"/>
      <c r="AI248" s="37"/>
      <c r="AM248" s="130" t="s">
        <v>32</v>
      </c>
      <c r="AN248" s="131"/>
      <c r="AO248" s="131"/>
      <c r="AP248" s="131"/>
      <c r="AQ248" s="131"/>
      <c r="AR248" s="132"/>
      <c r="AT248" s="130" t="s">
        <v>31</v>
      </c>
      <c r="AU248" s="131"/>
      <c r="AV248" s="131"/>
      <c r="AW248" s="132"/>
      <c r="AY248" s="36" t="s">
        <v>36</v>
      </c>
      <c r="AZ248" s="48"/>
      <c r="BA248" s="52"/>
      <c r="BB248" s="36"/>
    </row>
    <row r="249" spans="1:54" ht="32.25" customHeight="1" x14ac:dyDescent="0.3">
      <c r="A249" s="125"/>
      <c r="B249" s="133" t="s">
        <v>30</v>
      </c>
      <c r="C249" s="133" t="s">
        <v>29</v>
      </c>
      <c r="D249" s="116" t="s">
        <v>28</v>
      </c>
      <c r="E249" s="116" t="s">
        <v>27</v>
      </c>
      <c r="F249" s="34" t="s">
        <v>26</v>
      </c>
      <c r="G249" s="122" t="s">
        <v>63</v>
      </c>
      <c r="H249" s="123"/>
      <c r="I249" s="122" t="s">
        <v>50</v>
      </c>
      <c r="J249" s="123"/>
      <c r="K249" s="122" t="s">
        <v>62</v>
      </c>
      <c r="L249" s="123"/>
      <c r="M249" s="122" t="s">
        <v>25</v>
      </c>
      <c r="N249" s="123"/>
      <c r="O249" s="122" t="s">
        <v>24</v>
      </c>
      <c r="P249" s="123"/>
      <c r="Q249" s="106" t="s">
        <v>23</v>
      </c>
      <c r="R249" s="106" t="s">
        <v>22</v>
      </c>
      <c r="S249" s="21"/>
      <c r="T249" s="34" t="s">
        <v>21</v>
      </c>
      <c r="U249" s="34" t="s">
        <v>20</v>
      </c>
      <c r="V249" s="34" t="s">
        <v>69</v>
      </c>
      <c r="W249" s="34" t="s">
        <v>19</v>
      </c>
      <c r="X249" s="34" t="s">
        <v>18</v>
      </c>
      <c r="Y249" s="34" t="s">
        <v>48</v>
      </c>
      <c r="Z249" s="34" t="s">
        <v>49</v>
      </c>
      <c r="AA249" s="34" t="s">
        <v>17</v>
      </c>
      <c r="AB249" s="106" t="s">
        <v>16</v>
      </c>
      <c r="AC249" s="106" t="s">
        <v>15</v>
      </c>
      <c r="AD249" s="106" t="s">
        <v>14</v>
      </c>
      <c r="AE249" s="106" t="s">
        <v>13</v>
      </c>
      <c r="AF249" s="106" t="s">
        <v>12</v>
      </c>
      <c r="AG249" s="116" t="s">
        <v>11</v>
      </c>
      <c r="AH249" s="118" t="s">
        <v>10</v>
      </c>
      <c r="AI249" s="120" t="s">
        <v>9</v>
      </c>
      <c r="AJ249" s="35">
        <f>(1-R251/F251)</f>
        <v>0.43593103448275861</v>
      </c>
      <c r="AK249" s="35">
        <f>1-(AD251+AM251)/F251</f>
        <v>0.20526959247648902</v>
      </c>
      <c r="AM249" s="106" t="s">
        <v>8</v>
      </c>
      <c r="AN249" s="106" t="s">
        <v>7</v>
      </c>
      <c r="AO249" s="106" t="s">
        <v>37</v>
      </c>
      <c r="AP249" s="106" t="s">
        <v>38</v>
      </c>
      <c r="AQ249" s="106" t="s">
        <v>6</v>
      </c>
      <c r="AR249" s="106" t="s">
        <v>5</v>
      </c>
      <c r="AT249" s="106" t="s">
        <v>4</v>
      </c>
      <c r="AU249" s="106" t="s">
        <v>3</v>
      </c>
      <c r="AV249" s="106" t="s">
        <v>2</v>
      </c>
      <c r="AW249" s="106" t="s">
        <v>1</v>
      </c>
      <c r="AY249" s="106"/>
      <c r="AZ249" s="108"/>
      <c r="BA249" s="52"/>
      <c r="BB249" s="106"/>
    </row>
    <row r="250" spans="1:54" ht="27" customHeight="1" x14ac:dyDescent="0.3">
      <c r="A250" s="126"/>
      <c r="B250" s="134"/>
      <c r="C250" s="134"/>
      <c r="D250" s="117"/>
      <c r="E250" s="117"/>
      <c r="F250" s="31">
        <v>0</v>
      </c>
      <c r="G250" s="33">
        <v>0.08</v>
      </c>
      <c r="H250" s="32">
        <v>1000000</v>
      </c>
      <c r="I250" s="31">
        <v>1</v>
      </c>
      <c r="J250" s="32">
        <v>0</v>
      </c>
      <c r="K250" s="31">
        <v>1</v>
      </c>
      <c r="L250" s="32">
        <v>500000</v>
      </c>
      <c r="M250" s="31">
        <v>7.0000000000000007E-2</v>
      </c>
      <c r="N250" s="32">
        <v>70000</v>
      </c>
      <c r="O250" s="31">
        <v>0</v>
      </c>
      <c r="P250" s="32">
        <v>0</v>
      </c>
      <c r="Q250" s="107"/>
      <c r="R250" s="107"/>
      <c r="S250" s="21"/>
      <c r="T250" s="31">
        <f>IF(C251="노트북",7%,IF(C251="저장&amp;주변기기",9%,IF(C251="모니터",7%)))</f>
        <v>7.0000000000000007E-2</v>
      </c>
      <c r="U250" s="31">
        <v>0</v>
      </c>
      <c r="V250" s="31">
        <v>0.02</v>
      </c>
      <c r="W250" s="31">
        <f>IF(G250=0%,20%,0%)</f>
        <v>0</v>
      </c>
      <c r="X250" s="30">
        <v>0</v>
      </c>
      <c r="Y250" s="30">
        <v>1</v>
      </c>
      <c r="Z250" s="53">
        <v>1</v>
      </c>
      <c r="AA250" s="29">
        <v>0.5</v>
      </c>
      <c r="AB250" s="107"/>
      <c r="AC250" s="107"/>
      <c r="AD250" s="107"/>
      <c r="AE250" s="107"/>
      <c r="AF250" s="107"/>
      <c r="AG250" s="117"/>
      <c r="AH250" s="119"/>
      <c r="AI250" s="121"/>
      <c r="AJ250" s="55" t="s">
        <v>52</v>
      </c>
      <c r="AK250" s="56">
        <f>AJ249-AK249</f>
        <v>0.23066144200626959</v>
      </c>
      <c r="AM250" s="107"/>
      <c r="AN250" s="107"/>
      <c r="AO250" s="107"/>
      <c r="AP250" s="107"/>
      <c r="AQ250" s="107"/>
      <c r="AR250" s="107"/>
      <c r="AS250" s="39"/>
      <c r="AT250" s="107"/>
      <c r="AU250" s="107"/>
      <c r="AV250" s="107"/>
      <c r="AW250" s="107"/>
      <c r="AY250" s="107"/>
      <c r="AZ250" s="109"/>
      <c r="BA250" s="52"/>
      <c r="BB250" s="107"/>
    </row>
    <row r="251" spans="1:54" ht="27" customHeight="1" x14ac:dyDescent="0.3">
      <c r="A251" s="51" t="s">
        <v>64</v>
      </c>
      <c r="B251" s="38" t="s">
        <v>35</v>
      </c>
      <c r="C251" s="27" t="s">
        <v>0</v>
      </c>
      <c r="D251" s="26">
        <v>4578276650</v>
      </c>
      <c r="E251" s="25">
        <v>1595000</v>
      </c>
      <c r="F251" s="24">
        <f>ROUNDDOWN(E251/(1-F250),-1)</f>
        <v>1595000</v>
      </c>
      <c r="G251" s="110">
        <f>ROUNDDOWN(IF(F251*G250&gt;H250,H250,F251*G250),-1)</f>
        <v>127600</v>
      </c>
      <c r="H251" s="111"/>
      <c r="I251" s="112">
        <f>ROUNDDOWN(IF(F251*I250&gt;J250,J250,F251*I250),-1)</f>
        <v>0</v>
      </c>
      <c r="J251" s="113"/>
      <c r="K251" s="112">
        <f>ROUNDDOWN(IF(F251*K250&gt;L250,L250,F251*K250),-1)</f>
        <v>500000</v>
      </c>
      <c r="L251" s="113"/>
      <c r="M251" s="110">
        <f>ROUNDDOWN(IF(Q251*M250&gt;N250,N250,Q251*M250),-1)</f>
        <v>67710</v>
      </c>
      <c r="N251" s="111"/>
      <c r="O251" s="110">
        <f>ROUNDDOWN(IF(F251*O250&gt;P250,P250,F251*O250),-1)</f>
        <v>0</v>
      </c>
      <c r="P251" s="111"/>
      <c r="Q251" s="23">
        <f>F251-G251-I251-K251</f>
        <v>967400</v>
      </c>
      <c r="R251" s="22">
        <f>F251-G251-I251-K251-M251-O251</f>
        <v>899690</v>
      </c>
      <c r="S251" s="21"/>
      <c r="T251" s="20">
        <f>F251*T250</f>
        <v>111650.00000000001</v>
      </c>
      <c r="U251" s="20">
        <f>F251*U250</f>
        <v>0</v>
      </c>
      <c r="V251" s="20">
        <f>(F251-I251)*V250</f>
        <v>31900</v>
      </c>
      <c r="W251" s="19">
        <f>(F251*F250)*W250</f>
        <v>0</v>
      </c>
      <c r="X251" s="19">
        <f>G251*X250</f>
        <v>0</v>
      </c>
      <c r="Y251" s="19">
        <f>I251*Y250</f>
        <v>0</v>
      </c>
      <c r="Z251" s="19">
        <f>K251*Z250</f>
        <v>500000</v>
      </c>
      <c r="AA251" s="19">
        <f>M251*AA250</f>
        <v>33855</v>
      </c>
      <c r="AB251" s="19">
        <v>0</v>
      </c>
      <c r="AC251" s="16">
        <v>6000</v>
      </c>
      <c r="AD251" s="18">
        <f>F251-T251-U251-V251-W251-AA251-X251-Y251-Z251-AB251</f>
        <v>917595</v>
      </c>
      <c r="AE251" s="18">
        <f>F251-T251-U251-V251-W251-X251-Y251-Z251-AA251-AB251-AC251</f>
        <v>911595</v>
      </c>
      <c r="AF251" s="17">
        <f>AE251-AG251</f>
        <v>-296405</v>
      </c>
      <c r="AG251" s="16">
        <v>1208000</v>
      </c>
      <c r="AH251" s="15">
        <f>AF251/AG251</f>
        <v>-0.2453683774834437</v>
      </c>
      <c r="AI251" s="14">
        <f>1-R251/(AG251-AM251-AN251-AO251)</f>
        <v>-4.858974358974355E-2</v>
      </c>
      <c r="AJ251" s="114">
        <f>(1-R251/F251)-(1-(AD251)/F251)</f>
        <v>1.1225705329153568E-2</v>
      </c>
      <c r="AK251" s="115"/>
      <c r="AM251" s="13">
        <v>350000</v>
      </c>
      <c r="AN251" s="12"/>
      <c r="AO251" s="12"/>
      <c r="AP251" s="12"/>
      <c r="AQ251" s="11">
        <f>AE251-(AG251-AM251-AN251-AO251-AP251)</f>
        <v>53595</v>
      </c>
      <c r="AR251" s="8">
        <f>AQ251/AG251</f>
        <v>4.4366721854304639E-2</v>
      </c>
      <c r="AT251" s="10">
        <v>0</v>
      </c>
      <c r="AU251" s="10">
        <v>0</v>
      </c>
      <c r="AV251" s="9">
        <f>AQ251-AT251-AU251</f>
        <v>53595</v>
      </c>
      <c r="AW251" s="8">
        <f>AV251/AG251</f>
        <v>4.4366721854304639E-2</v>
      </c>
      <c r="AY251" s="7"/>
      <c r="AZ251" s="50"/>
      <c r="BA251" s="52"/>
      <c r="BB251" s="7"/>
    </row>
    <row r="252" spans="1:54" ht="16.5" customHeight="1" x14ac:dyDescent="0.3">
      <c r="E252" s="5">
        <v>1299000</v>
      </c>
      <c r="F252" s="4">
        <f>ROUNDDOWN(E252/(1-F250),-1)</f>
        <v>1299000</v>
      </c>
      <c r="G252" s="105">
        <f>ROUNDDOWN(IF(F252*G250&gt;H250,H250,F252*G250),-1)</f>
        <v>103920</v>
      </c>
      <c r="H252" s="105"/>
      <c r="J252" s="54">
        <f>F251*4%</f>
        <v>63800</v>
      </c>
      <c r="X252" s="3">
        <f>G252*X250</f>
        <v>0</v>
      </c>
      <c r="Y252" s="3"/>
      <c r="Z252" s="3"/>
      <c r="AG252" s="57"/>
    </row>
    <row r="253" spans="1:54" ht="16.5" customHeight="1" x14ac:dyDescent="0.3">
      <c r="E253" s="5"/>
      <c r="F253" s="4"/>
      <c r="G253" s="42"/>
      <c r="H253" s="42"/>
      <c r="J253" s="54"/>
      <c r="X253" s="3"/>
      <c r="Y253" s="3"/>
      <c r="Z253" s="3"/>
      <c r="AG253" s="5"/>
    </row>
    <row r="254" spans="1:54" ht="16.5" customHeight="1" x14ac:dyDescent="0.3">
      <c r="E254" s="5"/>
      <c r="F254" s="4"/>
      <c r="G254" s="42"/>
      <c r="H254" s="42"/>
      <c r="J254" s="54"/>
      <c r="X254" s="3"/>
      <c r="Y254" s="3"/>
      <c r="Z254" s="3"/>
      <c r="AG254" s="5"/>
    </row>
    <row r="255" spans="1:54" ht="27" customHeight="1" x14ac:dyDescent="0.3">
      <c r="A255" s="124" t="s">
        <v>34</v>
      </c>
      <c r="B255" s="127" t="s">
        <v>70</v>
      </c>
      <c r="C255" s="128"/>
      <c r="D255" s="128"/>
      <c r="E255" s="128"/>
      <c r="F255" s="128"/>
      <c r="G255" s="128"/>
      <c r="H255" s="128"/>
      <c r="I255" s="128"/>
      <c r="J255" s="128"/>
      <c r="K255" s="128"/>
      <c r="L255" s="128"/>
      <c r="M255" s="128"/>
      <c r="N255" s="128"/>
      <c r="O255" s="128"/>
      <c r="P255" s="128"/>
      <c r="Q255" s="128"/>
      <c r="R255" s="129"/>
      <c r="T255" s="130" t="s">
        <v>33</v>
      </c>
      <c r="U255" s="131"/>
      <c r="V255" s="131"/>
      <c r="W255" s="131"/>
      <c r="X255" s="131"/>
      <c r="Y255" s="131"/>
      <c r="Z255" s="131"/>
      <c r="AA255" s="131"/>
      <c r="AB255" s="131"/>
      <c r="AC255" s="131"/>
      <c r="AD255" s="131"/>
      <c r="AE255" s="131"/>
      <c r="AF255" s="131"/>
      <c r="AG255" s="131"/>
      <c r="AH255" s="132"/>
      <c r="AI255" s="37"/>
      <c r="AM255" s="130" t="s">
        <v>32</v>
      </c>
      <c r="AN255" s="131"/>
      <c r="AO255" s="131"/>
      <c r="AP255" s="131"/>
      <c r="AQ255" s="131"/>
      <c r="AR255" s="132"/>
      <c r="AT255" s="130" t="s">
        <v>31</v>
      </c>
      <c r="AU255" s="131"/>
      <c r="AV255" s="131"/>
      <c r="AW255" s="132"/>
      <c r="AY255" s="36" t="s">
        <v>36</v>
      </c>
      <c r="AZ255" s="48"/>
      <c r="BA255" s="52"/>
      <c r="BB255" s="36"/>
    </row>
    <row r="256" spans="1:54" ht="32.25" customHeight="1" x14ac:dyDescent="0.3">
      <c r="A256" s="125"/>
      <c r="B256" s="133" t="s">
        <v>30</v>
      </c>
      <c r="C256" s="133" t="s">
        <v>29</v>
      </c>
      <c r="D256" s="116" t="s">
        <v>28</v>
      </c>
      <c r="E256" s="116" t="s">
        <v>27</v>
      </c>
      <c r="F256" s="34" t="s">
        <v>26</v>
      </c>
      <c r="G256" s="122" t="s">
        <v>63</v>
      </c>
      <c r="H256" s="123"/>
      <c r="I256" s="122" t="s">
        <v>50</v>
      </c>
      <c r="J256" s="123"/>
      <c r="K256" s="122" t="s">
        <v>62</v>
      </c>
      <c r="L256" s="123"/>
      <c r="M256" s="122" t="s">
        <v>25</v>
      </c>
      <c r="N256" s="123"/>
      <c r="O256" s="122" t="s">
        <v>24</v>
      </c>
      <c r="P256" s="123"/>
      <c r="Q256" s="106" t="s">
        <v>23</v>
      </c>
      <c r="R256" s="106" t="s">
        <v>22</v>
      </c>
      <c r="S256" s="21"/>
      <c r="T256" s="34" t="s">
        <v>21</v>
      </c>
      <c r="U256" s="34" t="s">
        <v>20</v>
      </c>
      <c r="V256" s="34" t="s">
        <v>69</v>
      </c>
      <c r="W256" s="34" t="s">
        <v>19</v>
      </c>
      <c r="X256" s="34" t="s">
        <v>18</v>
      </c>
      <c r="Y256" s="34" t="s">
        <v>48</v>
      </c>
      <c r="Z256" s="34" t="s">
        <v>49</v>
      </c>
      <c r="AA256" s="34" t="s">
        <v>17</v>
      </c>
      <c r="AB256" s="106" t="s">
        <v>16</v>
      </c>
      <c r="AC256" s="106" t="s">
        <v>15</v>
      </c>
      <c r="AD256" s="106" t="s">
        <v>14</v>
      </c>
      <c r="AE256" s="106" t="s">
        <v>13</v>
      </c>
      <c r="AF256" s="106" t="s">
        <v>12</v>
      </c>
      <c r="AG256" s="116" t="s">
        <v>11</v>
      </c>
      <c r="AH256" s="118" t="s">
        <v>10</v>
      </c>
      <c r="AI256" s="120" t="s">
        <v>9</v>
      </c>
      <c r="AJ256" s="35">
        <f>(1-R258/F258)</f>
        <v>0.47209302325581393</v>
      </c>
      <c r="AK256" s="35">
        <f>1-(AD258+AM258)/F258</f>
        <v>0.22262156448202963</v>
      </c>
      <c r="AM256" s="106" t="s">
        <v>8</v>
      </c>
      <c r="AN256" s="106" t="s">
        <v>7</v>
      </c>
      <c r="AO256" s="106" t="s">
        <v>37</v>
      </c>
      <c r="AP256" s="106" t="s">
        <v>38</v>
      </c>
      <c r="AQ256" s="106" t="s">
        <v>6</v>
      </c>
      <c r="AR256" s="106" t="s">
        <v>5</v>
      </c>
      <c r="AT256" s="106" t="s">
        <v>4</v>
      </c>
      <c r="AU256" s="106" t="s">
        <v>3</v>
      </c>
      <c r="AV256" s="106" t="s">
        <v>2</v>
      </c>
      <c r="AW256" s="106" t="s">
        <v>1</v>
      </c>
      <c r="AY256" s="106"/>
      <c r="AZ256" s="108"/>
      <c r="BA256" s="52"/>
      <c r="BB256" s="106"/>
    </row>
    <row r="257" spans="1:54" ht="27" customHeight="1" x14ac:dyDescent="0.3">
      <c r="A257" s="126"/>
      <c r="B257" s="134"/>
      <c r="C257" s="134"/>
      <c r="D257" s="117"/>
      <c r="E257" s="117"/>
      <c r="F257" s="31">
        <v>0</v>
      </c>
      <c r="G257" s="33">
        <v>0.08</v>
      </c>
      <c r="H257" s="32">
        <v>1000000</v>
      </c>
      <c r="I257" s="31">
        <v>1</v>
      </c>
      <c r="J257" s="32">
        <v>0</v>
      </c>
      <c r="K257" s="31">
        <v>1</v>
      </c>
      <c r="L257" s="32">
        <v>500000</v>
      </c>
      <c r="M257" s="31">
        <v>7.0000000000000007E-2</v>
      </c>
      <c r="N257" s="32">
        <v>70000</v>
      </c>
      <c r="O257" s="31">
        <v>0</v>
      </c>
      <c r="P257" s="32">
        <v>0</v>
      </c>
      <c r="Q257" s="107"/>
      <c r="R257" s="107"/>
      <c r="S257" s="21"/>
      <c r="T257" s="31">
        <f>IF(C258="노트북",7%,IF(C258="저장&amp;주변기기",9%,IF(C258="모니터",7%)))</f>
        <v>7.0000000000000007E-2</v>
      </c>
      <c r="U257" s="31">
        <v>0</v>
      </c>
      <c r="V257" s="31">
        <v>0.02</v>
      </c>
      <c r="W257" s="31">
        <f>IF(G257=0%,20%,0%)</f>
        <v>0</v>
      </c>
      <c r="X257" s="30">
        <v>0</v>
      </c>
      <c r="Y257" s="30">
        <v>1</v>
      </c>
      <c r="Z257" s="53">
        <v>1</v>
      </c>
      <c r="AA257" s="29">
        <v>0.5</v>
      </c>
      <c r="AB257" s="107"/>
      <c r="AC257" s="107"/>
      <c r="AD257" s="107"/>
      <c r="AE257" s="107"/>
      <c r="AF257" s="107"/>
      <c r="AG257" s="117"/>
      <c r="AH257" s="119"/>
      <c r="AI257" s="121"/>
      <c r="AJ257" s="55" t="s">
        <v>52</v>
      </c>
      <c r="AK257" s="56">
        <f>AJ256-AK256</f>
        <v>0.24947145877378429</v>
      </c>
      <c r="AM257" s="107"/>
      <c r="AN257" s="107"/>
      <c r="AO257" s="107"/>
      <c r="AP257" s="107"/>
      <c r="AQ257" s="107"/>
      <c r="AR257" s="107"/>
      <c r="AS257" s="39"/>
      <c r="AT257" s="107"/>
      <c r="AU257" s="107"/>
      <c r="AV257" s="107"/>
      <c r="AW257" s="107"/>
      <c r="AY257" s="107"/>
      <c r="AZ257" s="109"/>
      <c r="BA257" s="52"/>
      <c r="BB257" s="107"/>
    </row>
    <row r="258" spans="1:54" ht="27" customHeight="1" x14ac:dyDescent="0.3">
      <c r="A258" s="51" t="s">
        <v>65</v>
      </c>
      <c r="B258" s="38" t="s">
        <v>35</v>
      </c>
      <c r="C258" s="27" t="s">
        <v>0</v>
      </c>
      <c r="D258" s="26">
        <v>4578283620</v>
      </c>
      <c r="E258" s="25">
        <v>1419000</v>
      </c>
      <c r="F258" s="24">
        <f>ROUNDDOWN(E258/(1-F257),-1)</f>
        <v>1419000</v>
      </c>
      <c r="G258" s="110">
        <f>ROUNDDOWN(IF(F258*G257&gt;H257,H257,F258*G257),-1)</f>
        <v>113520</v>
      </c>
      <c r="H258" s="111"/>
      <c r="I258" s="112">
        <f>ROUNDDOWN(IF(F258*I257&gt;J257,J257,F258*I257),-1)</f>
        <v>0</v>
      </c>
      <c r="J258" s="113"/>
      <c r="K258" s="112">
        <f>ROUNDDOWN(IF(F258*K257&gt;L257,L257,F258*K257),-1)</f>
        <v>500000</v>
      </c>
      <c r="L258" s="113"/>
      <c r="M258" s="110">
        <f>ROUNDDOWN(IF(Q258*M257&gt;N257,N257,Q258*M257),-1)</f>
        <v>56380</v>
      </c>
      <c r="N258" s="111"/>
      <c r="O258" s="110">
        <f>ROUNDDOWN(IF(F258*O257&gt;P257,P257,F258*O257),-1)</f>
        <v>0</v>
      </c>
      <c r="P258" s="111"/>
      <c r="Q258" s="23">
        <f>F258-G258-I258-K258</f>
        <v>805480</v>
      </c>
      <c r="R258" s="22">
        <f>F258-G258-I258-K258-M258-O258</f>
        <v>749100</v>
      </c>
      <c r="S258" s="21"/>
      <c r="T258" s="20">
        <f>F258*T257</f>
        <v>99330.000000000015</v>
      </c>
      <c r="U258" s="20">
        <f>F258*U257</f>
        <v>0</v>
      </c>
      <c r="V258" s="20">
        <f>(F258-I258)*V257</f>
        <v>28380</v>
      </c>
      <c r="W258" s="19">
        <f>(F258*F257)*W257</f>
        <v>0</v>
      </c>
      <c r="X258" s="19">
        <f>G258*X257</f>
        <v>0</v>
      </c>
      <c r="Y258" s="19">
        <f>I258*Y257</f>
        <v>0</v>
      </c>
      <c r="Z258" s="19">
        <f>K258*Z257</f>
        <v>500000</v>
      </c>
      <c r="AA258" s="19">
        <f>M258*AA257</f>
        <v>28190</v>
      </c>
      <c r="AB258" s="19">
        <v>0</v>
      </c>
      <c r="AC258" s="16">
        <v>6000</v>
      </c>
      <c r="AD258" s="18">
        <f>F258-T258-U258-V258-W258-AA258-X258-Y258-Z258-AB258</f>
        <v>763100</v>
      </c>
      <c r="AE258" s="18">
        <f>F258-T258-U258-V258-W258-X258-Y258-Z258-AA258-AB258-AC258</f>
        <v>757100</v>
      </c>
      <c r="AF258" s="17">
        <f>AE258-AG258</f>
        <v>-310900</v>
      </c>
      <c r="AG258" s="16">
        <v>1068000</v>
      </c>
      <c r="AH258" s="15">
        <f>AF258/AG258</f>
        <v>-0.29110486891385767</v>
      </c>
      <c r="AI258" s="14">
        <f>1-R258/(AG258-AM258-AN258-AO258)</f>
        <v>-2.8983516483516381E-2</v>
      </c>
      <c r="AJ258" s="114">
        <f>(1-R258/F258)-(1-(AD258)/F258)</f>
        <v>9.86610288935863E-3</v>
      </c>
      <c r="AK258" s="115"/>
      <c r="AM258" s="13">
        <v>340000</v>
      </c>
      <c r="AN258" s="12"/>
      <c r="AO258" s="12"/>
      <c r="AP258" s="12"/>
      <c r="AQ258" s="11">
        <f>AE258-(AG258-AM258-AN258-AO258-AP258)</f>
        <v>29100</v>
      </c>
      <c r="AR258" s="8">
        <f>AQ258/AG258</f>
        <v>2.7247191011235954E-2</v>
      </c>
      <c r="AT258" s="10">
        <v>0</v>
      </c>
      <c r="AU258" s="10">
        <v>0</v>
      </c>
      <c r="AV258" s="9">
        <f>AQ258-AT258-AU258</f>
        <v>29100</v>
      </c>
      <c r="AW258" s="8">
        <f>AV258/AG258</f>
        <v>2.7247191011235954E-2</v>
      </c>
      <c r="AY258" s="7"/>
      <c r="AZ258" s="50"/>
      <c r="BA258" s="52"/>
      <c r="BB258" s="7"/>
    </row>
    <row r="259" spans="1:54" ht="16.5" customHeight="1" x14ac:dyDescent="0.3">
      <c r="E259" s="5">
        <v>1149000</v>
      </c>
      <c r="F259" s="4">
        <f>ROUNDDOWN(E259/(1-F257),-1)</f>
        <v>1149000</v>
      </c>
      <c r="G259" s="105">
        <f>ROUNDDOWN(IF(F259*G257&gt;H257,H257,F259*G257),-1)</f>
        <v>91920</v>
      </c>
      <c r="H259" s="105"/>
      <c r="J259" s="54">
        <f>F258*4%</f>
        <v>56760</v>
      </c>
      <c r="X259" s="3">
        <f>G259*X257</f>
        <v>0</v>
      </c>
      <c r="Y259" s="3"/>
      <c r="Z259" s="3"/>
      <c r="AG259" s="57"/>
    </row>
    <row r="260" spans="1:54" ht="16.5" customHeight="1" x14ac:dyDescent="0.3">
      <c r="E260" s="5"/>
      <c r="F260" s="4"/>
      <c r="G260" s="42"/>
      <c r="H260" s="42"/>
      <c r="J260" s="54"/>
      <c r="X260" s="3"/>
      <c r="Y260" s="3"/>
      <c r="Z260" s="3"/>
      <c r="AG260" s="5"/>
    </row>
    <row r="261" spans="1:54" ht="16.5" customHeight="1" x14ac:dyDescent="0.3">
      <c r="E261" s="5"/>
      <c r="F261" s="4"/>
      <c r="G261" s="42"/>
      <c r="H261" s="42"/>
      <c r="J261" s="54"/>
      <c r="X261" s="3"/>
      <c r="Y261" s="3"/>
      <c r="Z261" s="3"/>
      <c r="AG261" s="5"/>
    </row>
    <row r="262" spans="1:54" ht="27" customHeight="1" x14ac:dyDescent="0.3">
      <c r="A262" s="124" t="s">
        <v>34</v>
      </c>
      <c r="B262" s="127" t="s">
        <v>70</v>
      </c>
      <c r="C262" s="128"/>
      <c r="D262" s="128"/>
      <c r="E262" s="128"/>
      <c r="F262" s="128"/>
      <c r="G262" s="128"/>
      <c r="H262" s="128"/>
      <c r="I262" s="128"/>
      <c r="J262" s="128"/>
      <c r="K262" s="128"/>
      <c r="L262" s="128"/>
      <c r="M262" s="128"/>
      <c r="N262" s="128"/>
      <c r="O262" s="128"/>
      <c r="P262" s="128"/>
      <c r="Q262" s="128"/>
      <c r="R262" s="129"/>
      <c r="T262" s="130" t="s">
        <v>33</v>
      </c>
      <c r="U262" s="131"/>
      <c r="V262" s="131"/>
      <c r="W262" s="131"/>
      <c r="X262" s="131"/>
      <c r="Y262" s="131"/>
      <c r="Z262" s="131"/>
      <c r="AA262" s="131"/>
      <c r="AB262" s="131"/>
      <c r="AC262" s="131"/>
      <c r="AD262" s="131"/>
      <c r="AE262" s="131"/>
      <c r="AF262" s="131"/>
      <c r="AG262" s="131"/>
      <c r="AH262" s="132"/>
      <c r="AI262" s="37"/>
      <c r="AM262" s="130" t="s">
        <v>32</v>
      </c>
      <c r="AN262" s="131"/>
      <c r="AO262" s="131"/>
      <c r="AP262" s="131"/>
      <c r="AQ262" s="131"/>
      <c r="AR262" s="132"/>
      <c r="AT262" s="130" t="s">
        <v>31</v>
      </c>
      <c r="AU262" s="131"/>
      <c r="AV262" s="131"/>
      <c r="AW262" s="132"/>
      <c r="AY262" s="36" t="s">
        <v>36</v>
      </c>
      <c r="AZ262" s="48"/>
      <c r="BA262" s="52"/>
      <c r="BB262" s="36"/>
    </row>
    <row r="263" spans="1:54" ht="32.25" customHeight="1" x14ac:dyDescent="0.3">
      <c r="A263" s="125"/>
      <c r="B263" s="133" t="s">
        <v>30</v>
      </c>
      <c r="C263" s="133" t="s">
        <v>29</v>
      </c>
      <c r="D263" s="116" t="s">
        <v>28</v>
      </c>
      <c r="E263" s="116" t="s">
        <v>27</v>
      </c>
      <c r="F263" s="34" t="s">
        <v>26</v>
      </c>
      <c r="G263" s="122" t="s">
        <v>63</v>
      </c>
      <c r="H263" s="123"/>
      <c r="I263" s="122" t="s">
        <v>50</v>
      </c>
      <c r="J263" s="123"/>
      <c r="K263" s="122" t="s">
        <v>62</v>
      </c>
      <c r="L263" s="123"/>
      <c r="M263" s="122" t="s">
        <v>25</v>
      </c>
      <c r="N263" s="123"/>
      <c r="O263" s="122" t="s">
        <v>24</v>
      </c>
      <c r="P263" s="123"/>
      <c r="Q263" s="106" t="s">
        <v>23</v>
      </c>
      <c r="R263" s="106" t="s">
        <v>22</v>
      </c>
      <c r="S263" s="21"/>
      <c r="T263" s="34" t="s">
        <v>21</v>
      </c>
      <c r="U263" s="34" t="s">
        <v>20</v>
      </c>
      <c r="V263" s="34" t="s">
        <v>69</v>
      </c>
      <c r="W263" s="34" t="s">
        <v>19</v>
      </c>
      <c r="X263" s="34" t="s">
        <v>18</v>
      </c>
      <c r="Y263" s="34" t="s">
        <v>48</v>
      </c>
      <c r="Z263" s="34" t="s">
        <v>49</v>
      </c>
      <c r="AA263" s="34" t="s">
        <v>17</v>
      </c>
      <c r="AB263" s="106" t="s">
        <v>16</v>
      </c>
      <c r="AC263" s="106" t="s">
        <v>15</v>
      </c>
      <c r="AD263" s="106" t="s">
        <v>14</v>
      </c>
      <c r="AE263" s="106" t="s">
        <v>13</v>
      </c>
      <c r="AF263" s="106" t="s">
        <v>12</v>
      </c>
      <c r="AG263" s="116" t="s">
        <v>11</v>
      </c>
      <c r="AH263" s="118" t="s">
        <v>10</v>
      </c>
      <c r="AI263" s="120" t="s">
        <v>9</v>
      </c>
      <c r="AJ263" s="35">
        <f>(1-R265/F265)</f>
        <v>0.43593103448275861</v>
      </c>
      <c r="AK263" s="35">
        <f>1-(AD265+AM265)/F265</f>
        <v>0.21153918495297808</v>
      </c>
      <c r="AM263" s="106" t="s">
        <v>8</v>
      </c>
      <c r="AN263" s="106" t="s">
        <v>7</v>
      </c>
      <c r="AO263" s="106" t="s">
        <v>37</v>
      </c>
      <c r="AP263" s="106" t="s">
        <v>38</v>
      </c>
      <c r="AQ263" s="106" t="s">
        <v>6</v>
      </c>
      <c r="AR263" s="106" t="s">
        <v>5</v>
      </c>
      <c r="AT263" s="106" t="s">
        <v>4</v>
      </c>
      <c r="AU263" s="106" t="s">
        <v>3</v>
      </c>
      <c r="AV263" s="106" t="s">
        <v>2</v>
      </c>
      <c r="AW263" s="106" t="s">
        <v>1</v>
      </c>
      <c r="AY263" s="106"/>
      <c r="AZ263" s="108"/>
      <c r="BA263" s="52"/>
      <c r="BB263" s="106"/>
    </row>
    <row r="264" spans="1:54" ht="27" customHeight="1" x14ac:dyDescent="0.3">
      <c r="A264" s="126"/>
      <c r="B264" s="134"/>
      <c r="C264" s="134"/>
      <c r="D264" s="117"/>
      <c r="E264" s="117"/>
      <c r="F264" s="31">
        <v>0</v>
      </c>
      <c r="G264" s="33">
        <v>0.08</v>
      </c>
      <c r="H264" s="32">
        <v>1000000</v>
      </c>
      <c r="I264" s="31">
        <v>1</v>
      </c>
      <c r="J264" s="32">
        <v>0</v>
      </c>
      <c r="K264" s="31">
        <v>1</v>
      </c>
      <c r="L264" s="32">
        <v>500000</v>
      </c>
      <c r="M264" s="31">
        <v>7.0000000000000007E-2</v>
      </c>
      <c r="N264" s="32">
        <v>70000</v>
      </c>
      <c r="O264" s="31">
        <v>0</v>
      </c>
      <c r="P264" s="32">
        <v>0</v>
      </c>
      <c r="Q264" s="107"/>
      <c r="R264" s="107"/>
      <c r="S264" s="21"/>
      <c r="T264" s="31">
        <f>IF(C265="노트북",7%,IF(C265="저장&amp;주변기기",9%,IF(C265="모니터",7%)))</f>
        <v>7.0000000000000007E-2</v>
      </c>
      <c r="U264" s="31">
        <v>0</v>
      </c>
      <c r="V264" s="31">
        <v>0.02</v>
      </c>
      <c r="W264" s="31">
        <f>IF(G264=0%,20%,0%)</f>
        <v>0</v>
      </c>
      <c r="X264" s="30">
        <v>0</v>
      </c>
      <c r="Y264" s="30">
        <v>1</v>
      </c>
      <c r="Z264" s="53">
        <v>1</v>
      </c>
      <c r="AA264" s="29">
        <v>0.5</v>
      </c>
      <c r="AB264" s="107"/>
      <c r="AC264" s="107"/>
      <c r="AD264" s="107"/>
      <c r="AE264" s="107"/>
      <c r="AF264" s="107"/>
      <c r="AG264" s="117"/>
      <c r="AH264" s="119"/>
      <c r="AI264" s="121"/>
      <c r="AJ264" s="55" t="s">
        <v>52</v>
      </c>
      <c r="AK264" s="56">
        <f>AJ263-AK263</f>
        <v>0.22439184952978053</v>
      </c>
      <c r="AM264" s="107"/>
      <c r="AN264" s="107"/>
      <c r="AO264" s="107"/>
      <c r="AP264" s="107"/>
      <c r="AQ264" s="107"/>
      <c r="AR264" s="107"/>
      <c r="AS264" s="39"/>
      <c r="AT264" s="107"/>
      <c r="AU264" s="107"/>
      <c r="AV264" s="107"/>
      <c r="AW264" s="107"/>
      <c r="AY264" s="107"/>
      <c r="AZ264" s="109"/>
      <c r="BA264" s="52"/>
      <c r="BB264" s="107"/>
    </row>
    <row r="265" spans="1:54" ht="27" customHeight="1" x14ac:dyDescent="0.3">
      <c r="A265" s="51" t="s">
        <v>66</v>
      </c>
      <c r="B265" s="38" t="s">
        <v>35</v>
      </c>
      <c r="C265" s="27" t="s">
        <v>0</v>
      </c>
      <c r="D265" s="26">
        <v>4578292820</v>
      </c>
      <c r="E265" s="25">
        <v>1595000</v>
      </c>
      <c r="F265" s="24">
        <f>ROUNDDOWN(E265/(1-F264),-1)</f>
        <v>1595000</v>
      </c>
      <c r="G265" s="110">
        <f>ROUNDDOWN(IF(F265*G264&gt;H264,H264,F265*G264),-1)</f>
        <v>127600</v>
      </c>
      <c r="H265" s="111"/>
      <c r="I265" s="112">
        <f>ROUNDDOWN(IF(F265*I264&gt;J264,J264,F265*I264),-1)</f>
        <v>0</v>
      </c>
      <c r="J265" s="113"/>
      <c r="K265" s="112">
        <f>ROUNDDOWN(IF(F265*K264&gt;L264,L264,F265*K264),-1)</f>
        <v>500000</v>
      </c>
      <c r="L265" s="113"/>
      <c r="M265" s="110">
        <f>ROUNDDOWN(IF(Q265*M264&gt;N264,N264,Q265*M264),-1)</f>
        <v>67710</v>
      </c>
      <c r="N265" s="111"/>
      <c r="O265" s="110">
        <f>ROUNDDOWN(IF(F265*O264&gt;P264,P264,F265*O264),-1)</f>
        <v>0</v>
      </c>
      <c r="P265" s="111"/>
      <c r="Q265" s="23">
        <f>F265-G265-I265-K265</f>
        <v>967400</v>
      </c>
      <c r="R265" s="22">
        <f>F265-G265-I265-K265-M265-O265</f>
        <v>899690</v>
      </c>
      <c r="S265" s="21"/>
      <c r="T265" s="20">
        <f>F265*T264</f>
        <v>111650.00000000001</v>
      </c>
      <c r="U265" s="20">
        <f>F265*U264</f>
        <v>0</v>
      </c>
      <c r="V265" s="20">
        <f>(F265-I265)*V264</f>
        <v>31900</v>
      </c>
      <c r="W265" s="19">
        <f>(F265*F264)*W264</f>
        <v>0</v>
      </c>
      <c r="X265" s="19">
        <f>G265*X264</f>
        <v>0</v>
      </c>
      <c r="Y265" s="19">
        <f>I265*Y264</f>
        <v>0</v>
      </c>
      <c r="Z265" s="19">
        <f>K265*Z264</f>
        <v>500000</v>
      </c>
      <c r="AA265" s="19">
        <f>M265*AA264</f>
        <v>33855</v>
      </c>
      <c r="AB265" s="19">
        <v>0</v>
      </c>
      <c r="AC265" s="16">
        <v>6000</v>
      </c>
      <c r="AD265" s="18">
        <f>F265-T265-U265-V265-W265-AA265-X265-Y265-Z265-AB265</f>
        <v>917595</v>
      </c>
      <c r="AE265" s="18">
        <f>F265-T265-U265-V265-W265-X265-Y265-Z265-AA265-AB265-AC265</f>
        <v>911595</v>
      </c>
      <c r="AF265" s="17">
        <f>AE265-AG265</f>
        <v>-296405</v>
      </c>
      <c r="AG265" s="16">
        <v>1208000</v>
      </c>
      <c r="AH265" s="15">
        <f>AF265/AG265</f>
        <v>-0.2453683774834437</v>
      </c>
      <c r="AI265" s="14">
        <f>1-R265/(AG265-AM265-AN265-AO265)</f>
        <v>-3.6509216589861726E-2</v>
      </c>
      <c r="AJ265" s="114">
        <f>(1-R265/F265)-(1-(AD265)/F265)</f>
        <v>1.1225705329153568E-2</v>
      </c>
      <c r="AK265" s="115"/>
      <c r="AM265" s="13">
        <v>340000</v>
      </c>
      <c r="AN265" s="12"/>
      <c r="AO265" s="12"/>
      <c r="AP265" s="12"/>
      <c r="AQ265" s="11">
        <f>AE265-(AG265-AM265-AN265-AO265-AP265)</f>
        <v>43595</v>
      </c>
      <c r="AR265" s="8">
        <f>AQ265/AG265</f>
        <v>3.60885761589404E-2</v>
      </c>
      <c r="AT265" s="10">
        <v>0</v>
      </c>
      <c r="AU265" s="10">
        <v>0</v>
      </c>
      <c r="AV265" s="9">
        <f>AQ265-AT265-AU265</f>
        <v>43595</v>
      </c>
      <c r="AW265" s="8">
        <f>AV265/AG265</f>
        <v>3.60885761589404E-2</v>
      </c>
      <c r="AY265" s="7"/>
      <c r="AZ265" s="50"/>
      <c r="BA265" s="52"/>
      <c r="BB265" s="7"/>
    </row>
    <row r="266" spans="1:54" ht="16.5" customHeight="1" x14ac:dyDescent="0.3">
      <c r="E266" s="5">
        <v>1299000</v>
      </c>
      <c r="F266" s="4">
        <f>ROUNDDOWN(E266/(1-F264),-1)</f>
        <v>1299000</v>
      </c>
      <c r="G266" s="105">
        <f>ROUNDDOWN(IF(F266*G264&gt;H264,H264,F266*G264),-1)</f>
        <v>103920</v>
      </c>
      <c r="H266" s="105"/>
      <c r="J266" s="54">
        <f>F265*4%</f>
        <v>63800</v>
      </c>
      <c r="X266" s="3">
        <f>G266*X264</f>
        <v>0</v>
      </c>
      <c r="Y266" s="3"/>
      <c r="Z266" s="3"/>
      <c r="AG266" s="57"/>
    </row>
    <row r="267" spans="1:54" ht="16.5" customHeight="1" x14ac:dyDescent="0.3">
      <c r="E267" s="5"/>
      <c r="F267" s="4"/>
      <c r="G267" s="42"/>
      <c r="H267" s="42"/>
      <c r="J267" s="54"/>
      <c r="X267" s="3"/>
      <c r="Y267" s="3"/>
      <c r="Z267" s="3"/>
      <c r="AG267" s="5"/>
    </row>
    <row r="269" spans="1:54" ht="27" customHeight="1" x14ac:dyDescent="0.3">
      <c r="A269" s="124" t="s">
        <v>34</v>
      </c>
      <c r="B269" s="127" t="s">
        <v>70</v>
      </c>
      <c r="C269" s="128"/>
      <c r="D269" s="128"/>
      <c r="E269" s="128"/>
      <c r="F269" s="128"/>
      <c r="G269" s="128"/>
      <c r="H269" s="128"/>
      <c r="I269" s="128"/>
      <c r="J269" s="128"/>
      <c r="K269" s="128"/>
      <c r="L269" s="128"/>
      <c r="M269" s="128"/>
      <c r="N269" s="128"/>
      <c r="O269" s="128"/>
      <c r="P269" s="128"/>
      <c r="Q269" s="128"/>
      <c r="R269" s="129"/>
      <c r="T269" s="130" t="s">
        <v>33</v>
      </c>
      <c r="U269" s="131"/>
      <c r="V269" s="131"/>
      <c r="W269" s="131"/>
      <c r="X269" s="131"/>
      <c r="Y269" s="131"/>
      <c r="Z269" s="131"/>
      <c r="AA269" s="131"/>
      <c r="AB269" s="131"/>
      <c r="AC269" s="131"/>
      <c r="AD269" s="131"/>
      <c r="AE269" s="131"/>
      <c r="AF269" s="131"/>
      <c r="AG269" s="131"/>
      <c r="AH269" s="132"/>
      <c r="AI269" s="37"/>
      <c r="AM269" s="130" t="s">
        <v>32</v>
      </c>
      <c r="AN269" s="131"/>
      <c r="AO269" s="131"/>
      <c r="AP269" s="131"/>
      <c r="AQ269" s="131"/>
      <c r="AR269" s="132"/>
      <c r="AT269" s="130" t="s">
        <v>31</v>
      </c>
      <c r="AU269" s="131"/>
      <c r="AV269" s="131"/>
      <c r="AW269" s="132"/>
      <c r="AY269" s="36" t="s">
        <v>36</v>
      </c>
      <c r="AZ269" s="48"/>
      <c r="BA269" s="52"/>
      <c r="BB269" s="36"/>
    </row>
    <row r="270" spans="1:54" ht="32.25" customHeight="1" x14ac:dyDescent="0.3">
      <c r="A270" s="125"/>
      <c r="B270" s="133" t="s">
        <v>30</v>
      </c>
      <c r="C270" s="133" t="s">
        <v>29</v>
      </c>
      <c r="D270" s="116" t="s">
        <v>28</v>
      </c>
      <c r="E270" s="116" t="s">
        <v>27</v>
      </c>
      <c r="F270" s="34" t="s">
        <v>26</v>
      </c>
      <c r="G270" s="122" t="s">
        <v>63</v>
      </c>
      <c r="H270" s="123"/>
      <c r="I270" s="122" t="s">
        <v>50</v>
      </c>
      <c r="J270" s="123"/>
      <c r="K270" s="122" t="s">
        <v>62</v>
      </c>
      <c r="L270" s="123"/>
      <c r="M270" s="122" t="s">
        <v>25</v>
      </c>
      <c r="N270" s="123"/>
      <c r="O270" s="122" t="s">
        <v>24</v>
      </c>
      <c r="P270" s="123"/>
      <c r="Q270" s="106" t="s">
        <v>23</v>
      </c>
      <c r="R270" s="106" t="s">
        <v>22</v>
      </c>
      <c r="S270" s="21"/>
      <c r="T270" s="34" t="s">
        <v>21</v>
      </c>
      <c r="U270" s="34" t="s">
        <v>20</v>
      </c>
      <c r="V270" s="34" t="s">
        <v>69</v>
      </c>
      <c r="W270" s="34" t="s">
        <v>19</v>
      </c>
      <c r="X270" s="34" t="s">
        <v>18</v>
      </c>
      <c r="Y270" s="34" t="s">
        <v>48</v>
      </c>
      <c r="Z270" s="34" t="s">
        <v>49</v>
      </c>
      <c r="AA270" s="34" t="s">
        <v>17</v>
      </c>
      <c r="AB270" s="106" t="s">
        <v>16</v>
      </c>
      <c r="AC270" s="106" t="s">
        <v>15</v>
      </c>
      <c r="AD270" s="106" t="s">
        <v>14</v>
      </c>
      <c r="AE270" s="106" t="s">
        <v>13</v>
      </c>
      <c r="AF270" s="106" t="s">
        <v>12</v>
      </c>
      <c r="AG270" s="116" t="s">
        <v>11</v>
      </c>
      <c r="AH270" s="118" t="s">
        <v>10</v>
      </c>
      <c r="AI270" s="120" t="s">
        <v>9</v>
      </c>
      <c r="AJ270" s="35">
        <f>(1-R272/F272)</f>
        <v>0.41197437390797909</v>
      </c>
      <c r="AK270" s="35">
        <f>1-(AD272+AM272)/F272</f>
        <v>0.1977460687245195</v>
      </c>
      <c r="AM270" s="106" t="s">
        <v>8</v>
      </c>
      <c r="AN270" s="106" t="s">
        <v>7</v>
      </c>
      <c r="AO270" s="106" t="s">
        <v>37</v>
      </c>
      <c r="AP270" s="106" t="s">
        <v>38</v>
      </c>
      <c r="AQ270" s="106" t="s">
        <v>6</v>
      </c>
      <c r="AR270" s="106" t="s">
        <v>5</v>
      </c>
      <c r="AT270" s="106" t="s">
        <v>4</v>
      </c>
      <c r="AU270" s="106" t="s">
        <v>3</v>
      </c>
      <c r="AV270" s="106" t="s">
        <v>2</v>
      </c>
      <c r="AW270" s="106" t="s">
        <v>1</v>
      </c>
      <c r="AY270" s="106"/>
      <c r="AZ270" s="108"/>
      <c r="BA270" s="52"/>
      <c r="BB270" s="106"/>
    </row>
    <row r="271" spans="1:54" ht="27" customHeight="1" x14ac:dyDescent="0.3">
      <c r="A271" s="126"/>
      <c r="B271" s="134"/>
      <c r="C271" s="134"/>
      <c r="D271" s="117"/>
      <c r="E271" s="117"/>
      <c r="F271" s="31">
        <v>0</v>
      </c>
      <c r="G271" s="33">
        <v>0.08</v>
      </c>
      <c r="H271" s="32">
        <v>1000000</v>
      </c>
      <c r="I271" s="31">
        <v>1</v>
      </c>
      <c r="J271" s="32">
        <v>0</v>
      </c>
      <c r="K271" s="31">
        <v>1</v>
      </c>
      <c r="L271" s="32">
        <v>500000</v>
      </c>
      <c r="M271" s="31">
        <v>7.0000000000000007E-2</v>
      </c>
      <c r="N271" s="32">
        <v>70000</v>
      </c>
      <c r="O271" s="31">
        <v>0</v>
      </c>
      <c r="P271" s="32">
        <v>0</v>
      </c>
      <c r="Q271" s="107"/>
      <c r="R271" s="107"/>
      <c r="S271" s="21"/>
      <c r="T271" s="31">
        <f>IF(C272="노트북",7%,IF(C272="저장&amp;주변기기",9%,IF(C272="모니터",7%)))</f>
        <v>7.0000000000000007E-2</v>
      </c>
      <c r="U271" s="31">
        <v>0</v>
      </c>
      <c r="V271" s="31">
        <v>0.02</v>
      </c>
      <c r="W271" s="31">
        <f>IF(G271=0%,20%,0%)</f>
        <v>0</v>
      </c>
      <c r="X271" s="30">
        <v>0</v>
      </c>
      <c r="Y271" s="30">
        <v>1</v>
      </c>
      <c r="Z271" s="53">
        <v>1</v>
      </c>
      <c r="AA271" s="29">
        <v>0.5</v>
      </c>
      <c r="AB271" s="107"/>
      <c r="AC271" s="107"/>
      <c r="AD271" s="107"/>
      <c r="AE271" s="107"/>
      <c r="AF271" s="107"/>
      <c r="AG271" s="117"/>
      <c r="AH271" s="119"/>
      <c r="AI271" s="121"/>
      <c r="AJ271" s="55" t="s">
        <v>52</v>
      </c>
      <c r="AK271" s="56">
        <f>AJ270-AK270</f>
        <v>0.21422830518345959</v>
      </c>
      <c r="AM271" s="107"/>
      <c r="AN271" s="107"/>
      <c r="AO271" s="107"/>
      <c r="AP271" s="107"/>
      <c r="AQ271" s="107"/>
      <c r="AR271" s="107"/>
      <c r="AS271" s="39"/>
      <c r="AT271" s="107"/>
      <c r="AU271" s="107"/>
      <c r="AV271" s="107"/>
      <c r="AW271" s="107"/>
      <c r="AY271" s="107"/>
      <c r="AZ271" s="109"/>
      <c r="BA271" s="52"/>
      <c r="BB271" s="107"/>
    </row>
    <row r="272" spans="1:54" ht="27" customHeight="1" x14ac:dyDescent="0.3">
      <c r="A272" s="51" t="s">
        <v>61</v>
      </c>
      <c r="B272" s="38" t="s">
        <v>35</v>
      </c>
      <c r="C272" s="27" t="s">
        <v>0</v>
      </c>
      <c r="D272" s="26">
        <v>4537330402</v>
      </c>
      <c r="E272" s="25">
        <v>1717000</v>
      </c>
      <c r="F272" s="24">
        <f>ROUNDDOWN(E272/(1-F271),-1)</f>
        <v>1717000</v>
      </c>
      <c r="G272" s="110">
        <f>ROUNDDOWN(IF(F272*G271&gt;H271,H271,F272*G271),-1)</f>
        <v>137360</v>
      </c>
      <c r="H272" s="111"/>
      <c r="I272" s="112">
        <f>ROUNDDOWN(IF(F272*I271&gt;J271,J271,F272*I271),-1)</f>
        <v>0</v>
      </c>
      <c r="J272" s="113"/>
      <c r="K272" s="112">
        <f>ROUNDDOWN(IF(F272*K271&gt;L271,L271,F272*K271),-1)</f>
        <v>500000</v>
      </c>
      <c r="L272" s="113"/>
      <c r="M272" s="110">
        <f>ROUNDDOWN(IF(Q272*M271&gt;N271,N271,Q272*M271),-1)</f>
        <v>70000</v>
      </c>
      <c r="N272" s="111"/>
      <c r="O272" s="110">
        <f>ROUNDDOWN(IF(F272*O271&gt;P271,P271,F272*O271),-1)</f>
        <v>0</v>
      </c>
      <c r="P272" s="111"/>
      <c r="Q272" s="23">
        <f>F272-G272-I272-K272</f>
        <v>1079640</v>
      </c>
      <c r="R272" s="22">
        <f>F272-G272-I272-K272-M272-O272</f>
        <v>1009640</v>
      </c>
      <c r="S272" s="21"/>
      <c r="T272" s="20">
        <f>F272*T271</f>
        <v>120190.00000000001</v>
      </c>
      <c r="U272" s="20">
        <f>F272*U271</f>
        <v>0</v>
      </c>
      <c r="V272" s="20">
        <f>(F272-I272)*V271</f>
        <v>34340</v>
      </c>
      <c r="W272" s="19">
        <f>(F272*F271)*W271</f>
        <v>0</v>
      </c>
      <c r="X272" s="19">
        <f>G272*X271</f>
        <v>0</v>
      </c>
      <c r="Y272" s="19">
        <f>I272*Y271</f>
        <v>0</v>
      </c>
      <c r="Z272" s="19">
        <f>K272*Z271</f>
        <v>500000</v>
      </c>
      <c r="AA272" s="19">
        <f>M272*AA271</f>
        <v>35000</v>
      </c>
      <c r="AB272" s="19">
        <v>0</v>
      </c>
      <c r="AC272" s="16">
        <v>6000</v>
      </c>
      <c r="AD272" s="18">
        <f>F272-T272-U272-V272-W272-AA272-X272-Y272-Z272-AB272</f>
        <v>1027470</v>
      </c>
      <c r="AE272" s="18">
        <f>F272-T272-U272-V272-W272-X272-Y272-Z272-AA272-AB272-AC272</f>
        <v>1021470</v>
      </c>
      <c r="AF272" s="17">
        <f>AE272-AG272</f>
        <v>-325530</v>
      </c>
      <c r="AG272" s="16">
        <v>1347000</v>
      </c>
      <c r="AH272" s="15">
        <f>AF272/AG272</f>
        <v>-0.24167037861915366</v>
      </c>
      <c r="AI272" s="14">
        <f>1-R272/(AG272-AM272-AN272-AO272)</f>
        <v>-1.2678034102306945E-2</v>
      </c>
      <c r="AJ272" s="114">
        <f>(1-R272/F272)-(1-(AD272)/F272)</f>
        <v>1.038439138031455E-2</v>
      </c>
      <c r="AK272" s="115"/>
      <c r="AM272" s="13">
        <v>350000</v>
      </c>
      <c r="AN272" s="12"/>
      <c r="AO272" s="12"/>
      <c r="AP272" s="12"/>
      <c r="AQ272" s="11">
        <f>AE272-(AG272-AM272-AN272-AO272-AP272)</f>
        <v>24470</v>
      </c>
      <c r="AR272" s="8">
        <f>AQ272/AG272</f>
        <v>1.8166295471417966E-2</v>
      </c>
      <c r="AT272" s="10">
        <v>0</v>
      </c>
      <c r="AU272" s="10">
        <v>0</v>
      </c>
      <c r="AV272" s="9">
        <f>AQ272-AT272-AU272</f>
        <v>24470</v>
      </c>
      <c r="AW272" s="8">
        <f>AV272/AG272</f>
        <v>1.8166295471417966E-2</v>
      </c>
      <c r="AY272" s="7"/>
      <c r="AZ272" s="50"/>
      <c r="BA272" s="52"/>
      <c r="BB272" s="7"/>
    </row>
    <row r="273" spans="1:54" ht="16.5" customHeight="1" x14ac:dyDescent="0.3">
      <c r="E273" s="5">
        <v>1449000</v>
      </c>
      <c r="F273" s="4">
        <f>ROUNDDOWN(E273/(1-F271),-1)</f>
        <v>1449000</v>
      </c>
      <c r="G273" s="105">
        <f>ROUNDDOWN(IF(F273*G271&gt;H271,H271,F273*G271),-1)</f>
        <v>115920</v>
      </c>
      <c r="H273" s="105"/>
      <c r="J273" s="54">
        <f>F272*4%</f>
        <v>68680</v>
      </c>
      <c r="X273" s="3">
        <f>G273*X271</f>
        <v>0</v>
      </c>
      <c r="Y273" s="3"/>
      <c r="Z273" s="3"/>
      <c r="AG273" s="57"/>
    </row>
    <row r="276" spans="1:54" ht="27" customHeight="1" x14ac:dyDescent="0.3">
      <c r="A276" s="124" t="s">
        <v>34</v>
      </c>
      <c r="B276" s="127" t="s">
        <v>70</v>
      </c>
      <c r="C276" s="128"/>
      <c r="D276" s="128"/>
      <c r="E276" s="128"/>
      <c r="F276" s="128"/>
      <c r="G276" s="128"/>
      <c r="H276" s="128"/>
      <c r="I276" s="128"/>
      <c r="J276" s="128"/>
      <c r="K276" s="128"/>
      <c r="L276" s="128"/>
      <c r="M276" s="128"/>
      <c r="N276" s="128"/>
      <c r="O276" s="128"/>
      <c r="P276" s="128"/>
      <c r="Q276" s="128"/>
      <c r="R276" s="129"/>
      <c r="T276" s="130" t="s">
        <v>33</v>
      </c>
      <c r="U276" s="131"/>
      <c r="V276" s="131"/>
      <c r="W276" s="131"/>
      <c r="X276" s="131"/>
      <c r="Y276" s="131"/>
      <c r="Z276" s="131"/>
      <c r="AA276" s="131"/>
      <c r="AB276" s="131"/>
      <c r="AC276" s="131"/>
      <c r="AD276" s="131"/>
      <c r="AE276" s="131"/>
      <c r="AF276" s="131"/>
      <c r="AG276" s="131"/>
      <c r="AH276" s="132"/>
      <c r="AI276" s="37"/>
      <c r="AM276" s="130" t="s">
        <v>32</v>
      </c>
      <c r="AN276" s="131"/>
      <c r="AO276" s="131"/>
      <c r="AP276" s="131"/>
      <c r="AQ276" s="131"/>
      <c r="AR276" s="132"/>
      <c r="AT276" s="130" t="s">
        <v>31</v>
      </c>
      <c r="AU276" s="131"/>
      <c r="AV276" s="131"/>
      <c r="AW276" s="132"/>
      <c r="AY276" s="36" t="s">
        <v>36</v>
      </c>
      <c r="AZ276" s="48"/>
      <c r="BA276" s="52"/>
      <c r="BB276" s="36"/>
    </row>
    <row r="277" spans="1:54" ht="32.25" customHeight="1" x14ac:dyDescent="0.3">
      <c r="A277" s="125"/>
      <c r="B277" s="133" t="s">
        <v>30</v>
      </c>
      <c r="C277" s="133" t="s">
        <v>29</v>
      </c>
      <c r="D277" s="116" t="s">
        <v>28</v>
      </c>
      <c r="E277" s="116" t="s">
        <v>27</v>
      </c>
      <c r="F277" s="34" t="s">
        <v>26</v>
      </c>
      <c r="G277" s="122" t="s">
        <v>63</v>
      </c>
      <c r="H277" s="123"/>
      <c r="I277" s="122" t="s">
        <v>50</v>
      </c>
      <c r="J277" s="123"/>
      <c r="K277" s="122" t="s">
        <v>62</v>
      </c>
      <c r="L277" s="123"/>
      <c r="M277" s="122" t="s">
        <v>25</v>
      </c>
      <c r="N277" s="123"/>
      <c r="O277" s="122" t="s">
        <v>24</v>
      </c>
      <c r="P277" s="123"/>
      <c r="Q277" s="106" t="s">
        <v>23</v>
      </c>
      <c r="R277" s="106" t="s">
        <v>22</v>
      </c>
      <c r="S277" s="21"/>
      <c r="T277" s="34" t="s">
        <v>21</v>
      </c>
      <c r="U277" s="34" t="s">
        <v>20</v>
      </c>
      <c r="V277" s="34" t="s">
        <v>69</v>
      </c>
      <c r="W277" s="34" t="s">
        <v>19</v>
      </c>
      <c r="X277" s="34" t="s">
        <v>18</v>
      </c>
      <c r="Y277" s="34" t="s">
        <v>48</v>
      </c>
      <c r="Z277" s="34" t="s">
        <v>49</v>
      </c>
      <c r="AA277" s="34" t="s">
        <v>17</v>
      </c>
      <c r="AB277" s="106" t="s">
        <v>16</v>
      </c>
      <c r="AC277" s="106" t="s">
        <v>15</v>
      </c>
      <c r="AD277" s="106" t="s">
        <v>14</v>
      </c>
      <c r="AE277" s="106" t="s">
        <v>13</v>
      </c>
      <c r="AF277" s="106" t="s">
        <v>12</v>
      </c>
      <c r="AG277" s="116" t="s">
        <v>11</v>
      </c>
      <c r="AH277" s="118" t="s">
        <v>10</v>
      </c>
      <c r="AI277" s="120" t="s">
        <v>9</v>
      </c>
      <c r="AJ277" s="35">
        <f>(1-R279/F279)</f>
        <v>0.26132975151108129</v>
      </c>
      <c r="AK277" s="35">
        <f>1-(AD279+AM279)/F279</f>
        <v>0.247824042981867</v>
      </c>
      <c r="AM277" s="106" t="s">
        <v>8</v>
      </c>
      <c r="AN277" s="106" t="s">
        <v>7</v>
      </c>
      <c r="AO277" s="106" t="s">
        <v>37</v>
      </c>
      <c r="AP277" s="106" t="s">
        <v>38</v>
      </c>
      <c r="AQ277" s="106" t="s">
        <v>6</v>
      </c>
      <c r="AR277" s="106" t="s">
        <v>5</v>
      </c>
      <c r="AT277" s="106" t="s">
        <v>4</v>
      </c>
      <c r="AU277" s="106" t="s">
        <v>3</v>
      </c>
      <c r="AV277" s="106" t="s">
        <v>2</v>
      </c>
      <c r="AW277" s="106" t="s">
        <v>1</v>
      </c>
      <c r="AY277" s="106"/>
      <c r="AZ277" s="108"/>
      <c r="BA277" s="52"/>
      <c r="BB277" s="106"/>
    </row>
    <row r="278" spans="1:54" ht="27" customHeight="1" x14ac:dyDescent="0.3">
      <c r="A278" s="126"/>
      <c r="B278" s="134"/>
      <c r="C278" s="134"/>
      <c r="D278" s="117"/>
      <c r="E278" s="117"/>
      <c r="F278" s="31">
        <v>0</v>
      </c>
      <c r="G278" s="33">
        <v>0.08</v>
      </c>
      <c r="H278" s="32">
        <v>1000000</v>
      </c>
      <c r="I278" s="31">
        <v>1</v>
      </c>
      <c r="J278" s="32">
        <v>0</v>
      </c>
      <c r="K278" s="31">
        <v>1</v>
      </c>
      <c r="L278" s="32">
        <v>200000</v>
      </c>
      <c r="M278" s="31">
        <v>7.0000000000000007E-2</v>
      </c>
      <c r="N278" s="32">
        <v>70000</v>
      </c>
      <c r="O278" s="31">
        <v>0</v>
      </c>
      <c r="P278" s="32">
        <v>0</v>
      </c>
      <c r="Q278" s="107"/>
      <c r="R278" s="107"/>
      <c r="S278" s="21"/>
      <c r="T278" s="31">
        <f>IF(C279="노트북",7%,IF(C279="저장&amp;주변기기",9%,IF(C279="모니터",7%)))</f>
        <v>7.0000000000000007E-2</v>
      </c>
      <c r="U278" s="31">
        <v>0</v>
      </c>
      <c r="V278" s="31">
        <v>0.02</v>
      </c>
      <c r="W278" s="31">
        <f>IF(G278=0%,20%,0%)</f>
        <v>0</v>
      </c>
      <c r="X278" s="30">
        <v>0</v>
      </c>
      <c r="Y278" s="30">
        <v>1</v>
      </c>
      <c r="Z278" s="53">
        <v>1</v>
      </c>
      <c r="AA278" s="29">
        <v>0.5</v>
      </c>
      <c r="AB278" s="107"/>
      <c r="AC278" s="107"/>
      <c r="AD278" s="107"/>
      <c r="AE278" s="107"/>
      <c r="AF278" s="107"/>
      <c r="AG278" s="117"/>
      <c r="AH278" s="119"/>
      <c r="AI278" s="121"/>
      <c r="AJ278" s="55" t="s">
        <v>52</v>
      </c>
      <c r="AK278" s="56">
        <f>AJ277-AK277</f>
        <v>1.3505708529214289E-2</v>
      </c>
      <c r="AM278" s="107"/>
      <c r="AN278" s="107"/>
      <c r="AO278" s="107"/>
      <c r="AP278" s="107"/>
      <c r="AQ278" s="107"/>
      <c r="AR278" s="107"/>
      <c r="AS278" s="39"/>
      <c r="AT278" s="107"/>
      <c r="AU278" s="107"/>
      <c r="AV278" s="107"/>
      <c r="AW278" s="107"/>
      <c r="AY278" s="107"/>
      <c r="AZ278" s="109"/>
      <c r="BA278" s="52"/>
      <c r="BB278" s="107"/>
    </row>
    <row r="279" spans="1:54" ht="27" customHeight="1" x14ac:dyDescent="0.3">
      <c r="A279" s="51" t="s">
        <v>58</v>
      </c>
      <c r="B279" s="38" t="s">
        <v>35</v>
      </c>
      <c r="C279" s="27" t="s">
        <v>0</v>
      </c>
      <c r="D279" s="26">
        <v>4503257150</v>
      </c>
      <c r="E279" s="25">
        <v>1489000</v>
      </c>
      <c r="F279" s="24">
        <f>ROUNDDOWN(E279/(1-F278),-1)</f>
        <v>1489000</v>
      </c>
      <c r="G279" s="110">
        <f>ROUNDDOWN(IF(F279*G278&gt;H278,H278,F279*G278),-1)</f>
        <v>119120</v>
      </c>
      <c r="H279" s="111"/>
      <c r="I279" s="112">
        <f>ROUNDDOWN(IF(F279*I278&gt;J278,J278,F279*I278),-1)</f>
        <v>0</v>
      </c>
      <c r="J279" s="113"/>
      <c r="K279" s="112">
        <f>ROUNDDOWN(IF(F279*K278&gt;L278,L278,F279*K278),-1)</f>
        <v>200000</v>
      </c>
      <c r="L279" s="113"/>
      <c r="M279" s="110">
        <f>ROUNDDOWN(IF(Q279*M278&gt;N278,N278,Q279*M278),-1)</f>
        <v>70000</v>
      </c>
      <c r="N279" s="111"/>
      <c r="O279" s="110">
        <f>ROUNDDOWN(IF(F279*O278&gt;P278,P278,F279*O278),-1)</f>
        <v>0</v>
      </c>
      <c r="P279" s="111"/>
      <c r="Q279" s="23">
        <f>F279-G279-I279-K279</f>
        <v>1169880</v>
      </c>
      <c r="R279" s="22">
        <f>F279-G279-I279-K279-M279-O279</f>
        <v>1099880</v>
      </c>
      <c r="S279" s="21"/>
      <c r="T279" s="20">
        <f>F279*T278</f>
        <v>104230.00000000001</v>
      </c>
      <c r="U279" s="20">
        <f>F279*U278</f>
        <v>0</v>
      </c>
      <c r="V279" s="20">
        <f>(F279-I279)*V278</f>
        <v>29780</v>
      </c>
      <c r="W279" s="19">
        <f>(F279*F278)*W278</f>
        <v>0</v>
      </c>
      <c r="X279" s="19">
        <f>G279*X278</f>
        <v>0</v>
      </c>
      <c r="Y279" s="19">
        <f>I279*Y278</f>
        <v>0</v>
      </c>
      <c r="Z279" s="19">
        <f>K279*Z278</f>
        <v>200000</v>
      </c>
      <c r="AA279" s="19">
        <f>M279*AA278</f>
        <v>35000</v>
      </c>
      <c r="AB279" s="19">
        <v>0</v>
      </c>
      <c r="AC279" s="16">
        <v>6000</v>
      </c>
      <c r="AD279" s="18">
        <f>F279-T279-U279-V279-W279-AA279-X279-Y279-Z279-AB279</f>
        <v>1119990</v>
      </c>
      <c r="AE279" s="18">
        <f>F279-T279-U279-V279-W279-X279-Y279-Z279-AA279-AB279-AC279</f>
        <v>1113990</v>
      </c>
      <c r="AF279" s="17">
        <f>AE279-AG279</f>
        <v>56990</v>
      </c>
      <c r="AG279" s="16">
        <v>1057000</v>
      </c>
      <c r="AH279" s="15">
        <f>AF279/AG279</f>
        <v>5.3916745506149479E-2</v>
      </c>
      <c r="AI279" s="14">
        <f>1-R279/(AG279-AM279-AN279-AO279)</f>
        <v>-4.0567644276253478E-2</v>
      </c>
      <c r="AJ279" s="114">
        <f>(1-R279/F279)-(1-(AD279)/F279)</f>
        <v>1.3505708529214289E-2</v>
      </c>
      <c r="AK279" s="115"/>
      <c r="AM279" s="13"/>
      <c r="AN279" s="12"/>
      <c r="AO279" s="12"/>
      <c r="AP279" s="12"/>
      <c r="AQ279" s="11">
        <f>AE279-(AG279-AM279-AN279-AO279-AP279)</f>
        <v>56990</v>
      </c>
      <c r="AR279" s="8">
        <f>AQ279/AG279</f>
        <v>5.3916745506149479E-2</v>
      </c>
      <c r="AT279" s="10">
        <v>0</v>
      </c>
      <c r="AU279" s="10">
        <v>0</v>
      </c>
      <c r="AV279" s="9">
        <f>AQ279-AT279-AU279</f>
        <v>56990</v>
      </c>
      <c r="AW279" s="8">
        <f>AV279/AG279</f>
        <v>5.3916745506149479E-2</v>
      </c>
      <c r="AY279" s="7"/>
      <c r="AZ279" s="50"/>
      <c r="BA279" s="52"/>
      <c r="BB279" s="7"/>
    </row>
    <row r="280" spans="1:54" ht="16.5" customHeight="1" x14ac:dyDescent="0.3">
      <c r="E280" s="5">
        <v>1149000</v>
      </c>
      <c r="F280" s="4">
        <f>ROUNDDOWN(E280/(1-F278),-1)</f>
        <v>1149000</v>
      </c>
      <c r="G280" s="105">
        <f>ROUNDDOWN(IF(F280*G278&gt;H278,H278,F280*G278),-1)</f>
        <v>91920</v>
      </c>
      <c r="H280" s="105"/>
      <c r="J280" s="54">
        <f>F279*4%</f>
        <v>59560</v>
      </c>
      <c r="X280" s="3">
        <f>G280*X278</f>
        <v>0</v>
      </c>
      <c r="Y280" s="3"/>
      <c r="Z280" s="3"/>
      <c r="AG280" s="57"/>
    </row>
    <row r="283" spans="1:54" ht="27" customHeight="1" x14ac:dyDescent="0.3">
      <c r="A283" s="124" t="s">
        <v>34</v>
      </c>
      <c r="B283" s="127" t="s">
        <v>70</v>
      </c>
      <c r="C283" s="128"/>
      <c r="D283" s="128"/>
      <c r="E283" s="128"/>
      <c r="F283" s="128"/>
      <c r="G283" s="128"/>
      <c r="H283" s="128"/>
      <c r="I283" s="128"/>
      <c r="J283" s="128"/>
      <c r="K283" s="128"/>
      <c r="L283" s="128"/>
      <c r="M283" s="128"/>
      <c r="N283" s="128"/>
      <c r="O283" s="128"/>
      <c r="P283" s="128"/>
      <c r="Q283" s="128"/>
      <c r="R283" s="129"/>
      <c r="T283" s="130" t="s">
        <v>33</v>
      </c>
      <c r="U283" s="131"/>
      <c r="V283" s="131"/>
      <c r="W283" s="131"/>
      <c r="X283" s="131"/>
      <c r="Y283" s="131"/>
      <c r="Z283" s="131"/>
      <c r="AA283" s="131"/>
      <c r="AB283" s="131"/>
      <c r="AC283" s="131"/>
      <c r="AD283" s="131"/>
      <c r="AE283" s="131"/>
      <c r="AF283" s="131"/>
      <c r="AG283" s="131"/>
      <c r="AH283" s="132"/>
      <c r="AI283" s="37"/>
      <c r="AM283" s="130" t="s">
        <v>32</v>
      </c>
      <c r="AN283" s="131"/>
      <c r="AO283" s="131"/>
      <c r="AP283" s="131"/>
      <c r="AQ283" s="131"/>
      <c r="AR283" s="132"/>
      <c r="AT283" s="130" t="s">
        <v>31</v>
      </c>
      <c r="AU283" s="131"/>
      <c r="AV283" s="131"/>
      <c r="AW283" s="132"/>
      <c r="AY283" s="36" t="s">
        <v>36</v>
      </c>
      <c r="AZ283" s="48"/>
      <c r="BA283" s="52"/>
      <c r="BB283" s="36"/>
    </row>
    <row r="284" spans="1:54" ht="32.25" customHeight="1" x14ac:dyDescent="0.3">
      <c r="A284" s="125"/>
      <c r="B284" s="133" t="s">
        <v>30</v>
      </c>
      <c r="C284" s="133" t="s">
        <v>29</v>
      </c>
      <c r="D284" s="116" t="s">
        <v>28</v>
      </c>
      <c r="E284" s="116" t="s">
        <v>27</v>
      </c>
      <c r="F284" s="34" t="s">
        <v>26</v>
      </c>
      <c r="G284" s="122" t="s">
        <v>63</v>
      </c>
      <c r="H284" s="123"/>
      <c r="I284" s="122" t="s">
        <v>50</v>
      </c>
      <c r="J284" s="123"/>
      <c r="K284" s="122" t="s">
        <v>62</v>
      </c>
      <c r="L284" s="123"/>
      <c r="M284" s="122" t="s">
        <v>25</v>
      </c>
      <c r="N284" s="123"/>
      <c r="O284" s="122" t="s">
        <v>24</v>
      </c>
      <c r="P284" s="123"/>
      <c r="Q284" s="106" t="s">
        <v>23</v>
      </c>
      <c r="R284" s="106" t="s">
        <v>22</v>
      </c>
      <c r="S284" s="21"/>
      <c r="T284" s="34" t="s">
        <v>21</v>
      </c>
      <c r="U284" s="34" t="s">
        <v>20</v>
      </c>
      <c r="V284" s="34" t="s">
        <v>69</v>
      </c>
      <c r="W284" s="34" t="s">
        <v>19</v>
      </c>
      <c r="X284" s="34" t="s">
        <v>18</v>
      </c>
      <c r="Y284" s="34" t="s">
        <v>48</v>
      </c>
      <c r="Z284" s="34" t="s">
        <v>49</v>
      </c>
      <c r="AA284" s="34" t="s">
        <v>17</v>
      </c>
      <c r="AB284" s="106" t="s">
        <v>16</v>
      </c>
      <c r="AC284" s="106" t="s">
        <v>15</v>
      </c>
      <c r="AD284" s="106" t="s">
        <v>14</v>
      </c>
      <c r="AE284" s="106" t="s">
        <v>13</v>
      </c>
      <c r="AF284" s="106" t="s">
        <v>12</v>
      </c>
      <c r="AG284" s="116" t="s">
        <v>11</v>
      </c>
      <c r="AH284" s="118" t="s">
        <v>10</v>
      </c>
      <c r="AI284" s="120" t="s">
        <v>9</v>
      </c>
      <c r="AJ284" s="35">
        <f>(1-R286/F286)</f>
        <v>0.24343825665859564</v>
      </c>
      <c r="AK284" s="35">
        <f>1-(AD286+AM286)/F286</f>
        <v>0.23225181598062949</v>
      </c>
      <c r="AM284" s="106" t="s">
        <v>8</v>
      </c>
      <c r="AN284" s="106" t="s">
        <v>7</v>
      </c>
      <c r="AO284" s="106" t="s">
        <v>37</v>
      </c>
      <c r="AP284" s="106" t="s">
        <v>38</v>
      </c>
      <c r="AQ284" s="106" t="s">
        <v>6</v>
      </c>
      <c r="AR284" s="106" t="s">
        <v>5</v>
      </c>
      <c r="AT284" s="106" t="s">
        <v>4</v>
      </c>
      <c r="AU284" s="106" t="s">
        <v>3</v>
      </c>
      <c r="AV284" s="106" t="s">
        <v>2</v>
      </c>
      <c r="AW284" s="106" t="s">
        <v>1</v>
      </c>
      <c r="AY284" s="106"/>
      <c r="AZ284" s="108"/>
      <c r="BA284" s="52"/>
      <c r="BB284" s="106"/>
    </row>
    <row r="285" spans="1:54" ht="27" customHeight="1" x14ac:dyDescent="0.3">
      <c r="A285" s="126"/>
      <c r="B285" s="134"/>
      <c r="C285" s="134"/>
      <c r="D285" s="117"/>
      <c r="E285" s="117"/>
      <c r="F285" s="31">
        <v>0</v>
      </c>
      <c r="G285" s="33">
        <v>0.08</v>
      </c>
      <c r="H285" s="32">
        <v>1000000</v>
      </c>
      <c r="I285" s="31">
        <v>1</v>
      </c>
      <c r="J285" s="32">
        <v>0</v>
      </c>
      <c r="K285" s="31">
        <v>1</v>
      </c>
      <c r="L285" s="32">
        <v>200000</v>
      </c>
      <c r="M285" s="31">
        <v>7.0000000000000007E-2</v>
      </c>
      <c r="N285" s="32">
        <v>70000</v>
      </c>
      <c r="O285" s="31">
        <v>0</v>
      </c>
      <c r="P285" s="32">
        <v>0</v>
      </c>
      <c r="Q285" s="107"/>
      <c r="R285" s="107"/>
      <c r="S285" s="21"/>
      <c r="T285" s="31">
        <f>IF(C286="노트북",7%,IF(C286="저장&amp;주변기기",9%,IF(C286="모니터",7%)))</f>
        <v>7.0000000000000007E-2</v>
      </c>
      <c r="U285" s="31">
        <v>0</v>
      </c>
      <c r="V285" s="31">
        <v>0.02</v>
      </c>
      <c r="W285" s="31">
        <f>IF(G285=0%,20%,0%)</f>
        <v>0</v>
      </c>
      <c r="X285" s="30">
        <v>0</v>
      </c>
      <c r="Y285" s="30">
        <v>1</v>
      </c>
      <c r="Z285" s="53">
        <v>1</v>
      </c>
      <c r="AA285" s="29">
        <v>0.5</v>
      </c>
      <c r="AB285" s="107"/>
      <c r="AC285" s="107"/>
      <c r="AD285" s="107"/>
      <c r="AE285" s="107"/>
      <c r="AF285" s="107"/>
      <c r="AG285" s="117"/>
      <c r="AH285" s="119"/>
      <c r="AI285" s="121"/>
      <c r="AJ285" s="55" t="s">
        <v>52</v>
      </c>
      <c r="AK285" s="56">
        <f>AJ284-AK284</f>
        <v>1.1186440677966147E-2</v>
      </c>
      <c r="AM285" s="107"/>
      <c r="AN285" s="107"/>
      <c r="AO285" s="107"/>
      <c r="AP285" s="107"/>
      <c r="AQ285" s="107"/>
      <c r="AR285" s="107"/>
      <c r="AS285" s="39"/>
      <c r="AT285" s="107"/>
      <c r="AU285" s="107"/>
      <c r="AV285" s="107"/>
      <c r="AW285" s="107"/>
      <c r="AY285" s="107"/>
      <c r="AZ285" s="109"/>
      <c r="BA285" s="52"/>
      <c r="BB285" s="107"/>
    </row>
    <row r="286" spans="1:54" ht="27" customHeight="1" x14ac:dyDescent="0.3">
      <c r="A286" s="51" t="s">
        <v>59</v>
      </c>
      <c r="B286" s="38" t="s">
        <v>35</v>
      </c>
      <c r="C286" s="27" t="s">
        <v>0</v>
      </c>
      <c r="D286" s="26">
        <v>4503297392</v>
      </c>
      <c r="E286" s="25">
        <v>1652000</v>
      </c>
      <c r="F286" s="24">
        <f>ROUNDDOWN(E286/(1-F285),-1)</f>
        <v>1652000</v>
      </c>
      <c r="G286" s="110">
        <f>ROUNDDOWN(IF(F286*G285&gt;H285,H285,F286*G285),-1)</f>
        <v>132160</v>
      </c>
      <c r="H286" s="111"/>
      <c r="I286" s="112">
        <f>ROUNDDOWN(IF(F286*I285&gt;J285,J285,F286*I285),-1)</f>
        <v>0</v>
      </c>
      <c r="J286" s="113"/>
      <c r="K286" s="112">
        <f>ROUNDDOWN(IF(F286*K285&gt;L285,L285,F286*K285),-1)</f>
        <v>200000</v>
      </c>
      <c r="L286" s="113"/>
      <c r="M286" s="110">
        <f>ROUNDDOWN(IF(Q286*M285&gt;N285,N285,Q286*M285),-1)</f>
        <v>70000</v>
      </c>
      <c r="N286" s="111"/>
      <c r="O286" s="110">
        <f>ROUNDDOWN(IF(F286*O285&gt;P285,P285,F286*O285),-1)</f>
        <v>0</v>
      </c>
      <c r="P286" s="111"/>
      <c r="Q286" s="23">
        <f>F286-G286-I286-K286</f>
        <v>1319840</v>
      </c>
      <c r="R286" s="22">
        <f>F286-G286-I286-K286-M286-O286</f>
        <v>1249840</v>
      </c>
      <c r="S286" s="21"/>
      <c r="T286" s="20">
        <f>F286*T285</f>
        <v>115640.00000000001</v>
      </c>
      <c r="U286" s="20">
        <f>F286*U285</f>
        <v>0</v>
      </c>
      <c r="V286" s="20">
        <f>(F286-I286)*V285</f>
        <v>33040</v>
      </c>
      <c r="W286" s="19">
        <f>(F286*F285)*W285</f>
        <v>0</v>
      </c>
      <c r="X286" s="19">
        <f>G286*X285</f>
        <v>0</v>
      </c>
      <c r="Y286" s="19">
        <f>I286*Y285</f>
        <v>0</v>
      </c>
      <c r="Z286" s="19">
        <f>K286*Z285</f>
        <v>200000</v>
      </c>
      <c r="AA286" s="19">
        <f>M286*AA285</f>
        <v>35000</v>
      </c>
      <c r="AB286" s="19">
        <v>0</v>
      </c>
      <c r="AC286" s="16">
        <v>6000</v>
      </c>
      <c r="AD286" s="18">
        <f>F286-T286-U286-V286-W286-AA286-X286-Y286-Z286-AB286</f>
        <v>1268320</v>
      </c>
      <c r="AE286" s="18">
        <f>F286-T286-U286-V286-W286-X286-Y286-Z286-AA286-AB286-AC286</f>
        <v>1262320</v>
      </c>
      <c r="AF286" s="17">
        <f>AE286-AG286</f>
        <v>67320</v>
      </c>
      <c r="AG286" s="16">
        <v>1195000</v>
      </c>
      <c r="AH286" s="15">
        <f>AF286/AG286</f>
        <v>5.6334728033472802E-2</v>
      </c>
      <c r="AI286" s="14">
        <f>1-R286/(AG286-AM286-AN286-AO286)</f>
        <v>-4.5891213389121388E-2</v>
      </c>
      <c r="AJ286" s="114">
        <f>(1-R286/F286)-(1-(AD286)/F286)</f>
        <v>1.1186440677966147E-2</v>
      </c>
      <c r="AK286" s="115"/>
      <c r="AM286" s="13"/>
      <c r="AN286" s="12"/>
      <c r="AO286" s="12"/>
      <c r="AP286" s="12"/>
      <c r="AQ286" s="11">
        <f>AE286-(AG286-AM286-AN286-AO286-AP286)</f>
        <v>67320</v>
      </c>
      <c r="AR286" s="8">
        <f>AQ286/AG286</f>
        <v>5.6334728033472802E-2</v>
      </c>
      <c r="AT286" s="10">
        <v>0</v>
      </c>
      <c r="AU286" s="10">
        <v>0</v>
      </c>
      <c r="AV286" s="9">
        <f>AQ286-AT286-AU286</f>
        <v>67320</v>
      </c>
      <c r="AW286" s="8">
        <f>AV286/AG286</f>
        <v>5.6334728033472802E-2</v>
      </c>
      <c r="AY286" s="7"/>
      <c r="AZ286" s="50"/>
      <c r="BA286" s="52"/>
      <c r="BB286" s="7"/>
    </row>
    <row r="287" spans="1:54" ht="16.5" customHeight="1" x14ac:dyDescent="0.3">
      <c r="E287" s="5">
        <v>1299000</v>
      </c>
      <c r="F287" s="4">
        <f>ROUNDDOWN(E287/(1-F285),-1)</f>
        <v>1299000</v>
      </c>
      <c r="G287" s="105">
        <f>ROUNDDOWN(IF(F287*G285&gt;H285,H285,F287*G285),-1)</f>
        <v>103920</v>
      </c>
      <c r="H287" s="105"/>
      <c r="J287" s="54">
        <f>F286*4%</f>
        <v>66080</v>
      </c>
      <c r="X287" s="3">
        <f>G287*X285</f>
        <v>0</v>
      </c>
      <c r="Y287" s="3"/>
      <c r="Z287" s="3"/>
      <c r="AG287" s="57"/>
    </row>
    <row r="289" spans="1:54" ht="27" customHeight="1" x14ac:dyDescent="0.3">
      <c r="A289" s="124" t="s">
        <v>34</v>
      </c>
      <c r="B289" s="127"/>
      <c r="C289" s="128"/>
      <c r="D289" s="128"/>
      <c r="E289" s="128"/>
      <c r="F289" s="128"/>
      <c r="G289" s="128"/>
      <c r="H289" s="128"/>
      <c r="I289" s="128"/>
      <c r="J289" s="128"/>
      <c r="K289" s="128"/>
      <c r="L289" s="128"/>
      <c r="M289" s="128"/>
      <c r="N289" s="128"/>
      <c r="O289" s="128"/>
      <c r="P289" s="128"/>
      <c r="Q289" s="128"/>
      <c r="R289" s="129"/>
      <c r="T289" s="130" t="s">
        <v>33</v>
      </c>
      <c r="U289" s="131"/>
      <c r="V289" s="131"/>
      <c r="W289" s="131"/>
      <c r="X289" s="131"/>
      <c r="Y289" s="131"/>
      <c r="Z289" s="131"/>
      <c r="AA289" s="131"/>
      <c r="AB289" s="131"/>
      <c r="AC289" s="131"/>
      <c r="AD289" s="131"/>
      <c r="AE289" s="131"/>
      <c r="AF289" s="131"/>
      <c r="AG289" s="131"/>
      <c r="AH289" s="132"/>
      <c r="AI289" s="37"/>
      <c r="AM289" s="130" t="s">
        <v>32</v>
      </c>
      <c r="AN289" s="131"/>
      <c r="AO289" s="131"/>
      <c r="AP289" s="131"/>
      <c r="AQ289" s="131"/>
      <c r="AR289" s="132"/>
      <c r="AT289" s="130" t="s">
        <v>31</v>
      </c>
      <c r="AU289" s="131"/>
      <c r="AV289" s="131"/>
      <c r="AW289" s="132"/>
      <c r="AY289" s="36" t="s">
        <v>36</v>
      </c>
      <c r="AZ289" s="48"/>
      <c r="BA289" s="52"/>
      <c r="BB289" s="36"/>
    </row>
    <row r="290" spans="1:54" ht="32.25" customHeight="1" x14ac:dyDescent="0.3">
      <c r="A290" s="125"/>
      <c r="B290" s="133" t="s">
        <v>30</v>
      </c>
      <c r="C290" s="133" t="s">
        <v>29</v>
      </c>
      <c r="D290" s="116" t="s">
        <v>28</v>
      </c>
      <c r="E290" s="116" t="s">
        <v>27</v>
      </c>
      <c r="F290" s="34" t="s">
        <v>26</v>
      </c>
      <c r="G290" s="122" t="s">
        <v>63</v>
      </c>
      <c r="H290" s="123"/>
      <c r="I290" s="122" t="s">
        <v>50</v>
      </c>
      <c r="J290" s="123"/>
      <c r="K290" s="122" t="s">
        <v>62</v>
      </c>
      <c r="L290" s="123"/>
      <c r="M290" s="122" t="s">
        <v>25</v>
      </c>
      <c r="N290" s="123"/>
      <c r="O290" s="122" t="s">
        <v>24</v>
      </c>
      <c r="P290" s="123"/>
      <c r="Q290" s="106" t="s">
        <v>23</v>
      </c>
      <c r="R290" s="106" t="s">
        <v>22</v>
      </c>
      <c r="S290" s="21"/>
      <c r="T290" s="34" t="s">
        <v>21</v>
      </c>
      <c r="U290" s="34" t="s">
        <v>20</v>
      </c>
      <c r="V290" s="34" t="s">
        <v>69</v>
      </c>
      <c r="W290" s="34" t="s">
        <v>19</v>
      </c>
      <c r="X290" s="34" t="s">
        <v>18</v>
      </c>
      <c r="Y290" s="34" t="s">
        <v>48</v>
      </c>
      <c r="Z290" s="34" t="s">
        <v>49</v>
      </c>
      <c r="AA290" s="34" t="s">
        <v>17</v>
      </c>
      <c r="AB290" s="106" t="s">
        <v>16</v>
      </c>
      <c r="AC290" s="106" t="s">
        <v>15</v>
      </c>
      <c r="AD290" s="106" t="s">
        <v>14</v>
      </c>
      <c r="AE290" s="106" t="s">
        <v>13</v>
      </c>
      <c r="AF290" s="106" t="s">
        <v>12</v>
      </c>
      <c r="AG290" s="116" t="s">
        <v>11</v>
      </c>
      <c r="AH290" s="118" t="s">
        <v>10</v>
      </c>
      <c r="AI290" s="120" t="s">
        <v>9</v>
      </c>
      <c r="AJ290" s="35">
        <f>(1-R292/F292)</f>
        <v>9.5263846489315296E-2</v>
      </c>
      <c r="AK290" s="35">
        <f>1-(AD292+AM292)/F292</f>
        <v>9.7631923244657637E-2</v>
      </c>
      <c r="AM290" s="106" t="s">
        <v>8</v>
      </c>
      <c r="AN290" s="106" t="s">
        <v>7</v>
      </c>
      <c r="AO290" s="106" t="s">
        <v>37</v>
      </c>
      <c r="AP290" s="106" t="s">
        <v>38</v>
      </c>
      <c r="AQ290" s="106" t="s">
        <v>6</v>
      </c>
      <c r="AR290" s="106" t="s">
        <v>5</v>
      </c>
      <c r="AT290" s="106" t="s">
        <v>4</v>
      </c>
      <c r="AU290" s="106" t="s">
        <v>3</v>
      </c>
      <c r="AV290" s="106" t="s">
        <v>2</v>
      </c>
      <c r="AW290" s="106" t="s">
        <v>1</v>
      </c>
      <c r="AY290" s="106"/>
      <c r="AZ290" s="108"/>
      <c r="BA290" s="52"/>
      <c r="BB290" s="106"/>
    </row>
    <row r="291" spans="1:54" ht="27" customHeight="1" x14ac:dyDescent="0.3">
      <c r="A291" s="126"/>
      <c r="B291" s="134"/>
      <c r="C291" s="134"/>
      <c r="D291" s="117"/>
      <c r="E291" s="117"/>
      <c r="F291" s="31">
        <v>0</v>
      </c>
      <c r="G291" s="33">
        <v>0.08</v>
      </c>
      <c r="H291" s="32">
        <v>1000000</v>
      </c>
      <c r="I291" s="31">
        <v>1</v>
      </c>
      <c r="J291" s="32">
        <v>0</v>
      </c>
      <c r="K291" s="31">
        <v>1</v>
      </c>
      <c r="L291" s="32">
        <v>0</v>
      </c>
      <c r="M291" s="31">
        <v>7.0000000000000007E-2</v>
      </c>
      <c r="N291" s="32">
        <v>70000</v>
      </c>
      <c r="O291" s="31">
        <v>0</v>
      </c>
      <c r="P291" s="32">
        <v>0</v>
      </c>
      <c r="Q291" s="107"/>
      <c r="R291" s="107"/>
      <c r="S291" s="21"/>
      <c r="T291" s="31">
        <f>IF(C292="노트북",7%,IF(C292="저장&amp;주변기기",9%,IF(C292="모니터",7%)))</f>
        <v>7.0000000000000007E-2</v>
      </c>
      <c r="U291" s="31">
        <v>0</v>
      </c>
      <c r="V291" s="31">
        <v>0.02</v>
      </c>
      <c r="W291" s="31">
        <f>IF(G291=0%,20%,0%)</f>
        <v>0</v>
      </c>
      <c r="X291" s="30">
        <v>0</v>
      </c>
      <c r="Y291" s="30">
        <v>1</v>
      </c>
      <c r="Z291" s="53">
        <v>1</v>
      </c>
      <c r="AA291" s="29">
        <v>0.5</v>
      </c>
      <c r="AB291" s="107"/>
      <c r="AC291" s="107"/>
      <c r="AD291" s="107"/>
      <c r="AE291" s="107"/>
      <c r="AF291" s="107"/>
      <c r="AG291" s="117"/>
      <c r="AH291" s="119"/>
      <c r="AI291" s="121"/>
      <c r="AJ291" s="55" t="s">
        <v>52</v>
      </c>
      <c r="AK291" s="56">
        <f>AJ290-AK290</f>
        <v>-2.368076755342341E-3</v>
      </c>
      <c r="AM291" s="107"/>
      <c r="AN291" s="107"/>
      <c r="AO291" s="107"/>
      <c r="AP291" s="107"/>
      <c r="AQ291" s="107"/>
      <c r="AR291" s="107"/>
      <c r="AS291" s="39"/>
      <c r="AT291" s="107"/>
      <c r="AU291" s="107"/>
      <c r="AV291" s="107"/>
      <c r="AW291" s="107"/>
      <c r="AY291" s="107"/>
      <c r="AZ291" s="109"/>
      <c r="BA291" s="52"/>
      <c r="BB291" s="107"/>
    </row>
    <row r="292" spans="1:54" ht="27" customHeight="1" x14ac:dyDescent="0.3">
      <c r="A292" s="51" t="s">
        <v>87</v>
      </c>
      <c r="B292" s="38" t="s">
        <v>35</v>
      </c>
      <c r="C292" s="27" t="s">
        <v>0</v>
      </c>
      <c r="D292" s="26">
        <v>4503297392</v>
      </c>
      <c r="E292" s="25">
        <v>4586000</v>
      </c>
      <c r="F292" s="24">
        <f>ROUNDDOWN(E292/(1-F291),-1)</f>
        <v>4586000</v>
      </c>
      <c r="G292" s="110">
        <f>ROUNDDOWN(IF(F292*G291&gt;H291,H291,F292*G291),-1)</f>
        <v>366880</v>
      </c>
      <c r="H292" s="111"/>
      <c r="I292" s="112">
        <f>ROUNDDOWN(IF(F292*I291&gt;J291,J291,F292*I291),-1)</f>
        <v>0</v>
      </c>
      <c r="J292" s="113"/>
      <c r="K292" s="112">
        <f>ROUNDDOWN(IF(F292*K291&gt;L291,L291,F292*K291),-1)</f>
        <v>0</v>
      </c>
      <c r="L292" s="113"/>
      <c r="M292" s="110">
        <f>ROUNDDOWN(IF(Q292*M291&gt;N291,N291,Q292*M291),-1)</f>
        <v>70000</v>
      </c>
      <c r="N292" s="111"/>
      <c r="O292" s="110">
        <f>ROUNDDOWN(IF(F292*O291&gt;P291,P291,F292*O291),-1)</f>
        <v>0</v>
      </c>
      <c r="P292" s="111"/>
      <c r="Q292" s="23">
        <f>F292-G292-I292-K292</f>
        <v>4219120</v>
      </c>
      <c r="R292" s="22">
        <f>F292-G292-I292-K292-M292-O292</f>
        <v>4149120</v>
      </c>
      <c r="S292" s="21"/>
      <c r="T292" s="20">
        <f>F292*T291</f>
        <v>321020.00000000006</v>
      </c>
      <c r="U292" s="20">
        <f>F292*U291</f>
        <v>0</v>
      </c>
      <c r="V292" s="20">
        <f>(F292-I292)*V291</f>
        <v>91720</v>
      </c>
      <c r="W292" s="19">
        <f>(F292*F291)*W291</f>
        <v>0</v>
      </c>
      <c r="X292" s="19">
        <f>G292*X291</f>
        <v>0</v>
      </c>
      <c r="Y292" s="19">
        <f>I292*Y291</f>
        <v>0</v>
      </c>
      <c r="Z292" s="19">
        <f>K292*Z291</f>
        <v>0</v>
      </c>
      <c r="AA292" s="19">
        <f>M292*AA291</f>
        <v>35000</v>
      </c>
      <c r="AB292" s="19">
        <v>0</v>
      </c>
      <c r="AC292" s="16">
        <v>6000</v>
      </c>
      <c r="AD292" s="18">
        <f>F292-T292-U292-V292-W292-AA292-X292-Y292-Z292-AB292</f>
        <v>4138260</v>
      </c>
      <c r="AE292" s="18">
        <f>F292-T292-U292-V292-W292-X292-Y292-Z292-AA292-AB292-AC292</f>
        <v>4132260</v>
      </c>
      <c r="AF292" s="17">
        <f>AE292-AG292</f>
        <v>156260</v>
      </c>
      <c r="AG292" s="16">
        <v>3976000</v>
      </c>
      <c r="AH292" s="15">
        <f>AF292/AG292</f>
        <v>3.9300804828973843E-2</v>
      </c>
      <c r="AI292" s="14">
        <f>1-R292/(AG292-AM292-AN292-AO292)</f>
        <v>-4.3541247484909507E-2</v>
      </c>
      <c r="AJ292" s="114">
        <f>(1-R292/F292)-(1-(AD292)/F292)</f>
        <v>-2.368076755342341E-3</v>
      </c>
      <c r="AK292" s="115"/>
      <c r="AM292" s="13"/>
      <c r="AN292" s="12"/>
      <c r="AO292" s="12"/>
      <c r="AP292" s="12"/>
      <c r="AQ292" s="11">
        <f>AE292-(AG292-AM292-AN292-AO292-AP292)</f>
        <v>156260</v>
      </c>
      <c r="AR292" s="8">
        <f>AQ292/AG292</f>
        <v>3.9300804828973843E-2</v>
      </c>
      <c r="AT292" s="10">
        <v>0</v>
      </c>
      <c r="AU292" s="10">
        <v>0</v>
      </c>
      <c r="AV292" s="9">
        <f>AQ292-AT292-AU292</f>
        <v>156260</v>
      </c>
      <c r="AW292" s="8">
        <f>AV292/AG292</f>
        <v>3.9300804828973843E-2</v>
      </c>
      <c r="AY292" s="7"/>
      <c r="AZ292" s="50"/>
      <c r="BA292" s="52"/>
      <c r="BB292" s="7"/>
    </row>
    <row r="293" spans="1:54" ht="16.5" customHeight="1" x14ac:dyDescent="0.3">
      <c r="E293" s="5">
        <v>4299000</v>
      </c>
      <c r="F293" s="4">
        <f>ROUNDDOWN(E293/(1-F291),-1)</f>
        <v>4299000</v>
      </c>
      <c r="G293" s="105">
        <f>ROUNDDOWN(IF(F293*G291&gt;H291,H291,F293*G291),-1)</f>
        <v>343920</v>
      </c>
      <c r="H293" s="105"/>
      <c r="J293" s="54">
        <f>F292*4%</f>
        <v>183440</v>
      </c>
      <c r="X293" s="3">
        <f>G293*X291</f>
        <v>0</v>
      </c>
      <c r="Y293" s="3"/>
      <c r="Z293" s="3"/>
      <c r="AG293" s="57" t="s">
        <v>86</v>
      </c>
    </row>
    <row r="294" spans="1:54" ht="16.5" customHeight="1" x14ac:dyDescent="0.3">
      <c r="E294" s="5"/>
      <c r="F294" s="4"/>
      <c r="G294" s="42"/>
      <c r="H294" s="42"/>
      <c r="J294" s="54"/>
      <c r="X294" s="3"/>
      <c r="Y294" s="3"/>
      <c r="Z294" s="3"/>
      <c r="AG294" s="57"/>
    </row>
    <row r="296" spans="1:54" ht="27" customHeight="1" x14ac:dyDescent="0.3">
      <c r="A296" s="124" t="s">
        <v>34</v>
      </c>
      <c r="B296" s="127" t="s">
        <v>91</v>
      </c>
      <c r="C296" s="128"/>
      <c r="D296" s="128"/>
      <c r="E296" s="128"/>
      <c r="F296" s="128"/>
      <c r="G296" s="128"/>
      <c r="H296" s="128"/>
      <c r="I296" s="128"/>
      <c r="J296" s="128"/>
      <c r="K296" s="128"/>
      <c r="L296" s="128"/>
      <c r="M296" s="128"/>
      <c r="N296" s="128"/>
      <c r="O296" s="128"/>
      <c r="P296" s="128"/>
      <c r="Q296" s="128"/>
      <c r="R296" s="129"/>
      <c r="T296" s="130" t="s">
        <v>33</v>
      </c>
      <c r="U296" s="131"/>
      <c r="V296" s="131"/>
      <c r="W296" s="131"/>
      <c r="X296" s="131"/>
      <c r="Y296" s="131"/>
      <c r="Z296" s="131"/>
      <c r="AA296" s="131"/>
      <c r="AB296" s="131"/>
      <c r="AC296" s="131"/>
      <c r="AD296" s="131"/>
      <c r="AE296" s="131"/>
      <c r="AF296" s="131"/>
      <c r="AG296" s="131"/>
      <c r="AH296" s="132"/>
      <c r="AI296" s="37"/>
      <c r="AM296" s="130" t="s">
        <v>32</v>
      </c>
      <c r="AN296" s="131"/>
      <c r="AO296" s="131"/>
      <c r="AP296" s="131"/>
      <c r="AQ296" s="131"/>
      <c r="AR296" s="132"/>
      <c r="AT296" s="130" t="s">
        <v>31</v>
      </c>
      <c r="AU296" s="131"/>
      <c r="AV296" s="131"/>
      <c r="AW296" s="132"/>
      <c r="AY296" s="36" t="s">
        <v>36</v>
      </c>
      <c r="AZ296" s="48"/>
      <c r="BA296" s="52"/>
      <c r="BB296" s="36"/>
    </row>
    <row r="297" spans="1:54" ht="32.25" customHeight="1" x14ac:dyDescent="0.3">
      <c r="A297" s="125"/>
      <c r="B297" s="133" t="s">
        <v>30</v>
      </c>
      <c r="C297" s="133" t="s">
        <v>29</v>
      </c>
      <c r="D297" s="116" t="s">
        <v>28</v>
      </c>
      <c r="E297" s="116" t="s">
        <v>27</v>
      </c>
      <c r="F297" s="34" t="s">
        <v>26</v>
      </c>
      <c r="G297" s="122" t="s">
        <v>63</v>
      </c>
      <c r="H297" s="123"/>
      <c r="I297" s="122" t="s">
        <v>50</v>
      </c>
      <c r="J297" s="123"/>
      <c r="K297" s="122" t="s">
        <v>62</v>
      </c>
      <c r="L297" s="123"/>
      <c r="M297" s="122" t="s">
        <v>25</v>
      </c>
      <c r="N297" s="123"/>
      <c r="O297" s="122" t="s">
        <v>24</v>
      </c>
      <c r="P297" s="123"/>
      <c r="Q297" s="106" t="s">
        <v>23</v>
      </c>
      <c r="R297" s="106" t="s">
        <v>22</v>
      </c>
      <c r="S297" s="21"/>
      <c r="T297" s="34" t="s">
        <v>21</v>
      </c>
      <c r="U297" s="34" t="s">
        <v>20</v>
      </c>
      <c r="V297" s="34" t="s">
        <v>69</v>
      </c>
      <c r="W297" s="34" t="s">
        <v>19</v>
      </c>
      <c r="X297" s="34" t="s">
        <v>18</v>
      </c>
      <c r="Y297" s="34" t="s">
        <v>48</v>
      </c>
      <c r="Z297" s="34" t="s">
        <v>49</v>
      </c>
      <c r="AA297" s="34" t="s">
        <v>17</v>
      </c>
      <c r="AB297" s="106" t="s">
        <v>16</v>
      </c>
      <c r="AC297" s="106" t="s">
        <v>15</v>
      </c>
      <c r="AD297" s="106" t="s">
        <v>14</v>
      </c>
      <c r="AE297" s="106" t="s">
        <v>13</v>
      </c>
      <c r="AF297" s="106" t="s">
        <v>12</v>
      </c>
      <c r="AG297" s="116" t="s">
        <v>11</v>
      </c>
      <c r="AH297" s="118" t="s">
        <v>10</v>
      </c>
      <c r="AI297" s="120" t="s">
        <v>9</v>
      </c>
      <c r="AJ297" s="35">
        <f>(1-R299/F299)</f>
        <v>0.23675964269281424</v>
      </c>
      <c r="AK297" s="35">
        <f>1-(AD299+AM299)/F299</f>
        <v>0.13768226315705967</v>
      </c>
      <c r="AM297" s="106" t="s">
        <v>8</v>
      </c>
      <c r="AN297" s="106" t="s">
        <v>7</v>
      </c>
      <c r="AO297" s="106" t="s">
        <v>37</v>
      </c>
      <c r="AP297" s="106" t="s">
        <v>38</v>
      </c>
      <c r="AQ297" s="106" t="s">
        <v>6</v>
      </c>
      <c r="AR297" s="106" t="s">
        <v>5</v>
      </c>
      <c r="AT297" s="106" t="s">
        <v>4</v>
      </c>
      <c r="AU297" s="106" t="s">
        <v>3</v>
      </c>
      <c r="AV297" s="106" t="s">
        <v>2</v>
      </c>
      <c r="AW297" s="106" t="s">
        <v>1</v>
      </c>
      <c r="AY297" s="106"/>
      <c r="AZ297" s="108"/>
      <c r="BA297" s="52"/>
      <c r="BB297" s="106"/>
    </row>
    <row r="298" spans="1:54" ht="27" customHeight="1" x14ac:dyDescent="0.3">
      <c r="A298" s="126"/>
      <c r="B298" s="134"/>
      <c r="C298" s="134"/>
      <c r="D298" s="117"/>
      <c r="E298" s="117"/>
      <c r="F298" s="31">
        <v>0</v>
      </c>
      <c r="G298" s="33">
        <v>0.09</v>
      </c>
      <c r="H298" s="32">
        <v>600000</v>
      </c>
      <c r="I298" s="31">
        <v>1</v>
      </c>
      <c r="J298" s="32">
        <v>0</v>
      </c>
      <c r="K298" s="31">
        <v>1</v>
      </c>
      <c r="L298" s="32">
        <v>220000</v>
      </c>
      <c r="M298" s="31">
        <v>0.08</v>
      </c>
      <c r="N298" s="32">
        <v>150000</v>
      </c>
      <c r="O298" s="31">
        <v>0</v>
      </c>
      <c r="P298" s="32">
        <v>0</v>
      </c>
      <c r="Q298" s="107"/>
      <c r="R298" s="107"/>
      <c r="S298" s="21"/>
      <c r="T298" s="31">
        <f>IF(C299="노트북",7%,IF(C299="저장&amp;주변기기",9%,IF(C299="모니터",7%)))</f>
        <v>7.0000000000000007E-2</v>
      </c>
      <c r="U298" s="31">
        <v>0</v>
      </c>
      <c r="V298" s="31">
        <v>0.03</v>
      </c>
      <c r="W298" s="31">
        <f>IF(G298=0%,20%,0%)</f>
        <v>0</v>
      </c>
      <c r="X298" s="30">
        <v>0</v>
      </c>
      <c r="Y298" s="30">
        <v>1</v>
      </c>
      <c r="Z298" s="53">
        <v>1</v>
      </c>
      <c r="AA298" s="29">
        <v>0.5</v>
      </c>
      <c r="AB298" s="107"/>
      <c r="AC298" s="107"/>
      <c r="AD298" s="107"/>
      <c r="AE298" s="107"/>
      <c r="AF298" s="107"/>
      <c r="AG298" s="117"/>
      <c r="AH298" s="119"/>
      <c r="AI298" s="121"/>
      <c r="AJ298" s="55" t="s">
        <v>52</v>
      </c>
      <c r="AK298" s="56">
        <f>AJ297-AK297</f>
        <v>9.9077379535754573E-2</v>
      </c>
      <c r="AM298" s="107"/>
      <c r="AN298" s="107"/>
      <c r="AO298" s="107"/>
      <c r="AP298" s="107"/>
      <c r="AQ298" s="107"/>
      <c r="AR298" s="107"/>
      <c r="AS298" s="39"/>
      <c r="AT298" s="107"/>
      <c r="AU298" s="107"/>
      <c r="AV298" s="107"/>
      <c r="AW298" s="107"/>
      <c r="AY298" s="107"/>
      <c r="AZ298" s="109"/>
      <c r="BA298" s="52"/>
      <c r="BB298" s="107"/>
    </row>
    <row r="299" spans="1:54" ht="27" customHeight="1" x14ac:dyDescent="0.3">
      <c r="A299" s="51" t="s">
        <v>92</v>
      </c>
      <c r="B299" s="38" t="s">
        <v>35</v>
      </c>
      <c r="C299" s="27" t="s">
        <v>0</v>
      </c>
      <c r="D299" s="26">
        <v>4435521706</v>
      </c>
      <c r="E299" s="25">
        <v>2521080</v>
      </c>
      <c r="F299" s="24">
        <f>ROUNDDOWN(E299/(1-F298),-1)</f>
        <v>2521080</v>
      </c>
      <c r="G299" s="110">
        <f>ROUNDDOWN(IF(F299*G298&gt;H298,H298,F299*G298),-1)</f>
        <v>226890</v>
      </c>
      <c r="H299" s="111"/>
      <c r="I299" s="112">
        <f>ROUNDDOWN(IF(F299*I298&gt;J298,J298,F299*I298),-1)</f>
        <v>0</v>
      </c>
      <c r="J299" s="113"/>
      <c r="K299" s="112">
        <f>ROUNDDOWN(IF(F299*K298&gt;L298,L298,F299*K298),-1)</f>
        <v>220000</v>
      </c>
      <c r="L299" s="113"/>
      <c r="M299" s="110">
        <f>ROUNDDOWN(IF(Q299*M298&gt;N298,N298,Q299*M298),-1)</f>
        <v>150000</v>
      </c>
      <c r="N299" s="111"/>
      <c r="O299" s="110">
        <f>ROUNDDOWN(IF(F299*O298&gt;P298,P298,F299*O298),-1)</f>
        <v>0</v>
      </c>
      <c r="P299" s="111"/>
      <c r="Q299" s="23">
        <f>F299-G299-I299-K299</f>
        <v>2074190</v>
      </c>
      <c r="R299" s="22">
        <f>F299-G299-I299-K299-M299-O299</f>
        <v>1924190</v>
      </c>
      <c r="S299" s="21"/>
      <c r="T299" s="20">
        <f>F299*T298</f>
        <v>176475.6</v>
      </c>
      <c r="U299" s="20">
        <f>F299*U298</f>
        <v>0</v>
      </c>
      <c r="V299" s="20">
        <f>(F299-I299)*V298</f>
        <v>75632.399999999994</v>
      </c>
      <c r="W299" s="19">
        <f>(F299*F298)*W298</f>
        <v>0</v>
      </c>
      <c r="X299" s="19">
        <f>G299*X298</f>
        <v>0</v>
      </c>
      <c r="Y299" s="19">
        <f>I299*Y298</f>
        <v>0</v>
      </c>
      <c r="Z299" s="19">
        <f>K299*Z298</f>
        <v>220000</v>
      </c>
      <c r="AA299" s="19">
        <f>M299*AA298</f>
        <v>75000</v>
      </c>
      <c r="AB299" s="19">
        <v>0</v>
      </c>
      <c r="AC299" s="16">
        <v>6000</v>
      </c>
      <c r="AD299" s="18">
        <f>F299-T299-U299-V299-W299-AA299-X299-Y299-Z299-AB299</f>
        <v>1973972</v>
      </c>
      <c r="AE299" s="18">
        <f>F299-T299-U299-V299-W299-X299-Y299-Z299-AA299-AB299-AC299</f>
        <v>1967972</v>
      </c>
      <c r="AF299" s="17">
        <f>AE299-AG299</f>
        <v>-287028</v>
      </c>
      <c r="AG299" s="16">
        <v>2255000</v>
      </c>
      <c r="AH299" s="15">
        <f>AF299/AG299</f>
        <v>-0.12728514412416853</v>
      </c>
      <c r="AI299" s="14">
        <f>1-R299/(AG299-AM299-AN299-AO299)</f>
        <v>6.3654501216545034E-2</v>
      </c>
      <c r="AJ299" s="114">
        <f>(1-R299/F299)-(1-(AD299)/F299)</f>
        <v>1.9746299205102624E-2</v>
      </c>
      <c r="AK299" s="115"/>
      <c r="AM299" s="13">
        <v>200000</v>
      </c>
      <c r="AN299" s="12"/>
      <c r="AO299" s="12"/>
      <c r="AP299" s="12"/>
      <c r="AQ299" s="11">
        <f>AE299-(AG299-AM299-AN299-AO299-AP299)</f>
        <v>-87028</v>
      </c>
      <c r="AR299" s="8">
        <f>AQ299/AG299</f>
        <v>-3.8593348115299332E-2</v>
      </c>
      <c r="AT299" s="10">
        <v>0</v>
      </c>
      <c r="AU299" s="10">
        <v>0</v>
      </c>
      <c r="AV299" s="9">
        <f>AQ299-AT299-AU299</f>
        <v>-87028</v>
      </c>
      <c r="AW299" s="8">
        <f>AV299/AG299</f>
        <v>-3.8593348115299332E-2</v>
      </c>
      <c r="AY299" s="7"/>
      <c r="AZ299" s="50"/>
      <c r="BA299" s="52"/>
      <c r="BB299" s="7"/>
    </row>
    <row r="300" spans="1:54" ht="16.5" customHeight="1" x14ac:dyDescent="0.3">
      <c r="E300" s="5">
        <v>2099000</v>
      </c>
      <c r="F300" s="4">
        <f>ROUNDDOWN(E300/(1-F298),-1)</f>
        <v>2099000</v>
      </c>
      <c r="G300" s="105">
        <f>ROUNDDOWN(IF(F300*G298&gt;H298,H298,F300*G298),-1)</f>
        <v>188910</v>
      </c>
      <c r="H300" s="105"/>
      <c r="J300" s="54">
        <f>F299*4%</f>
        <v>100843.2</v>
      </c>
      <c r="X300" s="3">
        <f>G300*X298</f>
        <v>0</v>
      </c>
      <c r="Y300" s="3"/>
      <c r="Z300" s="3"/>
      <c r="AG300" s="57"/>
    </row>
    <row r="301" spans="1:54" ht="27" customHeight="1" x14ac:dyDescent="0.3">
      <c r="A301" s="124" t="s">
        <v>34</v>
      </c>
      <c r="B301" s="127" t="s">
        <v>104</v>
      </c>
      <c r="C301" s="128"/>
      <c r="D301" s="128"/>
      <c r="E301" s="128"/>
      <c r="F301" s="128"/>
      <c r="G301" s="128"/>
      <c r="H301" s="128"/>
      <c r="I301" s="128"/>
      <c r="J301" s="128"/>
      <c r="K301" s="128"/>
      <c r="L301" s="128"/>
      <c r="M301" s="128"/>
      <c r="N301" s="128"/>
      <c r="O301" s="128"/>
      <c r="P301" s="128"/>
      <c r="Q301" s="128"/>
      <c r="R301" s="129"/>
      <c r="T301" s="130" t="s">
        <v>33</v>
      </c>
      <c r="U301" s="131"/>
      <c r="V301" s="131"/>
      <c r="W301" s="131"/>
      <c r="X301" s="131"/>
      <c r="Y301" s="131"/>
      <c r="Z301" s="131"/>
      <c r="AA301" s="131"/>
      <c r="AB301" s="131"/>
      <c r="AC301" s="131"/>
      <c r="AD301" s="131"/>
      <c r="AE301" s="131"/>
      <c r="AF301" s="131"/>
      <c r="AG301" s="131"/>
      <c r="AH301" s="132"/>
      <c r="AI301" s="37"/>
      <c r="AM301" s="130" t="s">
        <v>32</v>
      </c>
      <c r="AN301" s="131"/>
      <c r="AO301" s="131"/>
      <c r="AP301" s="131"/>
      <c r="AQ301" s="131"/>
      <c r="AR301" s="132"/>
      <c r="AT301" s="130" t="s">
        <v>31</v>
      </c>
      <c r="AU301" s="131"/>
      <c r="AV301" s="131"/>
      <c r="AW301" s="132"/>
      <c r="AY301" s="36" t="s">
        <v>36</v>
      </c>
      <c r="AZ301" s="48"/>
      <c r="BA301" s="52"/>
      <c r="BB301" s="36"/>
    </row>
    <row r="302" spans="1:54" ht="32.25" customHeight="1" x14ac:dyDescent="0.3">
      <c r="A302" s="125"/>
      <c r="B302" s="133" t="s">
        <v>30</v>
      </c>
      <c r="C302" s="133" t="s">
        <v>29</v>
      </c>
      <c r="D302" s="116" t="s">
        <v>28</v>
      </c>
      <c r="E302" s="116" t="s">
        <v>27</v>
      </c>
      <c r="F302" s="34" t="s">
        <v>26</v>
      </c>
      <c r="G302" s="122" t="s">
        <v>63</v>
      </c>
      <c r="H302" s="123"/>
      <c r="I302" s="122" t="s">
        <v>50</v>
      </c>
      <c r="J302" s="123"/>
      <c r="K302" s="122" t="s">
        <v>62</v>
      </c>
      <c r="L302" s="123"/>
      <c r="M302" s="122" t="s">
        <v>25</v>
      </c>
      <c r="N302" s="123"/>
      <c r="O302" s="122" t="s">
        <v>24</v>
      </c>
      <c r="P302" s="123"/>
      <c r="Q302" s="106" t="s">
        <v>23</v>
      </c>
      <c r="R302" s="106" t="s">
        <v>22</v>
      </c>
      <c r="S302" s="21"/>
      <c r="T302" s="34" t="s">
        <v>21</v>
      </c>
      <c r="U302" s="34" t="s">
        <v>20</v>
      </c>
      <c r="V302" s="34" t="s">
        <v>69</v>
      </c>
      <c r="W302" s="34" t="s">
        <v>19</v>
      </c>
      <c r="X302" s="34" t="s">
        <v>18</v>
      </c>
      <c r="Y302" s="34" t="s">
        <v>48</v>
      </c>
      <c r="Z302" s="34" t="s">
        <v>49</v>
      </c>
      <c r="AA302" s="34" t="s">
        <v>17</v>
      </c>
      <c r="AB302" s="106" t="s">
        <v>16</v>
      </c>
      <c r="AC302" s="106" t="s">
        <v>15</v>
      </c>
      <c r="AD302" s="106" t="s">
        <v>14</v>
      </c>
      <c r="AE302" s="106" t="s">
        <v>13</v>
      </c>
      <c r="AF302" s="106" t="s">
        <v>12</v>
      </c>
      <c r="AG302" s="116" t="s">
        <v>11</v>
      </c>
      <c r="AH302" s="118" t="s">
        <v>10</v>
      </c>
      <c r="AI302" s="120" t="s">
        <v>9</v>
      </c>
      <c r="AJ302" s="35">
        <f>(1-R304/F304)</f>
        <v>0.22186126580671772</v>
      </c>
      <c r="AK302" s="35">
        <f>1-(AD304+AM304)/F304</f>
        <v>0.13324963904358444</v>
      </c>
      <c r="AM302" s="106" t="s">
        <v>8</v>
      </c>
      <c r="AN302" s="106" t="s">
        <v>7</v>
      </c>
      <c r="AO302" s="106" t="s">
        <v>37</v>
      </c>
      <c r="AP302" s="106" t="s">
        <v>38</v>
      </c>
      <c r="AQ302" s="106" t="s">
        <v>6</v>
      </c>
      <c r="AR302" s="106" t="s">
        <v>5</v>
      </c>
      <c r="AT302" s="106" t="s">
        <v>4</v>
      </c>
      <c r="AU302" s="106" t="s">
        <v>3</v>
      </c>
      <c r="AV302" s="106" t="s">
        <v>2</v>
      </c>
      <c r="AW302" s="106" t="s">
        <v>1</v>
      </c>
      <c r="AY302" s="106"/>
      <c r="AZ302" s="108"/>
      <c r="BA302" s="52"/>
      <c r="BB302" s="106"/>
    </row>
    <row r="303" spans="1:54" ht="27" customHeight="1" x14ac:dyDescent="0.3">
      <c r="A303" s="126"/>
      <c r="B303" s="134"/>
      <c r="C303" s="134"/>
      <c r="D303" s="117"/>
      <c r="E303" s="117"/>
      <c r="F303" s="31">
        <v>0</v>
      </c>
      <c r="G303" s="33">
        <v>0.08</v>
      </c>
      <c r="H303" s="32">
        <v>400000</v>
      </c>
      <c r="I303" s="31">
        <v>1</v>
      </c>
      <c r="J303" s="32">
        <v>0</v>
      </c>
      <c r="K303" s="31">
        <v>1</v>
      </c>
      <c r="L303" s="32">
        <v>210000</v>
      </c>
      <c r="M303" s="31">
        <v>7.0000000000000007E-2</v>
      </c>
      <c r="N303" s="32">
        <v>150000</v>
      </c>
      <c r="O303" s="31">
        <v>0</v>
      </c>
      <c r="P303" s="32">
        <v>0</v>
      </c>
      <c r="Q303" s="107"/>
      <c r="R303" s="107"/>
      <c r="S303" s="21"/>
      <c r="T303" s="31">
        <f>IF(C304="노트북",7%,IF(C304="저장&amp;주변기기",9%,IF(C304="모니터",7%)))</f>
        <v>7.0000000000000007E-2</v>
      </c>
      <c r="U303" s="31">
        <v>0</v>
      </c>
      <c r="V303" s="31">
        <v>0.03</v>
      </c>
      <c r="W303" s="31">
        <f>IF(G303=0%,20%,0%)</f>
        <v>0</v>
      </c>
      <c r="X303" s="30">
        <v>0</v>
      </c>
      <c r="Y303" s="30">
        <v>1</v>
      </c>
      <c r="Z303" s="53">
        <v>1</v>
      </c>
      <c r="AA303" s="29">
        <v>0.5</v>
      </c>
      <c r="AB303" s="107"/>
      <c r="AC303" s="107"/>
      <c r="AD303" s="107"/>
      <c r="AE303" s="107"/>
      <c r="AF303" s="107"/>
      <c r="AG303" s="117"/>
      <c r="AH303" s="119"/>
      <c r="AI303" s="121"/>
      <c r="AJ303" s="55" t="s">
        <v>52</v>
      </c>
      <c r="AK303" s="56">
        <f>AJ302-AK302</f>
        <v>8.8611626763133278E-2</v>
      </c>
      <c r="AM303" s="107"/>
      <c r="AN303" s="107"/>
      <c r="AO303" s="107"/>
      <c r="AP303" s="107"/>
      <c r="AQ303" s="107"/>
      <c r="AR303" s="107"/>
      <c r="AS303" s="39"/>
      <c r="AT303" s="107"/>
      <c r="AU303" s="107"/>
      <c r="AV303" s="107"/>
      <c r="AW303" s="107"/>
      <c r="AY303" s="107"/>
      <c r="AZ303" s="109"/>
      <c r="BA303" s="52"/>
      <c r="BB303" s="107"/>
    </row>
    <row r="304" spans="1:54" ht="27" customHeight="1" x14ac:dyDescent="0.3">
      <c r="A304" s="51" t="s">
        <v>92</v>
      </c>
      <c r="B304" s="38" t="s">
        <v>35</v>
      </c>
      <c r="C304" s="27" t="s">
        <v>0</v>
      </c>
      <c r="D304" s="26">
        <v>4435521706</v>
      </c>
      <c r="E304" s="25">
        <v>2521080</v>
      </c>
      <c r="F304" s="24">
        <f>ROUNDDOWN(E304/(1-F303),-1)</f>
        <v>2521080</v>
      </c>
      <c r="G304" s="110">
        <f>ROUNDDOWN(IF(F304*G303&gt;H303,H303,F304*G303),-1)</f>
        <v>201680</v>
      </c>
      <c r="H304" s="111"/>
      <c r="I304" s="112">
        <f>ROUNDDOWN(IF(F304*I303&gt;J303,J303,F304*I303),-1)</f>
        <v>0</v>
      </c>
      <c r="J304" s="113"/>
      <c r="K304" s="112">
        <f>ROUNDDOWN(IF(F304*K303&gt;L303,L303,F304*K303),-1)</f>
        <v>210000</v>
      </c>
      <c r="L304" s="113"/>
      <c r="M304" s="110">
        <f>ROUNDDOWN(IF(Q304*M303&gt;N303,N303,Q304*M303),-1)</f>
        <v>147650</v>
      </c>
      <c r="N304" s="111"/>
      <c r="O304" s="110">
        <f>ROUNDDOWN(IF(F304*O303&gt;P303,P303,F304*O303),-1)</f>
        <v>0</v>
      </c>
      <c r="P304" s="111"/>
      <c r="Q304" s="23">
        <f>F304-G304-I304-K304</f>
        <v>2109400</v>
      </c>
      <c r="R304" s="22">
        <f>F304-G304-I304-K304-M304-O304</f>
        <v>1961750</v>
      </c>
      <c r="S304" s="21"/>
      <c r="T304" s="20">
        <f>F304*T303</f>
        <v>176475.6</v>
      </c>
      <c r="U304" s="20">
        <f>F304*U303</f>
        <v>0</v>
      </c>
      <c r="V304" s="20">
        <f>(F304-I304)*V303</f>
        <v>75632.399999999994</v>
      </c>
      <c r="W304" s="19">
        <f>(F304*F303)*W303</f>
        <v>0</v>
      </c>
      <c r="X304" s="19">
        <f>G304*X303</f>
        <v>0</v>
      </c>
      <c r="Y304" s="19">
        <f>I304*Y303</f>
        <v>0</v>
      </c>
      <c r="Z304" s="19">
        <f>K304*Z303</f>
        <v>210000</v>
      </c>
      <c r="AA304" s="19">
        <f>M304*AA303</f>
        <v>73825</v>
      </c>
      <c r="AB304" s="19">
        <v>0</v>
      </c>
      <c r="AC304" s="16">
        <v>6000</v>
      </c>
      <c r="AD304" s="18">
        <f>F304-T304-U304-V304-W304-AA304-X304-Y304-Z304-AB304</f>
        <v>1985147</v>
      </c>
      <c r="AE304" s="18">
        <f>F304-T304-U304-V304-W304-X304-Y304-Z304-AA304-AB304-AC304</f>
        <v>1979147</v>
      </c>
      <c r="AF304" s="17">
        <f>AE304-AG304</f>
        <v>-275853</v>
      </c>
      <c r="AG304" s="16">
        <v>2255000</v>
      </c>
      <c r="AH304" s="15">
        <f>AF304/AG304</f>
        <v>-0.12232949002217294</v>
      </c>
      <c r="AI304" s="14">
        <f>1-R304/(AG304-AM304-AN304-AO304)</f>
        <v>4.5377128953771328E-2</v>
      </c>
      <c r="AJ304" s="114">
        <f>(1-R304/F304)-(1-(AD304)/F304)</f>
        <v>9.2805464324813292E-3</v>
      </c>
      <c r="AK304" s="115"/>
      <c r="AM304" s="13">
        <v>200000</v>
      </c>
      <c r="AN304" s="12"/>
      <c r="AO304" s="12"/>
      <c r="AP304" s="12"/>
      <c r="AQ304" s="11">
        <f>AE304-(AG304-AM304-AN304-AO304-AP304)</f>
        <v>-75853</v>
      </c>
      <c r="AR304" s="8">
        <f>AQ304/AG304</f>
        <v>-3.3637694013303771E-2</v>
      </c>
      <c r="AT304" s="10">
        <v>0</v>
      </c>
      <c r="AU304" s="10">
        <v>0</v>
      </c>
      <c r="AV304" s="9">
        <f>AQ304-AT304-AU304</f>
        <v>-75853</v>
      </c>
      <c r="AW304" s="8">
        <f>AV304/AG304</f>
        <v>-3.3637694013303771E-2</v>
      </c>
      <c r="AY304" s="7"/>
      <c r="AZ304" s="50"/>
      <c r="BA304" s="52"/>
      <c r="BB304" s="7"/>
    </row>
    <row r="305" spans="1:54" ht="16.5" customHeight="1" x14ac:dyDescent="0.3">
      <c r="E305" s="5">
        <v>2099000</v>
      </c>
      <c r="F305" s="4">
        <f>ROUNDDOWN(E305/(1-F303),-1)</f>
        <v>2099000</v>
      </c>
      <c r="G305" s="105">
        <f>ROUNDDOWN(IF(F305*G303&gt;H303,H303,F305*G303),-1)</f>
        <v>167920</v>
      </c>
      <c r="H305" s="105"/>
      <c r="J305" s="54">
        <f>F304*4%</f>
        <v>100843.2</v>
      </c>
      <c r="X305" s="3">
        <f>G305*X303</f>
        <v>0</v>
      </c>
      <c r="Y305" s="3"/>
      <c r="Z305" s="3"/>
      <c r="AG305" s="57"/>
    </row>
    <row r="307" spans="1:54" ht="27" customHeight="1" x14ac:dyDescent="0.3">
      <c r="A307" s="124" t="s">
        <v>34</v>
      </c>
      <c r="B307" s="127" t="s">
        <v>108</v>
      </c>
      <c r="C307" s="128"/>
      <c r="D307" s="128"/>
      <c r="E307" s="128"/>
      <c r="F307" s="128"/>
      <c r="G307" s="128"/>
      <c r="H307" s="128"/>
      <c r="I307" s="128"/>
      <c r="J307" s="128"/>
      <c r="K307" s="128"/>
      <c r="L307" s="128"/>
      <c r="M307" s="128"/>
      <c r="N307" s="128"/>
      <c r="O307" s="128"/>
      <c r="P307" s="128"/>
      <c r="Q307" s="128"/>
      <c r="R307" s="129"/>
      <c r="T307" s="130" t="s">
        <v>33</v>
      </c>
      <c r="U307" s="131"/>
      <c r="V307" s="131"/>
      <c r="W307" s="131"/>
      <c r="X307" s="131"/>
      <c r="Y307" s="131"/>
      <c r="Z307" s="131"/>
      <c r="AA307" s="131"/>
      <c r="AB307" s="131"/>
      <c r="AC307" s="131"/>
      <c r="AD307" s="131"/>
      <c r="AE307" s="131"/>
      <c r="AF307" s="131"/>
      <c r="AG307" s="131"/>
      <c r="AH307" s="132"/>
      <c r="AI307" s="37"/>
      <c r="AM307" s="130" t="s">
        <v>32</v>
      </c>
      <c r="AN307" s="131"/>
      <c r="AO307" s="131"/>
      <c r="AP307" s="131"/>
      <c r="AQ307" s="131"/>
      <c r="AR307" s="132"/>
      <c r="AT307" s="130" t="s">
        <v>31</v>
      </c>
      <c r="AU307" s="131"/>
      <c r="AV307" s="131"/>
      <c r="AW307" s="132"/>
      <c r="AY307" s="47" t="s">
        <v>36</v>
      </c>
      <c r="AZ307" s="48"/>
      <c r="BB307" s="36"/>
    </row>
    <row r="308" spans="1:54" ht="32.25" customHeight="1" x14ac:dyDescent="0.3">
      <c r="A308" s="125"/>
      <c r="B308" s="133" t="s">
        <v>30</v>
      </c>
      <c r="C308" s="133" t="s">
        <v>29</v>
      </c>
      <c r="D308" s="116" t="s">
        <v>28</v>
      </c>
      <c r="E308" s="116" t="s">
        <v>27</v>
      </c>
      <c r="F308" s="34" t="s">
        <v>26</v>
      </c>
      <c r="G308" s="122" t="s">
        <v>63</v>
      </c>
      <c r="H308" s="123"/>
      <c r="I308" s="122" t="s">
        <v>50</v>
      </c>
      <c r="J308" s="123"/>
      <c r="K308" s="122" t="s">
        <v>62</v>
      </c>
      <c r="L308" s="123"/>
      <c r="M308" s="122" t="s">
        <v>25</v>
      </c>
      <c r="N308" s="123"/>
      <c r="O308" s="122" t="s">
        <v>24</v>
      </c>
      <c r="P308" s="123"/>
      <c r="Q308" s="106" t="s">
        <v>23</v>
      </c>
      <c r="R308" s="106" t="s">
        <v>22</v>
      </c>
      <c r="S308" s="21"/>
      <c r="T308" s="34" t="s">
        <v>21</v>
      </c>
      <c r="U308" s="34" t="s">
        <v>20</v>
      </c>
      <c r="V308" s="34" t="s">
        <v>95</v>
      </c>
      <c r="W308" s="34" t="s">
        <v>19</v>
      </c>
      <c r="X308" s="34" t="s">
        <v>18</v>
      </c>
      <c r="Y308" s="34" t="s">
        <v>48</v>
      </c>
      <c r="Z308" s="34" t="s">
        <v>49</v>
      </c>
      <c r="AA308" s="34" t="s">
        <v>17</v>
      </c>
      <c r="AB308" s="106" t="s">
        <v>16</v>
      </c>
      <c r="AC308" s="106" t="s">
        <v>15</v>
      </c>
      <c r="AD308" s="106" t="s">
        <v>14</v>
      </c>
      <c r="AE308" s="106" t="s">
        <v>13</v>
      </c>
      <c r="AF308" s="106" t="s">
        <v>12</v>
      </c>
      <c r="AG308" s="116" t="s">
        <v>11</v>
      </c>
      <c r="AH308" s="118" t="s">
        <v>10</v>
      </c>
      <c r="AI308" s="120" t="s">
        <v>9</v>
      </c>
      <c r="AJ308" s="35">
        <f>(1-R310/F310)</f>
        <v>0.14142116950407102</v>
      </c>
      <c r="AK308" s="35">
        <f>1-(AD310+AM310)/F310</f>
        <v>0.14031828275351588</v>
      </c>
      <c r="AM308" s="106" t="s">
        <v>8</v>
      </c>
      <c r="AN308" s="106" t="s">
        <v>7</v>
      </c>
      <c r="AO308" s="106" t="s">
        <v>37</v>
      </c>
      <c r="AP308" s="106" t="s">
        <v>38</v>
      </c>
      <c r="AQ308" s="106" t="s">
        <v>6</v>
      </c>
      <c r="AR308" s="106" t="s">
        <v>5</v>
      </c>
      <c r="AT308" s="106" t="s">
        <v>4</v>
      </c>
      <c r="AU308" s="106" t="s">
        <v>3</v>
      </c>
      <c r="AV308" s="106" t="s">
        <v>2</v>
      </c>
      <c r="AW308" s="106" t="s">
        <v>1</v>
      </c>
      <c r="AY308" s="108"/>
      <c r="AZ308" s="108"/>
      <c r="BB308" s="106"/>
    </row>
    <row r="309" spans="1:54" ht="27" customHeight="1" x14ac:dyDescent="0.3">
      <c r="A309" s="126"/>
      <c r="B309" s="134"/>
      <c r="C309" s="134"/>
      <c r="D309" s="117"/>
      <c r="E309" s="117"/>
      <c r="F309" s="31">
        <v>0</v>
      </c>
      <c r="G309" s="33">
        <v>0.06</v>
      </c>
      <c r="H309" s="32">
        <v>1000000</v>
      </c>
      <c r="I309" s="31">
        <v>1</v>
      </c>
      <c r="J309" s="32">
        <v>100000</v>
      </c>
      <c r="K309" s="31">
        <v>1</v>
      </c>
      <c r="L309" s="32">
        <v>300000</v>
      </c>
      <c r="M309" s="31">
        <v>7.0000000000000007E-2</v>
      </c>
      <c r="N309" s="32">
        <v>150000</v>
      </c>
      <c r="O309" s="31">
        <v>0</v>
      </c>
      <c r="P309" s="32">
        <v>0</v>
      </c>
      <c r="Q309" s="107"/>
      <c r="R309" s="107"/>
      <c r="S309" s="21"/>
      <c r="T309" s="31">
        <f>IF(C310="노트북",7%,IF(C310="저장&amp;주변기기",9%,IF(C310="모니터",7%)))</f>
        <v>7.0000000000000007E-2</v>
      </c>
      <c r="U309" s="31">
        <v>0</v>
      </c>
      <c r="V309" s="31">
        <v>0</v>
      </c>
      <c r="W309" s="31">
        <f>IF(G309=0%,20%,0%)</f>
        <v>0</v>
      </c>
      <c r="X309" s="30">
        <v>0</v>
      </c>
      <c r="Y309" s="30">
        <v>1</v>
      </c>
      <c r="Z309" s="53">
        <v>1</v>
      </c>
      <c r="AA309" s="29">
        <v>0.5</v>
      </c>
      <c r="AB309" s="107"/>
      <c r="AC309" s="107"/>
      <c r="AD309" s="107"/>
      <c r="AE309" s="107"/>
      <c r="AF309" s="107"/>
      <c r="AG309" s="117"/>
      <c r="AH309" s="119"/>
      <c r="AI309" s="121"/>
      <c r="AJ309" s="55" t="s">
        <v>52</v>
      </c>
      <c r="AK309" s="56">
        <f>AJ308-AK308</f>
        <v>1.1028867505551432E-3</v>
      </c>
      <c r="AM309" s="107"/>
      <c r="AN309" s="107"/>
      <c r="AO309" s="107"/>
      <c r="AP309" s="107"/>
      <c r="AQ309" s="107"/>
      <c r="AR309" s="107"/>
      <c r="AS309" s="39"/>
      <c r="AT309" s="107"/>
      <c r="AU309" s="117"/>
      <c r="AV309" s="107"/>
      <c r="AW309" s="107"/>
      <c r="AY309" s="109"/>
      <c r="AZ309" s="109"/>
      <c r="BB309" s="107"/>
    </row>
    <row r="310" spans="1:54" ht="27" customHeight="1" x14ac:dyDescent="0.3">
      <c r="A310" s="28" t="s">
        <v>93</v>
      </c>
      <c r="B310" s="38" t="s">
        <v>35</v>
      </c>
      <c r="C310" s="27" t="s">
        <v>0</v>
      </c>
      <c r="D310" s="26"/>
      <c r="E310" s="25">
        <v>6755000</v>
      </c>
      <c r="F310" s="24">
        <f>ROUNDDOWN(E310/(1-F309),-1)</f>
        <v>6755000</v>
      </c>
      <c r="G310" s="110">
        <f>ROUNDDOWN(IF(F310*G309&gt;H309,H309,F310*G309),-1)</f>
        <v>405300</v>
      </c>
      <c r="H310" s="111"/>
      <c r="I310" s="112">
        <f>ROUNDDOWN(IF(F310*I309&gt;J309,J309,F310*I309),-1)</f>
        <v>100000</v>
      </c>
      <c r="J310" s="113"/>
      <c r="K310" s="112">
        <f>ROUNDDOWN(IF(F310*K309&gt;L309,L309,F310*K309),-1)</f>
        <v>300000</v>
      </c>
      <c r="L310" s="113"/>
      <c r="M310" s="110">
        <f>ROUNDDOWN(IF(Q310*M309&gt;N309,N309,Q310*M309),-1)</f>
        <v>150000</v>
      </c>
      <c r="N310" s="111"/>
      <c r="O310" s="110">
        <f>ROUNDDOWN(IF(F310*O309&gt;P309,P309,F310*O309),-1)</f>
        <v>0</v>
      </c>
      <c r="P310" s="111"/>
      <c r="Q310" s="23">
        <f>F310-G310-I310-K310</f>
        <v>5949700</v>
      </c>
      <c r="R310" s="22">
        <f>F310-G310-I310-K310-M310-O310</f>
        <v>5799700</v>
      </c>
      <c r="S310" s="21"/>
      <c r="T310" s="20">
        <f>F310*T309</f>
        <v>472850.00000000006</v>
      </c>
      <c r="U310" s="20">
        <f>F310*U309</f>
        <v>0</v>
      </c>
      <c r="V310" s="20">
        <f>(F310-I310)*V309</f>
        <v>0</v>
      </c>
      <c r="W310" s="19">
        <f>(F310*F309)*W309</f>
        <v>0</v>
      </c>
      <c r="X310" s="19">
        <f>G310*X309</f>
        <v>0</v>
      </c>
      <c r="Y310" s="19">
        <f>I310*Y309</f>
        <v>100000</v>
      </c>
      <c r="Z310" s="19">
        <f>K310*Z309</f>
        <v>300000</v>
      </c>
      <c r="AA310" s="19">
        <f>M310*AA309</f>
        <v>75000</v>
      </c>
      <c r="AB310" s="19">
        <v>0</v>
      </c>
      <c r="AC310" s="16">
        <v>15000</v>
      </c>
      <c r="AD310" s="18">
        <f>F310-T310-U310-V310-W310-AA310-X310-Y310-Z310-AB310</f>
        <v>5807150</v>
      </c>
      <c r="AE310" s="18">
        <f>F310-T310-U310-V310-W310-X310-Y310-Z310-AA310-AB310-AC310</f>
        <v>5792150</v>
      </c>
      <c r="AF310" s="17">
        <f>AE310-AG310</f>
        <v>272150</v>
      </c>
      <c r="AG310" s="16">
        <v>5520000</v>
      </c>
      <c r="AH310" s="15">
        <f>AF310/AG310</f>
        <v>4.9302536231884055E-2</v>
      </c>
      <c r="AI310" s="14">
        <f>1-R310/(AG310-AM310-AN310-AO310)</f>
        <v>-5.0670289855072381E-2</v>
      </c>
      <c r="AJ310" s="114">
        <f>(1-R310/F310)-(1-(AD310)/F310)</f>
        <v>1.1028867505551432E-3</v>
      </c>
      <c r="AK310" s="115"/>
      <c r="AM310" s="13">
        <v>0</v>
      </c>
      <c r="AN310" s="12">
        <f>X310*AN309</f>
        <v>0</v>
      </c>
      <c r="AO310" s="12">
        <v>0</v>
      </c>
      <c r="AP310" s="12"/>
      <c r="AQ310" s="11">
        <f>AE310-(AG310-AM310-AN310-AO310-AP310)</f>
        <v>272150</v>
      </c>
      <c r="AR310" s="8">
        <f>AQ310/AG310</f>
        <v>4.9302536231884055E-2</v>
      </c>
      <c r="AT310" s="10">
        <v>0</v>
      </c>
      <c r="AU310" s="10">
        <v>0</v>
      </c>
      <c r="AV310" s="9">
        <f>AQ310-AT310-AU310</f>
        <v>272150</v>
      </c>
      <c r="AW310" s="8">
        <f>AV310/AG310</f>
        <v>4.9302536231884055E-2</v>
      </c>
      <c r="AY310" s="49"/>
      <c r="AZ310" s="50"/>
      <c r="BB310" s="6"/>
    </row>
    <row r="311" spans="1:54" x14ac:dyDescent="0.3">
      <c r="E311" s="5">
        <v>5999000</v>
      </c>
      <c r="F311" s="4">
        <f>ROUNDDOWN(E311/(1-F309),-1)</f>
        <v>5999000</v>
      </c>
      <c r="G311" s="138">
        <f>ROUNDDOWN(IF(F311*G309&gt;H309,H309,F311*G309),-1)</f>
        <v>359940</v>
      </c>
      <c r="H311" s="138"/>
      <c r="J311" s="54">
        <f>F310*4%</f>
        <v>270200</v>
      </c>
      <c r="R311" s="4">
        <v>4779840</v>
      </c>
      <c r="X311" s="3">
        <f>G311*X309</f>
        <v>0</v>
      </c>
      <c r="Y311" s="3"/>
      <c r="Z311" s="3"/>
    </row>
    <row r="312" spans="1:54" x14ac:dyDescent="0.3">
      <c r="E312" s="5"/>
      <c r="F312" s="4"/>
      <c r="G312" s="89"/>
      <c r="H312" s="89"/>
      <c r="J312" s="54"/>
      <c r="R312" s="4"/>
      <c r="X312" s="3"/>
      <c r="Y312" s="3"/>
      <c r="Z312" s="3"/>
    </row>
    <row r="313" spans="1:54" ht="27" customHeight="1" x14ac:dyDescent="0.3">
      <c r="A313" s="124" t="s">
        <v>34</v>
      </c>
      <c r="B313" s="127" t="s">
        <v>109</v>
      </c>
      <c r="C313" s="128"/>
      <c r="D313" s="128"/>
      <c r="E313" s="128"/>
      <c r="F313" s="128"/>
      <c r="G313" s="128"/>
      <c r="H313" s="128"/>
      <c r="I313" s="128"/>
      <c r="J313" s="128"/>
      <c r="K313" s="128"/>
      <c r="L313" s="128"/>
      <c r="M313" s="128"/>
      <c r="N313" s="128"/>
      <c r="O313" s="128"/>
      <c r="P313" s="128"/>
      <c r="Q313" s="128"/>
      <c r="R313" s="129"/>
      <c r="T313" s="130" t="s">
        <v>33</v>
      </c>
      <c r="U313" s="131"/>
      <c r="V313" s="131"/>
      <c r="W313" s="131"/>
      <c r="X313" s="131"/>
      <c r="Y313" s="131"/>
      <c r="Z313" s="131"/>
      <c r="AA313" s="131"/>
      <c r="AB313" s="131"/>
      <c r="AC313" s="131"/>
      <c r="AD313" s="131"/>
      <c r="AE313" s="131"/>
      <c r="AF313" s="131"/>
      <c r="AG313" s="131"/>
      <c r="AH313" s="132"/>
      <c r="AI313" s="37"/>
      <c r="AM313" s="130" t="s">
        <v>32</v>
      </c>
      <c r="AN313" s="131"/>
      <c r="AO313" s="131"/>
      <c r="AP313" s="131"/>
      <c r="AQ313" s="131"/>
      <c r="AR313" s="132"/>
      <c r="AT313" s="130" t="s">
        <v>31</v>
      </c>
      <c r="AU313" s="131"/>
      <c r="AV313" s="131"/>
      <c r="AW313" s="132"/>
      <c r="AY313" s="47" t="s">
        <v>36</v>
      </c>
      <c r="AZ313" s="48"/>
      <c r="BB313" s="36"/>
    </row>
    <row r="314" spans="1:54" ht="32.25" customHeight="1" x14ac:dyDescent="0.3">
      <c r="A314" s="125"/>
      <c r="B314" s="133" t="s">
        <v>30</v>
      </c>
      <c r="C314" s="133" t="s">
        <v>29</v>
      </c>
      <c r="D314" s="116" t="s">
        <v>28</v>
      </c>
      <c r="E314" s="116" t="s">
        <v>27</v>
      </c>
      <c r="F314" s="34" t="s">
        <v>26</v>
      </c>
      <c r="G314" s="122" t="s">
        <v>63</v>
      </c>
      <c r="H314" s="123"/>
      <c r="I314" s="122" t="s">
        <v>50</v>
      </c>
      <c r="J314" s="123"/>
      <c r="K314" s="122" t="s">
        <v>62</v>
      </c>
      <c r="L314" s="123"/>
      <c r="M314" s="122" t="s">
        <v>25</v>
      </c>
      <c r="N314" s="123"/>
      <c r="O314" s="122" t="s">
        <v>24</v>
      </c>
      <c r="P314" s="123"/>
      <c r="Q314" s="106" t="s">
        <v>23</v>
      </c>
      <c r="R314" s="106" t="s">
        <v>22</v>
      </c>
      <c r="S314" s="21"/>
      <c r="T314" s="34" t="s">
        <v>21</v>
      </c>
      <c r="U314" s="34" t="s">
        <v>20</v>
      </c>
      <c r="V314" s="34" t="s">
        <v>95</v>
      </c>
      <c r="W314" s="34" t="s">
        <v>19</v>
      </c>
      <c r="X314" s="34" t="s">
        <v>18</v>
      </c>
      <c r="Y314" s="34" t="s">
        <v>48</v>
      </c>
      <c r="Z314" s="34" t="s">
        <v>49</v>
      </c>
      <c r="AA314" s="34" t="s">
        <v>17</v>
      </c>
      <c r="AB314" s="106" t="s">
        <v>16</v>
      </c>
      <c r="AC314" s="106" t="s">
        <v>15</v>
      </c>
      <c r="AD314" s="106" t="s">
        <v>14</v>
      </c>
      <c r="AE314" s="106" t="s">
        <v>13</v>
      </c>
      <c r="AF314" s="106" t="s">
        <v>12</v>
      </c>
      <c r="AG314" s="116" t="s">
        <v>11</v>
      </c>
      <c r="AH314" s="118" t="s">
        <v>10</v>
      </c>
      <c r="AI314" s="120" t="s">
        <v>9</v>
      </c>
      <c r="AJ314" s="35">
        <f>(1-R316/F316)</f>
        <v>0.13893226176808271</v>
      </c>
      <c r="AK314" s="35">
        <f>1-(AD316+AM316)/F316</f>
        <v>0.13816877152698048</v>
      </c>
      <c r="AM314" s="106" t="s">
        <v>8</v>
      </c>
      <c r="AN314" s="106" t="s">
        <v>7</v>
      </c>
      <c r="AO314" s="106" t="s">
        <v>37</v>
      </c>
      <c r="AP314" s="106" t="s">
        <v>38</v>
      </c>
      <c r="AQ314" s="106" t="s">
        <v>6</v>
      </c>
      <c r="AR314" s="106" t="s">
        <v>5</v>
      </c>
      <c r="AT314" s="106" t="s">
        <v>4</v>
      </c>
      <c r="AU314" s="106" t="s">
        <v>3</v>
      </c>
      <c r="AV314" s="106" t="s">
        <v>2</v>
      </c>
      <c r="AW314" s="106" t="s">
        <v>1</v>
      </c>
      <c r="AY314" s="108"/>
      <c r="AZ314" s="108"/>
      <c r="BB314" s="106"/>
    </row>
    <row r="315" spans="1:54" ht="27" customHeight="1" x14ac:dyDescent="0.3">
      <c r="A315" s="126"/>
      <c r="B315" s="134"/>
      <c r="C315" s="134"/>
      <c r="D315" s="117"/>
      <c r="E315" s="117"/>
      <c r="F315" s="31">
        <v>0</v>
      </c>
      <c r="G315" s="33">
        <v>0.06</v>
      </c>
      <c r="H315" s="32">
        <v>1000000</v>
      </c>
      <c r="I315" s="31">
        <v>1</v>
      </c>
      <c r="J315" s="32">
        <v>100000</v>
      </c>
      <c r="K315" s="31">
        <v>1</v>
      </c>
      <c r="L315" s="32">
        <v>300000</v>
      </c>
      <c r="M315" s="31">
        <v>7.0000000000000007E-2</v>
      </c>
      <c r="N315" s="32">
        <v>150000</v>
      </c>
      <c r="O315" s="31">
        <v>0</v>
      </c>
      <c r="P315" s="32">
        <v>0</v>
      </c>
      <c r="Q315" s="107"/>
      <c r="R315" s="107"/>
      <c r="S315" s="21"/>
      <c r="T315" s="31">
        <f>IF(C316="노트북",7%,IF(C316="저장&amp;주변기기",9%,IF(C316="모니터",7%)))</f>
        <v>7.0000000000000007E-2</v>
      </c>
      <c r="U315" s="31">
        <v>0</v>
      </c>
      <c r="V315" s="31">
        <v>0</v>
      </c>
      <c r="W315" s="31">
        <f>IF(G315=0%,20%,0%)</f>
        <v>0</v>
      </c>
      <c r="X315" s="30">
        <v>0</v>
      </c>
      <c r="Y315" s="30">
        <v>1</v>
      </c>
      <c r="Z315" s="53">
        <v>1</v>
      </c>
      <c r="AA315" s="29">
        <v>0.5</v>
      </c>
      <c r="AB315" s="107"/>
      <c r="AC315" s="107"/>
      <c r="AD315" s="107"/>
      <c r="AE315" s="107"/>
      <c r="AF315" s="107"/>
      <c r="AG315" s="117"/>
      <c r="AH315" s="119"/>
      <c r="AI315" s="121"/>
      <c r="AJ315" s="55" t="s">
        <v>52</v>
      </c>
      <c r="AK315" s="56">
        <f>AJ314-AK314</f>
        <v>7.6349024110222707E-4</v>
      </c>
      <c r="AM315" s="107"/>
      <c r="AN315" s="107"/>
      <c r="AO315" s="107"/>
      <c r="AP315" s="107"/>
      <c r="AQ315" s="107"/>
      <c r="AR315" s="107"/>
      <c r="AS315" s="39"/>
      <c r="AT315" s="107"/>
      <c r="AU315" s="117"/>
      <c r="AV315" s="107"/>
      <c r="AW315" s="107"/>
      <c r="AY315" s="109"/>
      <c r="AZ315" s="109"/>
      <c r="BB315" s="107"/>
    </row>
    <row r="316" spans="1:54" ht="27" customHeight="1" x14ac:dyDescent="0.3">
      <c r="A316" s="28" t="s">
        <v>94</v>
      </c>
      <c r="B316" s="38" t="s">
        <v>35</v>
      </c>
      <c r="C316" s="27" t="s">
        <v>0</v>
      </c>
      <c r="D316" s="26">
        <v>4660417885</v>
      </c>
      <c r="E316" s="25">
        <v>6968000</v>
      </c>
      <c r="F316" s="24">
        <f>ROUNDDOWN(E316/(1-F315),-1)</f>
        <v>6968000</v>
      </c>
      <c r="G316" s="110">
        <f>ROUNDDOWN(IF(F316*G315&gt;H315,H315,F316*G315),-1)</f>
        <v>418080</v>
      </c>
      <c r="H316" s="111"/>
      <c r="I316" s="112">
        <f>ROUNDDOWN(IF(F316*I315&gt;J315,J315,F316*I315),-1)</f>
        <v>100000</v>
      </c>
      <c r="J316" s="113"/>
      <c r="K316" s="112">
        <f>ROUNDDOWN(IF(F316*K315&gt;L315,L315,F316*K315),-1)</f>
        <v>300000</v>
      </c>
      <c r="L316" s="113"/>
      <c r="M316" s="110">
        <f>ROUNDDOWN(IF(Q316*M315&gt;N315,N315,Q316*M315),-1)</f>
        <v>150000</v>
      </c>
      <c r="N316" s="111"/>
      <c r="O316" s="110">
        <f>ROUNDDOWN(IF(F316*O315&gt;P315,P315,F316*O315),-1)</f>
        <v>0</v>
      </c>
      <c r="P316" s="111"/>
      <c r="Q316" s="23">
        <f>F316-G316-I316-K316</f>
        <v>6149920</v>
      </c>
      <c r="R316" s="22">
        <f>F316-G316-I316-K316-M316-O316</f>
        <v>5999920</v>
      </c>
      <c r="S316" s="21"/>
      <c r="T316" s="20">
        <f>F316*T315</f>
        <v>487760.00000000006</v>
      </c>
      <c r="U316" s="20">
        <f>F316*U315</f>
        <v>0</v>
      </c>
      <c r="V316" s="20">
        <f>(F316-I316)*V315</f>
        <v>0</v>
      </c>
      <c r="W316" s="19">
        <f>(F316*F315)*W315</f>
        <v>0</v>
      </c>
      <c r="X316" s="19">
        <f>G316*X315</f>
        <v>0</v>
      </c>
      <c r="Y316" s="19">
        <f>I316*Y315</f>
        <v>100000</v>
      </c>
      <c r="Z316" s="19">
        <f>K316*Z315</f>
        <v>300000</v>
      </c>
      <c r="AA316" s="19">
        <f>M316*AA315</f>
        <v>75000</v>
      </c>
      <c r="AB316" s="19">
        <v>0</v>
      </c>
      <c r="AC316" s="16">
        <v>15000</v>
      </c>
      <c r="AD316" s="18">
        <f>F316-T316-U316-V316-W316-AA316-X316-Y316-Z316-AB316</f>
        <v>6005240</v>
      </c>
      <c r="AE316" s="18">
        <f>F316-T316-U316-V316-W316-X316-Y316-Z316-AA316-AB316-AC316</f>
        <v>5990240</v>
      </c>
      <c r="AF316" s="17">
        <f>AE316-AG316</f>
        <v>1736240</v>
      </c>
      <c r="AG316" s="16">
        <v>4254000</v>
      </c>
      <c r="AH316" s="15">
        <f>AF316/AG316</f>
        <v>0.40814292430653504</v>
      </c>
      <c r="AI316" s="14">
        <f>1-R316/(AG316-AM316-AN316-AO316)</f>
        <v>-0.41041842971321119</v>
      </c>
      <c r="AJ316" s="114">
        <f>(1-R316/F316)-(1-(AD316)/F316)</f>
        <v>7.6349024110222707E-4</v>
      </c>
      <c r="AK316" s="115"/>
      <c r="AM316" s="13">
        <v>0</v>
      </c>
      <c r="AN316" s="12">
        <f>X316*AN315</f>
        <v>0</v>
      </c>
      <c r="AO316" s="12">
        <v>0</v>
      </c>
      <c r="AP316" s="12"/>
      <c r="AQ316" s="11">
        <f>AE316-(AG316-AM316-AN316-AO316-AP316)</f>
        <v>1736240</v>
      </c>
      <c r="AR316" s="8">
        <f>AQ316/AG316</f>
        <v>0.40814292430653504</v>
      </c>
      <c r="AT316" s="10">
        <v>0</v>
      </c>
      <c r="AU316" s="10">
        <v>0</v>
      </c>
      <c r="AV316" s="9">
        <f>AQ316-AT316-AU316</f>
        <v>1736240</v>
      </c>
      <c r="AW316" s="8">
        <f>AV316/AG316</f>
        <v>0.40814292430653504</v>
      </c>
      <c r="AY316" s="49"/>
      <c r="AZ316" s="50"/>
      <c r="BB316" s="6"/>
    </row>
    <row r="317" spans="1:54" x14ac:dyDescent="0.3">
      <c r="E317" s="5">
        <v>4599000</v>
      </c>
      <c r="F317" s="4">
        <f>ROUNDDOWN(E317/(1-F315),-1)</f>
        <v>4599000</v>
      </c>
      <c r="G317" s="138">
        <f>ROUNDDOWN(IF(F317*G315&gt;H315,H315,F317*G315),-1)</f>
        <v>275940</v>
      </c>
      <c r="H317" s="138"/>
      <c r="J317" s="54">
        <f>F316*4%</f>
        <v>278720</v>
      </c>
      <c r="R317" s="4">
        <v>4779840</v>
      </c>
      <c r="X317" s="3">
        <f>G317*X315</f>
        <v>0</v>
      </c>
      <c r="Y317" s="3"/>
      <c r="Z317" s="3"/>
    </row>
    <row r="319" spans="1:54" ht="27" customHeight="1" x14ac:dyDescent="0.3">
      <c r="A319" s="124" t="s">
        <v>34</v>
      </c>
      <c r="B319" s="127" t="s">
        <v>105</v>
      </c>
      <c r="C319" s="128"/>
      <c r="D319" s="128"/>
      <c r="E319" s="128"/>
      <c r="F319" s="128"/>
      <c r="G319" s="128"/>
      <c r="H319" s="128"/>
      <c r="I319" s="128"/>
      <c r="J319" s="128"/>
      <c r="K319" s="128"/>
      <c r="L319" s="128"/>
      <c r="M319" s="128"/>
      <c r="N319" s="128"/>
      <c r="O319" s="128"/>
      <c r="P319" s="128"/>
      <c r="Q319" s="128"/>
      <c r="R319" s="129"/>
      <c r="T319" s="130" t="s">
        <v>33</v>
      </c>
      <c r="U319" s="131"/>
      <c r="V319" s="131"/>
      <c r="W319" s="131"/>
      <c r="X319" s="131"/>
      <c r="Y319" s="131"/>
      <c r="Z319" s="131"/>
      <c r="AA319" s="131"/>
      <c r="AB319" s="131"/>
      <c r="AC319" s="131"/>
      <c r="AD319" s="131"/>
      <c r="AE319" s="131"/>
      <c r="AF319" s="131"/>
      <c r="AG319" s="131"/>
      <c r="AH319" s="132"/>
      <c r="AI319" s="37"/>
      <c r="AM319" s="130" t="s">
        <v>32</v>
      </c>
      <c r="AN319" s="131"/>
      <c r="AO319" s="131"/>
      <c r="AP319" s="131"/>
      <c r="AQ319" s="131"/>
      <c r="AR319" s="132"/>
      <c r="AT319" s="130" t="s">
        <v>31</v>
      </c>
      <c r="AU319" s="131"/>
      <c r="AV319" s="131"/>
      <c r="AW319" s="132"/>
      <c r="AY319" s="36" t="s">
        <v>36</v>
      </c>
      <c r="AZ319" s="48"/>
      <c r="BA319" s="52"/>
      <c r="BB319" s="36"/>
    </row>
    <row r="320" spans="1:54" ht="32.25" customHeight="1" x14ac:dyDescent="0.3">
      <c r="A320" s="125"/>
      <c r="B320" s="133" t="s">
        <v>30</v>
      </c>
      <c r="C320" s="133" t="s">
        <v>29</v>
      </c>
      <c r="D320" s="116" t="s">
        <v>28</v>
      </c>
      <c r="E320" s="116" t="s">
        <v>27</v>
      </c>
      <c r="F320" s="34" t="s">
        <v>26</v>
      </c>
      <c r="G320" s="122" t="s">
        <v>63</v>
      </c>
      <c r="H320" s="123"/>
      <c r="I320" s="122" t="s">
        <v>50</v>
      </c>
      <c r="J320" s="123"/>
      <c r="K320" s="122" t="s">
        <v>62</v>
      </c>
      <c r="L320" s="123"/>
      <c r="M320" s="122" t="s">
        <v>25</v>
      </c>
      <c r="N320" s="123"/>
      <c r="O320" s="122" t="s">
        <v>24</v>
      </c>
      <c r="P320" s="123"/>
      <c r="Q320" s="106" t="s">
        <v>23</v>
      </c>
      <c r="R320" s="106" t="s">
        <v>22</v>
      </c>
      <c r="S320" s="21"/>
      <c r="T320" s="34" t="s">
        <v>21</v>
      </c>
      <c r="U320" s="34" t="s">
        <v>20</v>
      </c>
      <c r="V320" s="34" t="s">
        <v>95</v>
      </c>
      <c r="W320" s="34" t="s">
        <v>19</v>
      </c>
      <c r="X320" s="34" t="s">
        <v>18</v>
      </c>
      <c r="Y320" s="34" t="s">
        <v>48</v>
      </c>
      <c r="Z320" s="34" t="s">
        <v>49</v>
      </c>
      <c r="AA320" s="34" t="s">
        <v>17</v>
      </c>
      <c r="AB320" s="106" t="s">
        <v>16</v>
      </c>
      <c r="AC320" s="106" t="s">
        <v>15</v>
      </c>
      <c r="AD320" s="106" t="s">
        <v>14</v>
      </c>
      <c r="AE320" s="106" t="s">
        <v>13</v>
      </c>
      <c r="AF320" s="106" t="s">
        <v>12</v>
      </c>
      <c r="AG320" s="116" t="s">
        <v>11</v>
      </c>
      <c r="AH320" s="118" t="s">
        <v>10</v>
      </c>
      <c r="AI320" s="120" t="s">
        <v>9</v>
      </c>
      <c r="AJ320" s="35">
        <f>(1-R322/F322)</f>
        <v>0.17967882422240888</v>
      </c>
      <c r="AK320" s="35">
        <f>1-(AD322+AM322)/F322</f>
        <v>0.15398269552034149</v>
      </c>
      <c r="AM320" s="106" t="s">
        <v>8</v>
      </c>
      <c r="AN320" s="106" t="s">
        <v>7</v>
      </c>
      <c r="AO320" s="106" t="s">
        <v>37</v>
      </c>
      <c r="AP320" s="106" t="s">
        <v>38</v>
      </c>
      <c r="AQ320" s="106" t="s">
        <v>6</v>
      </c>
      <c r="AR320" s="106" t="s">
        <v>5</v>
      </c>
      <c r="AT320" s="106" t="s">
        <v>4</v>
      </c>
      <c r="AU320" s="106" t="s">
        <v>3</v>
      </c>
      <c r="AV320" s="106" t="s">
        <v>2</v>
      </c>
      <c r="AW320" s="106" t="s">
        <v>1</v>
      </c>
      <c r="AY320" s="106"/>
      <c r="AZ320" s="108"/>
      <c r="BA320" s="52"/>
      <c r="BB320" s="106"/>
    </row>
    <row r="321" spans="1:54" ht="27" customHeight="1" x14ac:dyDescent="0.3">
      <c r="A321" s="126"/>
      <c r="B321" s="134"/>
      <c r="C321" s="134"/>
      <c r="D321" s="117"/>
      <c r="E321" s="117"/>
      <c r="F321" s="31">
        <v>0</v>
      </c>
      <c r="G321" s="33">
        <v>0.06</v>
      </c>
      <c r="H321" s="32">
        <v>1000000</v>
      </c>
      <c r="I321" s="31">
        <v>0</v>
      </c>
      <c r="J321" s="32">
        <v>0</v>
      </c>
      <c r="K321" s="31">
        <v>1</v>
      </c>
      <c r="L321" s="32">
        <v>120000</v>
      </c>
      <c r="M321" s="31">
        <v>7.0000000000000007E-2</v>
      </c>
      <c r="N321" s="32">
        <v>150000</v>
      </c>
      <c r="O321" s="31">
        <v>0</v>
      </c>
      <c r="P321" s="32">
        <v>0</v>
      </c>
      <c r="Q321" s="107"/>
      <c r="R321" s="107"/>
      <c r="S321" s="21"/>
      <c r="T321" s="31">
        <f>IF(C322="노트북",7%,IF(C322="저장&amp;주변기기",9%,IF(C322="모니터",7%)))</f>
        <v>7.0000000000000007E-2</v>
      </c>
      <c r="U321" s="31">
        <v>0</v>
      </c>
      <c r="V321" s="31">
        <v>0</v>
      </c>
      <c r="W321" s="31">
        <f>IF(G321=0%,20%,0%)</f>
        <v>0</v>
      </c>
      <c r="X321" s="30">
        <v>0</v>
      </c>
      <c r="Y321" s="30">
        <v>1</v>
      </c>
      <c r="Z321" s="53">
        <v>0.91666599999999998</v>
      </c>
      <c r="AA321" s="29">
        <v>0.5</v>
      </c>
      <c r="AB321" s="107"/>
      <c r="AC321" s="107"/>
      <c r="AD321" s="107"/>
      <c r="AE321" s="107"/>
      <c r="AF321" s="107"/>
      <c r="AG321" s="117"/>
      <c r="AH321" s="119"/>
      <c r="AI321" s="121"/>
      <c r="AJ321" s="55" t="s">
        <v>52</v>
      </c>
      <c r="AK321" s="56">
        <f>AJ320-AK320</f>
        <v>2.5696128702067389E-2</v>
      </c>
      <c r="AM321" s="107"/>
      <c r="AN321" s="107"/>
      <c r="AO321" s="107"/>
      <c r="AP321" s="107"/>
      <c r="AQ321" s="107"/>
      <c r="AR321" s="107"/>
      <c r="AS321" s="39"/>
      <c r="AT321" s="107"/>
      <c r="AU321" s="107"/>
      <c r="AV321" s="107"/>
      <c r="AW321" s="107"/>
      <c r="AY321" s="107"/>
      <c r="AZ321" s="109"/>
      <c r="BA321" s="52"/>
      <c r="BB321" s="107"/>
    </row>
    <row r="322" spans="1:54" ht="27" customHeight="1" x14ac:dyDescent="0.3">
      <c r="A322" s="51" t="s">
        <v>106</v>
      </c>
      <c r="B322" s="38" t="s">
        <v>35</v>
      </c>
      <c r="C322" s="27" t="s">
        <v>0</v>
      </c>
      <c r="D322" s="26"/>
      <c r="E322" s="25">
        <v>2071140</v>
      </c>
      <c r="F322" s="24">
        <f>ROUNDDOWN(E322/(1-F321),-1)</f>
        <v>2071140</v>
      </c>
      <c r="G322" s="110">
        <f>ROUNDDOWN(IF(F322*G321&gt;H321,H321,F322*G321),-1)</f>
        <v>124260</v>
      </c>
      <c r="H322" s="111"/>
      <c r="I322" s="112">
        <f>ROUNDDOWN(IF(F322*I321&gt;J321,J321,F322*I321),-1)</f>
        <v>0</v>
      </c>
      <c r="J322" s="113"/>
      <c r="K322" s="112">
        <f>ROUNDDOWN(IF(F322*K321&gt;L321,L321,F322*K321),-1)</f>
        <v>120000</v>
      </c>
      <c r="L322" s="113"/>
      <c r="M322" s="110">
        <f>ROUNDDOWN(IF(Q322*M321&gt;N321,N321,Q322*M321),-1)</f>
        <v>127880</v>
      </c>
      <c r="N322" s="111"/>
      <c r="O322" s="110">
        <f>ROUNDDOWN(IF(F322*O321&gt;P321,P321,F322*O321),-1)</f>
        <v>0</v>
      </c>
      <c r="P322" s="111"/>
      <c r="Q322" s="23">
        <f>F322-G322-I322-K322</f>
        <v>1826880</v>
      </c>
      <c r="R322" s="22">
        <f>F322-G322-I322-K322-M322-O322</f>
        <v>1699000</v>
      </c>
      <c r="S322" s="21"/>
      <c r="T322" s="20">
        <f>F322*T321</f>
        <v>144979.80000000002</v>
      </c>
      <c r="U322" s="20">
        <f>F322*U321</f>
        <v>0</v>
      </c>
      <c r="V322" s="20">
        <f>(F322-I322)*V321</f>
        <v>0</v>
      </c>
      <c r="W322" s="19">
        <f>(F322*F321)*W321</f>
        <v>0</v>
      </c>
      <c r="X322" s="19">
        <f>G322*X321</f>
        <v>0</v>
      </c>
      <c r="Y322" s="19">
        <f>I322*Y321</f>
        <v>0</v>
      </c>
      <c r="Z322" s="19">
        <f>K322*Z321</f>
        <v>109999.92</v>
      </c>
      <c r="AA322" s="19">
        <f>M322*AA321</f>
        <v>63940</v>
      </c>
      <c r="AB322" s="19">
        <v>0</v>
      </c>
      <c r="AC322" s="16">
        <v>6000</v>
      </c>
      <c r="AD322" s="18">
        <f>F322-T322-U322-V322-W322-AA322-X322-Y322-Z322-AB322</f>
        <v>1752220.28</v>
      </c>
      <c r="AE322" s="18">
        <f>F322-T322-U322-V322-W322-X322-Y322-Z322-AA322-AB322-AC322</f>
        <v>1746220.28</v>
      </c>
      <c r="AF322" s="17">
        <f>AE322-AG322</f>
        <v>120220.28000000003</v>
      </c>
      <c r="AG322" s="16">
        <v>1626000</v>
      </c>
      <c r="AH322" s="15">
        <f>AF322/AG322</f>
        <v>7.3936211562115633E-2</v>
      </c>
      <c r="AI322" s="14">
        <f>1-R322/(AG322-AM322-AN322-AO322)</f>
        <v>-4.4895448954489492E-2</v>
      </c>
      <c r="AJ322" s="114">
        <f>(1-R322/F322)-(1-(AD322)/F322)</f>
        <v>2.5696128702067389E-2</v>
      </c>
      <c r="AK322" s="115"/>
      <c r="AM322" s="13"/>
      <c r="AN322" s="12"/>
      <c r="AO322" s="12"/>
      <c r="AP322" s="12"/>
      <c r="AQ322" s="11">
        <f>AE322-(AG322-AM322-AN322-AO322-AP322)</f>
        <v>120220.28000000003</v>
      </c>
      <c r="AR322" s="8">
        <f>AQ322/AG322</f>
        <v>7.3936211562115633E-2</v>
      </c>
      <c r="AT322" s="10">
        <v>0</v>
      </c>
      <c r="AU322" s="10">
        <v>0</v>
      </c>
      <c r="AV322" s="9">
        <f>AQ322-AT322-AU322</f>
        <v>120220.28000000003</v>
      </c>
      <c r="AW322" s="8">
        <f>AV322/AG322</f>
        <v>7.3936211562115633E-2</v>
      </c>
      <c r="AY322" s="7"/>
      <c r="AZ322" s="50"/>
      <c r="BA322" s="52"/>
      <c r="BB322" s="7"/>
    </row>
    <row r="323" spans="1:54" ht="16.5" customHeight="1" x14ac:dyDescent="0.3">
      <c r="D323" s="21"/>
      <c r="E323" s="5">
        <v>1449000</v>
      </c>
      <c r="F323" s="4">
        <f>ROUNDDOWN(E323/(1-F321),-1)</f>
        <v>1449000</v>
      </c>
      <c r="G323" s="105">
        <f>ROUNDDOWN(IF(F323*G321&gt;H321,H321,F323*G321),-1)</f>
        <v>86940</v>
      </c>
      <c r="H323" s="105"/>
      <c r="J323" s="54">
        <f>F322*4%</f>
        <v>82845.600000000006</v>
      </c>
      <c r="L323" s="21"/>
      <c r="R323" s="4">
        <v>998000</v>
      </c>
      <c r="X323" s="3">
        <f>G323*X321</f>
        <v>0</v>
      </c>
      <c r="Y323" s="3"/>
      <c r="Z323" s="3"/>
      <c r="AG323" s="57"/>
    </row>
    <row r="324" spans="1:54" ht="27" customHeight="1" x14ac:dyDescent="0.3">
      <c r="A324" s="124" t="s">
        <v>34</v>
      </c>
      <c r="B324" s="127" t="s">
        <v>117</v>
      </c>
      <c r="C324" s="128"/>
      <c r="D324" s="128"/>
      <c r="E324" s="128"/>
      <c r="F324" s="128"/>
      <c r="G324" s="128"/>
      <c r="H324" s="128"/>
      <c r="I324" s="128"/>
      <c r="J324" s="128"/>
      <c r="K324" s="128"/>
      <c r="L324" s="128"/>
      <c r="M324" s="128"/>
      <c r="N324" s="128"/>
      <c r="O324" s="128"/>
      <c r="P324" s="128"/>
      <c r="Q324" s="128"/>
      <c r="R324" s="129"/>
      <c r="T324" s="130" t="s">
        <v>33</v>
      </c>
      <c r="U324" s="131"/>
      <c r="V324" s="131"/>
      <c r="W324" s="131"/>
      <c r="X324" s="131"/>
      <c r="Y324" s="131"/>
      <c r="Z324" s="131"/>
      <c r="AA324" s="131"/>
      <c r="AB324" s="131"/>
      <c r="AC324" s="131"/>
      <c r="AD324" s="131"/>
      <c r="AE324" s="131"/>
      <c r="AF324" s="131"/>
      <c r="AG324" s="131"/>
      <c r="AH324" s="132"/>
      <c r="AI324" s="37"/>
      <c r="AM324" s="130" t="s">
        <v>32</v>
      </c>
      <c r="AN324" s="131"/>
      <c r="AO324" s="131"/>
      <c r="AP324" s="131"/>
      <c r="AQ324" s="131"/>
      <c r="AR324" s="132"/>
      <c r="AT324" s="130" t="s">
        <v>31</v>
      </c>
      <c r="AU324" s="131"/>
      <c r="AV324" s="131"/>
      <c r="AW324" s="132"/>
      <c r="AY324" s="36" t="s">
        <v>36</v>
      </c>
      <c r="AZ324" s="48"/>
      <c r="BA324" s="52"/>
      <c r="BB324" s="36"/>
    </row>
    <row r="325" spans="1:54" ht="32.25" customHeight="1" x14ac:dyDescent="0.3">
      <c r="A325" s="125"/>
      <c r="B325" s="133" t="s">
        <v>30</v>
      </c>
      <c r="C325" s="133" t="s">
        <v>29</v>
      </c>
      <c r="D325" s="116" t="s">
        <v>28</v>
      </c>
      <c r="E325" s="116" t="s">
        <v>27</v>
      </c>
      <c r="F325" s="34" t="s">
        <v>26</v>
      </c>
      <c r="G325" s="122" t="s">
        <v>63</v>
      </c>
      <c r="H325" s="123"/>
      <c r="I325" s="122" t="s">
        <v>50</v>
      </c>
      <c r="J325" s="123"/>
      <c r="K325" s="122" t="s">
        <v>62</v>
      </c>
      <c r="L325" s="123"/>
      <c r="M325" s="122" t="s">
        <v>25</v>
      </c>
      <c r="N325" s="123"/>
      <c r="O325" s="122" t="s">
        <v>24</v>
      </c>
      <c r="P325" s="123"/>
      <c r="Q325" s="106" t="s">
        <v>23</v>
      </c>
      <c r="R325" s="106" t="s">
        <v>22</v>
      </c>
      <c r="S325" s="21"/>
      <c r="T325" s="34" t="s">
        <v>21</v>
      </c>
      <c r="U325" s="34" t="s">
        <v>20</v>
      </c>
      <c r="V325" s="34" t="s">
        <v>95</v>
      </c>
      <c r="W325" s="34" t="s">
        <v>19</v>
      </c>
      <c r="X325" s="34" t="s">
        <v>18</v>
      </c>
      <c r="Y325" s="34" t="s">
        <v>48</v>
      </c>
      <c r="Z325" s="34" t="s">
        <v>49</v>
      </c>
      <c r="AA325" s="34" t="s">
        <v>17</v>
      </c>
      <c r="AB325" s="106" t="s">
        <v>16</v>
      </c>
      <c r="AC325" s="106" t="s">
        <v>15</v>
      </c>
      <c r="AD325" s="106" t="s">
        <v>14</v>
      </c>
      <c r="AE325" s="106" t="s">
        <v>13</v>
      </c>
      <c r="AF325" s="106" t="s">
        <v>12</v>
      </c>
      <c r="AG325" s="116" t="s">
        <v>11</v>
      </c>
      <c r="AH325" s="118" t="s">
        <v>10</v>
      </c>
      <c r="AI325" s="120" t="s">
        <v>9</v>
      </c>
      <c r="AJ325" s="35">
        <f>(1-R327/F327)</f>
        <v>0.20021607670723107</v>
      </c>
      <c r="AK325" s="35">
        <f>1-(AD327+AM327)/F327</f>
        <v>0.17511767677525525</v>
      </c>
      <c r="AM325" s="106" t="s">
        <v>8</v>
      </c>
      <c r="AN325" s="106" t="s">
        <v>7</v>
      </c>
      <c r="AO325" s="106" t="s">
        <v>37</v>
      </c>
      <c r="AP325" s="106" t="s">
        <v>38</v>
      </c>
      <c r="AQ325" s="106" t="s">
        <v>6</v>
      </c>
      <c r="AR325" s="106" t="s">
        <v>5</v>
      </c>
      <c r="AT325" s="106" t="s">
        <v>4</v>
      </c>
      <c r="AU325" s="106" t="s">
        <v>3</v>
      </c>
      <c r="AV325" s="106" t="s">
        <v>2</v>
      </c>
      <c r="AW325" s="106" t="s">
        <v>1</v>
      </c>
      <c r="AY325" s="106"/>
      <c r="AZ325" s="108"/>
      <c r="BA325" s="52"/>
      <c r="BB325" s="106"/>
    </row>
    <row r="326" spans="1:54" ht="27" customHeight="1" x14ac:dyDescent="0.3">
      <c r="A326" s="126"/>
      <c r="B326" s="134"/>
      <c r="C326" s="134"/>
      <c r="D326" s="117"/>
      <c r="E326" s="117"/>
      <c r="F326" s="31">
        <v>0</v>
      </c>
      <c r="G326" s="33">
        <v>0.08</v>
      </c>
      <c r="H326" s="32">
        <v>1000000</v>
      </c>
      <c r="I326" s="31">
        <v>0</v>
      </c>
      <c r="J326" s="32">
        <v>0</v>
      </c>
      <c r="K326" s="31">
        <v>1</v>
      </c>
      <c r="L326" s="32">
        <v>120000</v>
      </c>
      <c r="M326" s="31">
        <v>7.0000000000000007E-2</v>
      </c>
      <c r="N326" s="32">
        <v>150000</v>
      </c>
      <c r="O326" s="31">
        <v>0</v>
      </c>
      <c r="P326" s="32">
        <v>0</v>
      </c>
      <c r="Q326" s="107"/>
      <c r="R326" s="107"/>
      <c r="S326" s="21"/>
      <c r="T326" s="31">
        <f>IF(C327="노트북",7%,IF(C327="저장&amp;주변기기",9%,IF(C327="모니터",7%)))</f>
        <v>7.0000000000000007E-2</v>
      </c>
      <c r="U326" s="31">
        <v>0</v>
      </c>
      <c r="V326" s="31">
        <v>0.02</v>
      </c>
      <c r="W326" s="31">
        <f>IF(G326=0%,20%,0%)</f>
        <v>0</v>
      </c>
      <c r="X326" s="30">
        <v>0</v>
      </c>
      <c r="Y326" s="30">
        <v>1</v>
      </c>
      <c r="Z326" s="53">
        <v>0.91666599999999998</v>
      </c>
      <c r="AA326" s="29">
        <v>0.5</v>
      </c>
      <c r="AB326" s="107"/>
      <c r="AC326" s="107"/>
      <c r="AD326" s="107"/>
      <c r="AE326" s="107"/>
      <c r="AF326" s="107"/>
      <c r="AG326" s="117"/>
      <c r="AH326" s="119"/>
      <c r="AI326" s="121"/>
      <c r="AJ326" s="55" t="s">
        <v>52</v>
      </c>
      <c r="AK326" s="56">
        <f>AJ325-AK325</f>
        <v>2.5098399931975823E-2</v>
      </c>
      <c r="AM326" s="107"/>
      <c r="AN326" s="107"/>
      <c r="AO326" s="107"/>
      <c r="AP326" s="107"/>
      <c r="AQ326" s="107"/>
      <c r="AR326" s="107"/>
      <c r="AS326" s="39"/>
      <c r="AT326" s="107"/>
      <c r="AU326" s="107"/>
      <c r="AV326" s="107"/>
      <c r="AW326" s="107"/>
      <c r="AY326" s="107"/>
      <c r="AZ326" s="109"/>
      <c r="BA326" s="52"/>
      <c r="BB326" s="107"/>
    </row>
    <row r="327" spans="1:54" ht="27" customHeight="1" x14ac:dyDescent="0.3">
      <c r="A327" s="51" t="s">
        <v>106</v>
      </c>
      <c r="B327" s="38" t="s">
        <v>35</v>
      </c>
      <c r="C327" s="27" t="s">
        <v>0</v>
      </c>
      <c r="D327" s="26">
        <v>4692284484</v>
      </c>
      <c r="E327" s="25">
        <v>1999290</v>
      </c>
      <c r="F327" s="24">
        <f>ROUNDDOWN(E327/(1-F326),-1)</f>
        <v>1999290</v>
      </c>
      <c r="G327" s="110">
        <f>ROUNDDOWN(IF(F327*G326&gt;H326,H326,F327*G326),-1)</f>
        <v>159940</v>
      </c>
      <c r="H327" s="111"/>
      <c r="I327" s="112">
        <f>ROUNDDOWN(IF(F327*I326&gt;J326,J326,F327*I326),-1)</f>
        <v>0</v>
      </c>
      <c r="J327" s="113"/>
      <c r="K327" s="112">
        <f>ROUNDDOWN(IF(F327*K326&gt;L326,L326,F327*K326),-1)</f>
        <v>120000</v>
      </c>
      <c r="L327" s="113"/>
      <c r="M327" s="110">
        <f>ROUNDDOWN(IF(Q327*M326&gt;N326,N326,Q327*M326),-1)</f>
        <v>120350</v>
      </c>
      <c r="N327" s="111"/>
      <c r="O327" s="110">
        <f>ROUNDDOWN(IF(F327*O326&gt;P326,P326,F327*O326),-1)</f>
        <v>0</v>
      </c>
      <c r="P327" s="111"/>
      <c r="Q327" s="23">
        <f>F327-G327-I327-K327</f>
        <v>1719350</v>
      </c>
      <c r="R327" s="22">
        <f>F327-G327-I327-K327-M327-O327</f>
        <v>1599000</v>
      </c>
      <c r="S327" s="21"/>
      <c r="T327" s="20">
        <f>F327*T326</f>
        <v>139950.30000000002</v>
      </c>
      <c r="U327" s="20">
        <f>F327*U326</f>
        <v>0</v>
      </c>
      <c r="V327" s="20">
        <f>(F327-I327)*V326</f>
        <v>39985.800000000003</v>
      </c>
      <c r="W327" s="19">
        <f>(F327*F326)*W326</f>
        <v>0</v>
      </c>
      <c r="X327" s="19">
        <f>G327*X326</f>
        <v>0</v>
      </c>
      <c r="Y327" s="19">
        <f>I327*Y326</f>
        <v>0</v>
      </c>
      <c r="Z327" s="19">
        <f>K327*Z326</f>
        <v>109999.92</v>
      </c>
      <c r="AA327" s="19">
        <f>M327*AA326</f>
        <v>60175</v>
      </c>
      <c r="AB327" s="19">
        <v>0</v>
      </c>
      <c r="AC327" s="16">
        <v>6000</v>
      </c>
      <c r="AD327" s="18">
        <f>F327-T327-U327-V327-W327-AA327-X327-Y327-Z327-AB327</f>
        <v>1649178.98</v>
      </c>
      <c r="AE327" s="18">
        <f>F327-T327-U327-V327-W327-X327-Y327-Z327-AA327-AB327-AC327</f>
        <v>1643178.98</v>
      </c>
      <c r="AF327" s="17">
        <f>AE327-AG327</f>
        <v>17178.979999999981</v>
      </c>
      <c r="AG327" s="16">
        <v>1626000</v>
      </c>
      <c r="AH327" s="15">
        <f>AF327/AG327</f>
        <v>1.0565178351783507E-2</v>
      </c>
      <c r="AI327" s="14">
        <f>1-R327/(AG327-AM327-AN327-AO327)</f>
        <v>1.6605166051660514E-2</v>
      </c>
      <c r="AJ327" s="114">
        <f>(1-R327/F327)-(1-(AD327)/F327)</f>
        <v>2.5098399931975823E-2</v>
      </c>
      <c r="AK327" s="115"/>
      <c r="AM327" s="13"/>
      <c r="AN327" s="12"/>
      <c r="AO327" s="12"/>
      <c r="AP327" s="12"/>
      <c r="AQ327" s="11">
        <f>AE327-(AG327-AM327-AN327-AO327-AP327)</f>
        <v>17178.979999999981</v>
      </c>
      <c r="AR327" s="8">
        <f>AQ327/AG327</f>
        <v>1.0565178351783507E-2</v>
      </c>
      <c r="AT327" s="10">
        <v>0</v>
      </c>
      <c r="AU327" s="10">
        <v>0</v>
      </c>
      <c r="AV327" s="9">
        <f>AQ327-AT327-AU327</f>
        <v>17178.979999999981</v>
      </c>
      <c r="AW327" s="8">
        <f>AV327/AG327</f>
        <v>1.0565178351783507E-2</v>
      </c>
      <c r="AY327" s="7"/>
      <c r="AZ327" s="50"/>
      <c r="BA327" s="52"/>
      <c r="BB327" s="7"/>
    </row>
    <row r="328" spans="1:54" ht="16.5" customHeight="1" x14ac:dyDescent="0.3">
      <c r="D328" s="21"/>
      <c r="E328" s="5">
        <v>1749000</v>
      </c>
      <c r="F328" s="4">
        <f>ROUNDDOWN(E328/(1-F326),-1)</f>
        <v>1749000</v>
      </c>
      <c r="G328" s="105">
        <f>ROUNDDOWN(IF(F328*G326&gt;H326,H326,F328*G326),-1)</f>
        <v>139920</v>
      </c>
      <c r="H328" s="105"/>
      <c r="J328" s="54">
        <f>F327*4%</f>
        <v>79971.600000000006</v>
      </c>
      <c r="L328" s="21"/>
      <c r="R328" s="4">
        <v>998000</v>
      </c>
      <c r="X328" s="3">
        <f>G328*X326</f>
        <v>0</v>
      </c>
      <c r="Y328" s="3"/>
      <c r="Z328" s="3"/>
      <c r="AG328" s="57"/>
    </row>
  </sheetData>
  <mergeCells count="2204">
    <mergeCell ref="AV325:AV326"/>
    <mergeCell ref="AW325:AW326"/>
    <mergeCell ref="AY325:AY326"/>
    <mergeCell ref="AZ325:AZ326"/>
    <mergeCell ref="BB325:BB326"/>
    <mergeCell ref="G327:H327"/>
    <mergeCell ref="I327:J327"/>
    <mergeCell ref="K327:L327"/>
    <mergeCell ref="M327:N327"/>
    <mergeCell ref="O327:P327"/>
    <mergeCell ref="AJ327:AK327"/>
    <mergeCell ref="G328:H328"/>
    <mergeCell ref="A324:A326"/>
    <mergeCell ref="B324:R324"/>
    <mergeCell ref="T324:AH324"/>
    <mergeCell ref="AM324:AR324"/>
    <mergeCell ref="AT324:AW324"/>
    <mergeCell ref="B325:B326"/>
    <mergeCell ref="C325:C326"/>
    <mergeCell ref="D325:D326"/>
    <mergeCell ref="E325:E326"/>
    <mergeCell ref="G325:H325"/>
    <mergeCell ref="I325:J325"/>
    <mergeCell ref="K325:L325"/>
    <mergeCell ref="M325:N325"/>
    <mergeCell ref="O325:P325"/>
    <mergeCell ref="Q325:Q326"/>
    <mergeCell ref="R325:R326"/>
    <mergeCell ref="AB325:AB326"/>
    <mergeCell ref="AC325:AC326"/>
    <mergeCell ref="AD325:AD326"/>
    <mergeCell ref="AE325:AE326"/>
    <mergeCell ref="AF325:AF326"/>
    <mergeCell ref="AG325:AG326"/>
    <mergeCell ref="AH325:AH326"/>
    <mergeCell ref="AI325:AI326"/>
    <mergeCell ref="AM325:AM326"/>
    <mergeCell ref="AN325:AN326"/>
    <mergeCell ref="AO325:AO326"/>
    <mergeCell ref="AP325:AP326"/>
    <mergeCell ref="AQ325:AQ326"/>
    <mergeCell ref="AR325:AR326"/>
    <mergeCell ref="AT325:AT326"/>
    <mergeCell ref="AU325:AU326"/>
    <mergeCell ref="BB46:BB47"/>
    <mergeCell ref="G48:H48"/>
    <mergeCell ref="I48:J48"/>
    <mergeCell ref="K48:L48"/>
    <mergeCell ref="M48:N48"/>
    <mergeCell ref="O48:P48"/>
    <mergeCell ref="AJ48:AK48"/>
    <mergeCell ref="G49:H49"/>
    <mergeCell ref="AE46:AE47"/>
    <mergeCell ref="AF46:AF47"/>
    <mergeCell ref="AG46:AG47"/>
    <mergeCell ref="AH46:AH47"/>
    <mergeCell ref="AI46:AI47"/>
    <mergeCell ref="AM46:AM47"/>
    <mergeCell ref="AN46:AN47"/>
    <mergeCell ref="AO46:AO47"/>
    <mergeCell ref="AP46:AP47"/>
    <mergeCell ref="AQ46:AQ47"/>
    <mergeCell ref="AR46:AR47"/>
    <mergeCell ref="AT46:AT47"/>
    <mergeCell ref="AY46:AY47"/>
    <mergeCell ref="AZ46:AZ47"/>
    <mergeCell ref="AU41:AU42"/>
    <mergeCell ref="AV41:AV42"/>
    <mergeCell ref="AW41:AW42"/>
    <mergeCell ref="AY41:AY42"/>
    <mergeCell ref="AZ41:AZ42"/>
    <mergeCell ref="BB41:BB42"/>
    <mergeCell ref="G43:H43"/>
    <mergeCell ref="I43:J43"/>
    <mergeCell ref="K43:L43"/>
    <mergeCell ref="M43:N43"/>
    <mergeCell ref="O43:P43"/>
    <mergeCell ref="AJ43:AK43"/>
    <mergeCell ref="G44:H44"/>
    <mergeCell ref="AM41:AM42"/>
    <mergeCell ref="AN41:AN42"/>
    <mergeCell ref="AO41:AO42"/>
    <mergeCell ref="AP41:AP42"/>
    <mergeCell ref="AQ41:AQ42"/>
    <mergeCell ref="AR41:AR42"/>
    <mergeCell ref="AT41:AT42"/>
    <mergeCell ref="A45:A47"/>
    <mergeCell ref="B45:R45"/>
    <mergeCell ref="T45:AH45"/>
    <mergeCell ref="AM45:AR45"/>
    <mergeCell ref="AT45:AW45"/>
    <mergeCell ref="B46:B47"/>
    <mergeCell ref="C46:C47"/>
    <mergeCell ref="D46:D47"/>
    <mergeCell ref="E46:E47"/>
    <mergeCell ref="G46:H46"/>
    <mergeCell ref="I46:J46"/>
    <mergeCell ref="K46:L46"/>
    <mergeCell ref="M46:N46"/>
    <mergeCell ref="O46:P46"/>
    <mergeCell ref="Q46:Q47"/>
    <mergeCell ref="R46:R47"/>
    <mergeCell ref="AB46:AB47"/>
    <mergeCell ref="AC46:AC47"/>
    <mergeCell ref="AD46:AD47"/>
    <mergeCell ref="AU46:AU47"/>
    <mergeCell ref="AV46:AV47"/>
    <mergeCell ref="AW46:AW47"/>
    <mergeCell ref="AV194:AV195"/>
    <mergeCell ref="AW194:AW195"/>
    <mergeCell ref="AY194:AY195"/>
    <mergeCell ref="AZ194:AZ195"/>
    <mergeCell ref="BB194:BB195"/>
    <mergeCell ref="G196:H196"/>
    <mergeCell ref="I196:J196"/>
    <mergeCell ref="K196:L196"/>
    <mergeCell ref="M196:N196"/>
    <mergeCell ref="O196:P196"/>
    <mergeCell ref="AJ196:AK196"/>
    <mergeCell ref="G197:H197"/>
    <mergeCell ref="A40:A42"/>
    <mergeCell ref="B40:R40"/>
    <mergeCell ref="T40:AH40"/>
    <mergeCell ref="AM40:AR40"/>
    <mergeCell ref="AT40:AW40"/>
    <mergeCell ref="B41:B42"/>
    <mergeCell ref="C41:C42"/>
    <mergeCell ref="D41:D42"/>
    <mergeCell ref="E41:E42"/>
    <mergeCell ref="G41:H41"/>
    <mergeCell ref="I41:J41"/>
    <mergeCell ref="K41:L41"/>
    <mergeCell ref="M41:N41"/>
    <mergeCell ref="O41:P41"/>
    <mergeCell ref="Q41:Q42"/>
    <mergeCell ref="R41:R42"/>
    <mergeCell ref="AB41:AB42"/>
    <mergeCell ref="AC41:AC42"/>
    <mergeCell ref="AD41:AD42"/>
    <mergeCell ref="AE41:AE42"/>
    <mergeCell ref="A193:A195"/>
    <mergeCell ref="B193:R193"/>
    <mergeCell ref="T193:AH193"/>
    <mergeCell ref="AM193:AR193"/>
    <mergeCell ref="AT193:AW193"/>
    <mergeCell ref="B194:B195"/>
    <mergeCell ref="C194:C195"/>
    <mergeCell ref="D194:D195"/>
    <mergeCell ref="E194:E195"/>
    <mergeCell ref="G194:H194"/>
    <mergeCell ref="I194:J194"/>
    <mergeCell ref="K194:L194"/>
    <mergeCell ref="M194:N194"/>
    <mergeCell ref="O194:P194"/>
    <mergeCell ref="Q194:Q195"/>
    <mergeCell ref="R194:R195"/>
    <mergeCell ref="AB194:AB195"/>
    <mergeCell ref="AC194:AC195"/>
    <mergeCell ref="AD194:AD195"/>
    <mergeCell ref="AE194:AE195"/>
    <mergeCell ref="AF194:AF195"/>
    <mergeCell ref="AG194:AG195"/>
    <mergeCell ref="AH194:AH195"/>
    <mergeCell ref="AI194:AI195"/>
    <mergeCell ref="AM194:AM195"/>
    <mergeCell ref="AN194:AN195"/>
    <mergeCell ref="AO194:AO195"/>
    <mergeCell ref="AP194:AP195"/>
    <mergeCell ref="AQ194:AQ195"/>
    <mergeCell ref="AR194:AR195"/>
    <mergeCell ref="AT194:AT195"/>
    <mergeCell ref="AU194:AU195"/>
    <mergeCell ref="O38:P38"/>
    <mergeCell ref="AJ38:AK38"/>
    <mergeCell ref="G39:H39"/>
    <mergeCell ref="T35:AH35"/>
    <mergeCell ref="AM35:AR35"/>
    <mergeCell ref="AT35:AW35"/>
    <mergeCell ref="B36:B37"/>
    <mergeCell ref="C36:C37"/>
    <mergeCell ref="D36:D37"/>
    <mergeCell ref="E36:E37"/>
    <mergeCell ref="G36:H36"/>
    <mergeCell ref="I36:J36"/>
    <mergeCell ref="K36:L36"/>
    <mergeCell ref="M36:N36"/>
    <mergeCell ref="O36:P36"/>
    <mergeCell ref="Q36:Q37"/>
    <mergeCell ref="R36:R37"/>
    <mergeCell ref="AB36:AB37"/>
    <mergeCell ref="AC36:AC37"/>
    <mergeCell ref="AD36:AD37"/>
    <mergeCell ref="AE36:AE37"/>
    <mergeCell ref="AF36:AF37"/>
    <mergeCell ref="AG36:AG37"/>
    <mergeCell ref="AH36:AH37"/>
    <mergeCell ref="AI36:AI37"/>
    <mergeCell ref="AU36:AU37"/>
    <mergeCell ref="AV36:AV37"/>
    <mergeCell ref="AW36:AW37"/>
    <mergeCell ref="AZ101:AZ102"/>
    <mergeCell ref="BB101:BB102"/>
    <mergeCell ref="G103:H103"/>
    <mergeCell ref="I103:J103"/>
    <mergeCell ref="K103:L103"/>
    <mergeCell ref="M103:N103"/>
    <mergeCell ref="O103:P103"/>
    <mergeCell ref="AJ103:AK103"/>
    <mergeCell ref="AU101:AU102"/>
    <mergeCell ref="AY80:AY81"/>
    <mergeCell ref="AZ80:AZ81"/>
    <mergeCell ref="BB80:BB81"/>
    <mergeCell ref="G82:H82"/>
    <mergeCell ref="I82:J82"/>
    <mergeCell ref="K82:L82"/>
    <mergeCell ref="M82:N82"/>
    <mergeCell ref="O82:P82"/>
    <mergeCell ref="AJ82:AK82"/>
    <mergeCell ref="G83:H83"/>
    <mergeCell ref="BB87:BB88"/>
    <mergeCell ref="K89:L89"/>
    <mergeCell ref="M89:N89"/>
    <mergeCell ref="O89:P89"/>
    <mergeCell ref="AJ89:AK89"/>
    <mergeCell ref="G90:H90"/>
    <mergeCell ref="G96:H96"/>
    <mergeCell ref="I96:J96"/>
    <mergeCell ref="K96:L96"/>
    <mergeCell ref="M96:N96"/>
    <mergeCell ref="O96:P96"/>
    <mergeCell ref="AJ96:AK96"/>
    <mergeCell ref="AW87:AW88"/>
    <mergeCell ref="AY36:AY37"/>
    <mergeCell ref="AZ36:AZ37"/>
    <mergeCell ref="BB36:BB37"/>
    <mergeCell ref="G38:H38"/>
    <mergeCell ref="I38:J38"/>
    <mergeCell ref="K38:L38"/>
    <mergeCell ref="M38:N38"/>
    <mergeCell ref="AC101:AC102"/>
    <mergeCell ref="AD101:AD102"/>
    <mergeCell ref="AE101:AE102"/>
    <mergeCell ref="AF101:AF102"/>
    <mergeCell ref="AG101:AG102"/>
    <mergeCell ref="AH101:AH102"/>
    <mergeCell ref="AI101:AI102"/>
    <mergeCell ref="AM101:AM102"/>
    <mergeCell ref="AN101:AN102"/>
    <mergeCell ref="AO101:AO102"/>
    <mergeCell ref="AP101:AP102"/>
    <mergeCell ref="AQ101:AQ102"/>
    <mergeCell ref="AR101:AR102"/>
    <mergeCell ref="AT101:AT102"/>
    <mergeCell ref="AM36:AM37"/>
    <mergeCell ref="AN36:AN37"/>
    <mergeCell ref="AO36:AO37"/>
    <mergeCell ref="AP36:AP37"/>
    <mergeCell ref="AQ36:AQ37"/>
    <mergeCell ref="AR36:AR37"/>
    <mergeCell ref="AT36:AT37"/>
    <mergeCell ref="AF41:AF42"/>
    <mergeCell ref="AG41:AG42"/>
    <mergeCell ref="AH41:AH42"/>
    <mergeCell ref="AI41:AI42"/>
    <mergeCell ref="AZ73:AZ74"/>
    <mergeCell ref="BB73:BB74"/>
    <mergeCell ref="G75:H75"/>
    <mergeCell ref="I75:J75"/>
    <mergeCell ref="K75:L75"/>
    <mergeCell ref="M75:N75"/>
    <mergeCell ref="O75:P75"/>
    <mergeCell ref="AJ75:AK75"/>
    <mergeCell ref="G76:H76"/>
    <mergeCell ref="AN94:AN95"/>
    <mergeCell ref="AO94:AO95"/>
    <mergeCell ref="AP94:AP95"/>
    <mergeCell ref="AQ94:AQ95"/>
    <mergeCell ref="AR94:AR95"/>
    <mergeCell ref="AY56:AY57"/>
    <mergeCell ref="AZ56:AZ57"/>
    <mergeCell ref="BB56:BB57"/>
    <mergeCell ref="G58:H58"/>
    <mergeCell ref="I58:J58"/>
    <mergeCell ref="K58:L58"/>
    <mergeCell ref="M58:N58"/>
    <mergeCell ref="O58:P58"/>
    <mergeCell ref="AJ58:AK58"/>
    <mergeCell ref="AP56:AP57"/>
    <mergeCell ref="AQ56:AQ57"/>
    <mergeCell ref="G59:H59"/>
    <mergeCell ref="AD63:AD64"/>
    <mergeCell ref="Q56:Q57"/>
    <mergeCell ref="AW56:AW57"/>
    <mergeCell ref="AZ94:AZ95"/>
    <mergeCell ref="BB94:BB95"/>
    <mergeCell ref="AV87:AV88"/>
    <mergeCell ref="A100:A102"/>
    <mergeCell ref="B100:R100"/>
    <mergeCell ref="T100:AH100"/>
    <mergeCell ref="AM100:AR100"/>
    <mergeCell ref="AT100:AW100"/>
    <mergeCell ref="B101:B102"/>
    <mergeCell ref="C101:C102"/>
    <mergeCell ref="D101:D102"/>
    <mergeCell ref="E101:E102"/>
    <mergeCell ref="G101:H101"/>
    <mergeCell ref="I101:J101"/>
    <mergeCell ref="K101:L101"/>
    <mergeCell ref="M101:N101"/>
    <mergeCell ref="O101:P101"/>
    <mergeCell ref="Q101:Q102"/>
    <mergeCell ref="R101:R102"/>
    <mergeCell ref="AB101:AB102"/>
    <mergeCell ref="AV101:AV102"/>
    <mergeCell ref="AW101:AW102"/>
    <mergeCell ref="A79:A81"/>
    <mergeCell ref="B79:R79"/>
    <mergeCell ref="T79:AH79"/>
    <mergeCell ref="AM79:AR79"/>
    <mergeCell ref="AT79:AW79"/>
    <mergeCell ref="B80:B81"/>
    <mergeCell ref="C80:C81"/>
    <mergeCell ref="D80:D81"/>
    <mergeCell ref="E80:E81"/>
    <mergeCell ref="G80:H80"/>
    <mergeCell ref="I80:J80"/>
    <mergeCell ref="K80:L80"/>
    <mergeCell ref="M80:N80"/>
    <mergeCell ref="O80:P80"/>
    <mergeCell ref="Q80:Q81"/>
    <mergeCell ref="R80:R81"/>
    <mergeCell ref="AB80:AB81"/>
    <mergeCell ref="AC80:AC81"/>
    <mergeCell ref="AD80:AD81"/>
    <mergeCell ref="AE80:AE81"/>
    <mergeCell ref="AF80:AF81"/>
    <mergeCell ref="AG80:AG81"/>
    <mergeCell ref="AH80:AH81"/>
    <mergeCell ref="AU80:AU81"/>
    <mergeCell ref="AV80:AV81"/>
    <mergeCell ref="AW80:AW81"/>
    <mergeCell ref="A72:A74"/>
    <mergeCell ref="B72:R72"/>
    <mergeCell ref="T72:AH72"/>
    <mergeCell ref="AM72:AR72"/>
    <mergeCell ref="AT72:AW72"/>
    <mergeCell ref="B73:B74"/>
    <mergeCell ref="C73:C74"/>
    <mergeCell ref="D73:D74"/>
    <mergeCell ref="E73:E74"/>
    <mergeCell ref="G73:H73"/>
    <mergeCell ref="I73:J73"/>
    <mergeCell ref="K73:L73"/>
    <mergeCell ref="M73:N73"/>
    <mergeCell ref="O73:P73"/>
    <mergeCell ref="Q73:Q74"/>
    <mergeCell ref="R73:R74"/>
    <mergeCell ref="AB73:AB74"/>
    <mergeCell ref="AC73:AC74"/>
    <mergeCell ref="AD73:AD74"/>
    <mergeCell ref="AE73:AE74"/>
    <mergeCell ref="AF73:AF74"/>
    <mergeCell ref="AG73:AG74"/>
    <mergeCell ref="AH73:AH74"/>
    <mergeCell ref="AI73:AI74"/>
    <mergeCell ref="AM73:AM74"/>
    <mergeCell ref="AN73:AN74"/>
    <mergeCell ref="AO73:AO74"/>
    <mergeCell ref="AP73:AP74"/>
    <mergeCell ref="AQ73:AQ74"/>
    <mergeCell ref="AR73:AR74"/>
    <mergeCell ref="AT73:AT74"/>
    <mergeCell ref="AU73:AU74"/>
    <mergeCell ref="AZ320:AZ321"/>
    <mergeCell ref="BB320:BB321"/>
    <mergeCell ref="G322:H322"/>
    <mergeCell ref="I322:J322"/>
    <mergeCell ref="K322:L322"/>
    <mergeCell ref="M322:N322"/>
    <mergeCell ref="O322:P322"/>
    <mergeCell ref="AJ322:AK322"/>
    <mergeCell ref="G323:H323"/>
    <mergeCell ref="A319:A321"/>
    <mergeCell ref="B319:R319"/>
    <mergeCell ref="T319:AH319"/>
    <mergeCell ref="AM319:AR319"/>
    <mergeCell ref="AT319:AW319"/>
    <mergeCell ref="B320:B321"/>
    <mergeCell ref="C320:C321"/>
    <mergeCell ref="D320:D321"/>
    <mergeCell ref="E320:E321"/>
    <mergeCell ref="G320:H320"/>
    <mergeCell ref="I320:J320"/>
    <mergeCell ref="K320:L320"/>
    <mergeCell ref="M320:N320"/>
    <mergeCell ref="O320:P320"/>
    <mergeCell ref="Q320:Q321"/>
    <mergeCell ref="R320:R321"/>
    <mergeCell ref="AB320:AB321"/>
    <mergeCell ref="AC320:AC321"/>
    <mergeCell ref="AD320:AD321"/>
    <mergeCell ref="AE320:AE321"/>
    <mergeCell ref="AF320:AF321"/>
    <mergeCell ref="AG320:AG321"/>
    <mergeCell ref="AH320:AH321"/>
    <mergeCell ref="A296:A298"/>
    <mergeCell ref="B296:R296"/>
    <mergeCell ref="AI320:AI321"/>
    <mergeCell ref="AM320:AM321"/>
    <mergeCell ref="AN320:AN321"/>
    <mergeCell ref="AO320:AO321"/>
    <mergeCell ref="AP320:AP321"/>
    <mergeCell ref="AQ320:AQ321"/>
    <mergeCell ref="AR320:AR321"/>
    <mergeCell ref="AT320:AT321"/>
    <mergeCell ref="AU320:AU321"/>
    <mergeCell ref="AV308:AV309"/>
    <mergeCell ref="AW308:AW309"/>
    <mergeCell ref="AY308:AY309"/>
    <mergeCell ref="AZ308:AZ309"/>
    <mergeCell ref="BB308:BB309"/>
    <mergeCell ref="AN308:AN309"/>
    <mergeCell ref="AO308:AO309"/>
    <mergeCell ref="AP308:AP309"/>
    <mergeCell ref="AQ308:AQ309"/>
    <mergeCell ref="AR308:AR309"/>
    <mergeCell ref="AT308:AT309"/>
    <mergeCell ref="AU308:AU309"/>
    <mergeCell ref="AV314:AV315"/>
    <mergeCell ref="AW314:AW315"/>
    <mergeCell ref="AY314:AY315"/>
    <mergeCell ref="AZ314:AZ315"/>
    <mergeCell ref="BB314:BB315"/>
    <mergeCell ref="AV320:AV321"/>
    <mergeCell ref="AW320:AW321"/>
    <mergeCell ref="AY320:AY321"/>
    <mergeCell ref="AN314:AN315"/>
    <mergeCell ref="A307:A309"/>
    <mergeCell ref="B307:R307"/>
    <mergeCell ref="T307:AH307"/>
    <mergeCell ref="AM307:AR307"/>
    <mergeCell ref="AT307:AW307"/>
    <mergeCell ref="B308:B309"/>
    <mergeCell ref="C308:C309"/>
    <mergeCell ref="D308:D309"/>
    <mergeCell ref="E308:E309"/>
    <mergeCell ref="G308:H308"/>
    <mergeCell ref="I308:J308"/>
    <mergeCell ref="K308:L308"/>
    <mergeCell ref="M308:N308"/>
    <mergeCell ref="O308:P308"/>
    <mergeCell ref="Q308:Q309"/>
    <mergeCell ref="R308:R309"/>
    <mergeCell ref="AB308:AB309"/>
    <mergeCell ref="AC308:AC309"/>
    <mergeCell ref="AD308:AD309"/>
    <mergeCell ref="AE308:AE309"/>
    <mergeCell ref="AF308:AF309"/>
    <mergeCell ref="AG308:AG309"/>
    <mergeCell ref="AH308:AH309"/>
    <mergeCell ref="AI308:AI309"/>
    <mergeCell ref="AM308:AM309"/>
    <mergeCell ref="G185:H185"/>
    <mergeCell ref="I185:J185"/>
    <mergeCell ref="K185:L185"/>
    <mergeCell ref="M185:N185"/>
    <mergeCell ref="O185:P185"/>
    <mergeCell ref="AJ185:AK185"/>
    <mergeCell ref="G186:H186"/>
    <mergeCell ref="G300:H300"/>
    <mergeCell ref="G299:H299"/>
    <mergeCell ref="I299:J299"/>
    <mergeCell ref="K299:L299"/>
    <mergeCell ref="M299:N299"/>
    <mergeCell ref="O299:P299"/>
    <mergeCell ref="AJ299:AK299"/>
    <mergeCell ref="O213:P213"/>
    <mergeCell ref="Q213:Q214"/>
    <mergeCell ref="R213:R214"/>
    <mergeCell ref="AG213:AG214"/>
    <mergeCell ref="AH213:AH214"/>
    <mergeCell ref="AI213:AI214"/>
    <mergeCell ref="G226:H226"/>
    <mergeCell ref="R249:R250"/>
    <mergeCell ref="AB249:AB250"/>
    <mergeCell ref="K249:L249"/>
    <mergeCell ref="M249:N249"/>
    <mergeCell ref="G252:H252"/>
    <mergeCell ref="G259:H259"/>
    <mergeCell ref="G266:H266"/>
    <mergeCell ref="G273:H273"/>
    <mergeCell ref="AB277:AB278"/>
    <mergeCell ref="T296:AH296"/>
    <mergeCell ref="G211:H211"/>
    <mergeCell ref="BB183:BB184"/>
    <mergeCell ref="AN172:AN173"/>
    <mergeCell ref="T176:AH176"/>
    <mergeCell ref="A182:A184"/>
    <mergeCell ref="B182:R182"/>
    <mergeCell ref="T182:AH182"/>
    <mergeCell ref="AM182:AR182"/>
    <mergeCell ref="AT182:AW182"/>
    <mergeCell ref="B183:B184"/>
    <mergeCell ref="C183:C184"/>
    <mergeCell ref="D183:D184"/>
    <mergeCell ref="E183:E184"/>
    <mergeCell ref="G183:H183"/>
    <mergeCell ref="I183:J183"/>
    <mergeCell ref="K183:L183"/>
    <mergeCell ref="M183:N183"/>
    <mergeCell ref="O183:P183"/>
    <mergeCell ref="Q183:Q184"/>
    <mergeCell ref="R183:R184"/>
    <mergeCell ref="AB183:AB184"/>
    <mergeCell ref="AC183:AC184"/>
    <mergeCell ref="AD183:AD184"/>
    <mergeCell ref="AE183:AE184"/>
    <mergeCell ref="AY172:AY173"/>
    <mergeCell ref="A176:A178"/>
    <mergeCell ref="AM176:AR176"/>
    <mergeCell ref="AT176:AW176"/>
    <mergeCell ref="B177:B178"/>
    <mergeCell ref="M174:N174"/>
    <mergeCell ref="O174:P174"/>
    <mergeCell ref="G180:H180"/>
    <mergeCell ref="G179:H179"/>
    <mergeCell ref="AY183:AY184"/>
    <mergeCell ref="AZ183:AZ184"/>
    <mergeCell ref="AT177:AT178"/>
    <mergeCell ref="AU177:AU178"/>
    <mergeCell ref="AG177:AG178"/>
    <mergeCell ref="AH177:AH178"/>
    <mergeCell ref="AI177:AI178"/>
    <mergeCell ref="AM177:AM178"/>
    <mergeCell ref="AV177:AV178"/>
    <mergeCell ref="AW177:AW178"/>
    <mergeCell ref="AF183:AF184"/>
    <mergeCell ref="AG183:AG184"/>
    <mergeCell ref="AH183:AH184"/>
    <mergeCell ref="AI183:AI184"/>
    <mergeCell ref="AM183:AM184"/>
    <mergeCell ref="AN183:AN184"/>
    <mergeCell ref="AO183:AO184"/>
    <mergeCell ref="AP183:AP184"/>
    <mergeCell ref="AQ183:AQ184"/>
    <mergeCell ref="AZ177:AZ178"/>
    <mergeCell ref="AM171:AR171"/>
    <mergeCell ref="AT171:AW171"/>
    <mergeCell ref="B172:B173"/>
    <mergeCell ref="C172:C173"/>
    <mergeCell ref="D172:D173"/>
    <mergeCell ref="E172:E173"/>
    <mergeCell ref="AR172:AR173"/>
    <mergeCell ref="AT172:AT173"/>
    <mergeCell ref="AU172:AU173"/>
    <mergeCell ref="AV172:AV173"/>
    <mergeCell ref="B176:R176"/>
    <mergeCell ref="AO172:AO173"/>
    <mergeCell ref="AP172:AP173"/>
    <mergeCell ref="AQ172:AQ173"/>
    <mergeCell ref="AW172:AW173"/>
    <mergeCell ref="I179:J179"/>
    <mergeCell ref="K179:L179"/>
    <mergeCell ref="M179:N179"/>
    <mergeCell ref="O179:P179"/>
    <mergeCell ref="AJ179:AK179"/>
    <mergeCell ref="K177:L177"/>
    <mergeCell ref="M177:N177"/>
    <mergeCell ref="O177:P177"/>
    <mergeCell ref="Q177:Q178"/>
    <mergeCell ref="R177:R178"/>
    <mergeCell ref="AB177:AB178"/>
    <mergeCell ref="AQ177:AQ178"/>
    <mergeCell ref="AR177:AR178"/>
    <mergeCell ref="BB177:BB178"/>
    <mergeCell ref="AZ172:AZ173"/>
    <mergeCell ref="G172:H172"/>
    <mergeCell ref="I172:J172"/>
    <mergeCell ref="K172:L172"/>
    <mergeCell ref="BB172:BB173"/>
    <mergeCell ref="C177:C178"/>
    <mergeCell ref="D177:D178"/>
    <mergeCell ref="AC177:AC178"/>
    <mergeCell ref="AD177:AD178"/>
    <mergeCell ref="AE177:AE178"/>
    <mergeCell ref="AF177:AF178"/>
    <mergeCell ref="AY177:AY178"/>
    <mergeCell ref="AN177:AN178"/>
    <mergeCell ref="AO177:AO178"/>
    <mergeCell ref="AP177:AP178"/>
    <mergeCell ref="A161:A163"/>
    <mergeCell ref="G162:H162"/>
    <mergeCell ref="I162:J162"/>
    <mergeCell ref="K162:L162"/>
    <mergeCell ref="M162:N162"/>
    <mergeCell ref="O162:P162"/>
    <mergeCell ref="Q162:Q163"/>
    <mergeCell ref="R162:R163"/>
    <mergeCell ref="AB162:AB163"/>
    <mergeCell ref="E177:E178"/>
    <mergeCell ref="G177:H177"/>
    <mergeCell ref="I177:J177"/>
    <mergeCell ref="AC162:AC163"/>
    <mergeCell ref="AD162:AD163"/>
    <mergeCell ref="AE162:AE163"/>
    <mergeCell ref="AE167:AE168"/>
    <mergeCell ref="BB157:BB158"/>
    <mergeCell ref="A166:A168"/>
    <mergeCell ref="B166:R166"/>
    <mergeCell ref="T166:AH166"/>
    <mergeCell ref="A171:A173"/>
    <mergeCell ref="B171:R171"/>
    <mergeCell ref="T171:AH171"/>
    <mergeCell ref="G174:H174"/>
    <mergeCell ref="I174:J174"/>
    <mergeCell ref="K174:L174"/>
    <mergeCell ref="G175:H175"/>
    <mergeCell ref="A156:A158"/>
    <mergeCell ref="B156:R156"/>
    <mergeCell ref="T156:AH156"/>
    <mergeCell ref="AM156:AR156"/>
    <mergeCell ref="G160:H160"/>
    <mergeCell ref="AN157:AN158"/>
    <mergeCell ref="AO157:AO158"/>
    <mergeCell ref="AP157:AP158"/>
    <mergeCell ref="AQ157:AQ158"/>
    <mergeCell ref="AR157:AR158"/>
    <mergeCell ref="G159:H159"/>
    <mergeCell ref="I159:J159"/>
    <mergeCell ref="K159:L159"/>
    <mergeCell ref="M159:N159"/>
    <mergeCell ref="O159:P159"/>
    <mergeCell ref="AJ159:AK159"/>
    <mergeCell ref="B161:R161"/>
    <mergeCell ref="T161:AH161"/>
    <mergeCell ref="AM161:AR161"/>
    <mergeCell ref="G170:H170"/>
    <mergeCell ref="G169:H169"/>
    <mergeCell ref="B162:B163"/>
    <mergeCell ref="C162:C163"/>
    <mergeCell ref="D162:D163"/>
    <mergeCell ref="E162:E163"/>
    <mergeCell ref="AT156:AW156"/>
    <mergeCell ref="B157:B158"/>
    <mergeCell ref="C157:C158"/>
    <mergeCell ref="D157:D158"/>
    <mergeCell ref="E157:E158"/>
    <mergeCell ref="G157:H157"/>
    <mergeCell ref="I157:J157"/>
    <mergeCell ref="K157:L157"/>
    <mergeCell ref="M157:N157"/>
    <mergeCell ref="AW162:AW163"/>
    <mergeCell ref="AF162:AF163"/>
    <mergeCell ref="AG162:AG163"/>
    <mergeCell ref="AH162:AH163"/>
    <mergeCell ref="AI162:AI163"/>
    <mergeCell ref="AM162:AM163"/>
    <mergeCell ref="AN162:AN163"/>
    <mergeCell ref="AT157:AT158"/>
    <mergeCell ref="AU157:AU158"/>
    <mergeCell ref="AV157:AV158"/>
    <mergeCell ref="AW157:AW158"/>
    <mergeCell ref="AB157:AB158"/>
    <mergeCell ref="AC157:AC158"/>
    <mergeCell ref="AD157:AD158"/>
    <mergeCell ref="AE157:AE158"/>
    <mergeCell ref="O157:P157"/>
    <mergeCell ref="Q157:Q158"/>
    <mergeCell ref="R157:R158"/>
    <mergeCell ref="AF157:AF158"/>
    <mergeCell ref="A151:A153"/>
    <mergeCell ref="B151:R151"/>
    <mergeCell ref="T151:AH151"/>
    <mergeCell ref="AM151:AR151"/>
    <mergeCell ref="AT151:AW151"/>
    <mergeCell ref="B152:B153"/>
    <mergeCell ref="C152:C153"/>
    <mergeCell ref="D152:D153"/>
    <mergeCell ref="E152:E153"/>
    <mergeCell ref="G152:H152"/>
    <mergeCell ref="I152:J152"/>
    <mergeCell ref="K152:L152"/>
    <mergeCell ref="M152:N152"/>
    <mergeCell ref="O152:P152"/>
    <mergeCell ref="Q152:Q153"/>
    <mergeCell ref="R152:R153"/>
    <mergeCell ref="AB152:AB153"/>
    <mergeCell ref="AC152:AC153"/>
    <mergeCell ref="AD152:AD153"/>
    <mergeCell ref="AE152:AE153"/>
    <mergeCell ref="AF152:AF153"/>
    <mergeCell ref="AG152:AG153"/>
    <mergeCell ref="AH152:AH153"/>
    <mergeCell ref="AI152:AI153"/>
    <mergeCell ref="AM152:AM153"/>
    <mergeCell ref="AN152:AN153"/>
    <mergeCell ref="AO152:AO153"/>
    <mergeCell ref="AP152:AP153"/>
    <mergeCell ref="AQ152:AQ153"/>
    <mergeCell ref="AR152:AR153"/>
    <mergeCell ref="AU152:AU153"/>
    <mergeCell ref="A146:A148"/>
    <mergeCell ref="B146:R146"/>
    <mergeCell ref="T146:AH146"/>
    <mergeCell ref="AM146:AR146"/>
    <mergeCell ref="AT146:AW146"/>
    <mergeCell ref="B147:B148"/>
    <mergeCell ref="C147:C148"/>
    <mergeCell ref="D147:D148"/>
    <mergeCell ref="E147:E148"/>
    <mergeCell ref="G147:H147"/>
    <mergeCell ref="I147:J147"/>
    <mergeCell ref="K147:L147"/>
    <mergeCell ref="M147:N147"/>
    <mergeCell ref="O147:P147"/>
    <mergeCell ref="Q147:Q148"/>
    <mergeCell ref="R147:R148"/>
    <mergeCell ref="AB147:AB148"/>
    <mergeCell ref="AC147:AC148"/>
    <mergeCell ref="AD147:AD148"/>
    <mergeCell ref="AE147:AE148"/>
    <mergeCell ref="AF147:AF148"/>
    <mergeCell ref="AG147:AG148"/>
    <mergeCell ref="AT147:AT148"/>
    <mergeCell ref="AU147:AU148"/>
    <mergeCell ref="AH147:AH148"/>
    <mergeCell ref="AI147:AI148"/>
    <mergeCell ref="AM147:AM148"/>
    <mergeCell ref="AN147:AN148"/>
    <mergeCell ref="AO147:AO148"/>
    <mergeCell ref="AP147:AP148"/>
    <mergeCell ref="AQ147:AQ148"/>
    <mergeCell ref="AR147:AR148"/>
    <mergeCell ref="G220:H220"/>
    <mergeCell ref="AM296:AR296"/>
    <mergeCell ref="AT296:AW296"/>
    <mergeCell ref="B297:B298"/>
    <mergeCell ref="C297:C298"/>
    <mergeCell ref="D297:D298"/>
    <mergeCell ref="E297:E298"/>
    <mergeCell ref="G297:H297"/>
    <mergeCell ref="I297:J297"/>
    <mergeCell ref="K297:L297"/>
    <mergeCell ref="M297:N297"/>
    <mergeCell ref="O297:P297"/>
    <mergeCell ref="Q297:Q298"/>
    <mergeCell ref="R297:R298"/>
    <mergeCell ref="AB297:AB298"/>
    <mergeCell ref="AP297:AP298"/>
    <mergeCell ref="AQ297:AQ298"/>
    <mergeCell ref="AR297:AR298"/>
    <mergeCell ref="AT297:AT298"/>
    <mergeCell ref="AU297:AU298"/>
    <mergeCell ref="AO297:AO298"/>
    <mergeCell ref="K220:L220"/>
    <mergeCell ref="M220:N220"/>
    <mergeCell ref="O220:P220"/>
    <mergeCell ref="G244:H244"/>
    <mergeCell ref="I244:J244"/>
    <mergeCell ref="K244:L244"/>
    <mergeCell ref="M244:N244"/>
    <mergeCell ref="O244:P244"/>
    <mergeCell ref="AF242:AF243"/>
    <mergeCell ref="AG242:AG243"/>
    <mergeCell ref="Q242:Q243"/>
    <mergeCell ref="G213:H213"/>
    <mergeCell ref="I213:J213"/>
    <mergeCell ref="K213:L213"/>
    <mergeCell ref="M213:N213"/>
    <mergeCell ref="G155:H155"/>
    <mergeCell ref="AY157:AY158"/>
    <mergeCell ref="M172:N172"/>
    <mergeCell ref="O172:P172"/>
    <mergeCell ref="Q172:Q173"/>
    <mergeCell ref="R172:R173"/>
    <mergeCell ref="AB172:AB173"/>
    <mergeCell ref="AC172:AC173"/>
    <mergeCell ref="AD172:AD173"/>
    <mergeCell ref="AE172:AE173"/>
    <mergeCell ref="AF172:AF173"/>
    <mergeCell ref="AG172:AG173"/>
    <mergeCell ref="AH172:AH173"/>
    <mergeCell ref="AI172:AI173"/>
    <mergeCell ref="AM172:AM173"/>
    <mergeCell ref="G164:H164"/>
    <mergeCell ref="I164:J164"/>
    <mergeCell ref="K164:L164"/>
    <mergeCell ref="M164:N164"/>
    <mergeCell ref="O164:P164"/>
    <mergeCell ref="AJ164:AK164"/>
    <mergeCell ref="G165:H165"/>
    <mergeCell ref="AJ174:AK174"/>
    <mergeCell ref="AR183:AR184"/>
    <mergeCell ref="AT183:AT184"/>
    <mergeCell ref="AU183:AU184"/>
    <mergeCell ref="AV183:AV184"/>
    <mergeCell ref="AW183:AW184"/>
    <mergeCell ref="G221:H221"/>
    <mergeCell ref="B212:R212"/>
    <mergeCell ref="T212:AH212"/>
    <mergeCell ref="AM290:AM291"/>
    <mergeCell ref="AW290:AW291"/>
    <mergeCell ref="Q218:Q219"/>
    <mergeCell ref="R218:R219"/>
    <mergeCell ref="AB218:AB219"/>
    <mergeCell ref="AC218:AC219"/>
    <mergeCell ref="AD218:AD219"/>
    <mergeCell ref="AE218:AE219"/>
    <mergeCell ref="AF218:AF219"/>
    <mergeCell ref="AG218:AG219"/>
    <mergeCell ref="AH218:AH219"/>
    <mergeCell ref="G216:H216"/>
    <mergeCell ref="G215:H215"/>
    <mergeCell ref="I215:J215"/>
    <mergeCell ref="K215:L215"/>
    <mergeCell ref="M215:N215"/>
    <mergeCell ref="O249:P249"/>
    <mergeCell ref="Q249:Q250"/>
    <mergeCell ref="G233:H233"/>
    <mergeCell ref="AW249:AW250"/>
    <mergeCell ref="G240:H240"/>
    <mergeCell ref="AB213:AB214"/>
    <mergeCell ref="AC213:AC214"/>
    <mergeCell ref="AD213:AD214"/>
    <mergeCell ref="AE213:AE214"/>
    <mergeCell ref="AF213:AF214"/>
    <mergeCell ref="C213:C214"/>
    <mergeCell ref="D213:D214"/>
    <mergeCell ref="E213:E214"/>
    <mergeCell ref="AZ290:AZ291"/>
    <mergeCell ref="I220:J220"/>
    <mergeCell ref="BB290:BB291"/>
    <mergeCell ref="AN290:AN291"/>
    <mergeCell ref="AO290:AO291"/>
    <mergeCell ref="AP290:AP291"/>
    <mergeCell ref="AQ290:AQ291"/>
    <mergeCell ref="AR290:AR291"/>
    <mergeCell ref="AT290:AT291"/>
    <mergeCell ref="AU290:AU291"/>
    <mergeCell ref="AV297:AV298"/>
    <mergeCell ref="AW297:AW298"/>
    <mergeCell ref="AY297:AY298"/>
    <mergeCell ref="AZ297:AZ298"/>
    <mergeCell ref="BB297:BB298"/>
    <mergeCell ref="G292:H292"/>
    <mergeCell ref="I292:J292"/>
    <mergeCell ref="K292:L292"/>
    <mergeCell ref="M292:N292"/>
    <mergeCell ref="O292:P292"/>
    <mergeCell ref="AJ292:AK292"/>
    <mergeCell ref="G293:H293"/>
    <mergeCell ref="AC297:AC298"/>
    <mergeCell ref="AD297:AD298"/>
    <mergeCell ref="AE297:AE298"/>
    <mergeCell ref="AF297:AF298"/>
    <mergeCell ref="AG297:AG298"/>
    <mergeCell ref="AH297:AH298"/>
    <mergeCell ref="AI297:AI298"/>
    <mergeCell ref="AM297:AM298"/>
    <mergeCell ref="AN297:AN298"/>
    <mergeCell ref="AV290:AV291"/>
    <mergeCell ref="AY152:AY153"/>
    <mergeCell ref="A289:A291"/>
    <mergeCell ref="B289:R289"/>
    <mergeCell ref="T289:AH289"/>
    <mergeCell ref="AM289:AR289"/>
    <mergeCell ref="AT289:AW289"/>
    <mergeCell ref="B290:B291"/>
    <mergeCell ref="C290:C291"/>
    <mergeCell ref="D290:D291"/>
    <mergeCell ref="E290:E291"/>
    <mergeCell ref="G290:H290"/>
    <mergeCell ref="I290:J290"/>
    <mergeCell ref="K290:L290"/>
    <mergeCell ref="M290:N290"/>
    <mergeCell ref="O290:P290"/>
    <mergeCell ref="Q290:Q291"/>
    <mergeCell ref="R290:R291"/>
    <mergeCell ref="AB290:AB291"/>
    <mergeCell ref="AC290:AC291"/>
    <mergeCell ref="AD290:AD291"/>
    <mergeCell ref="AE290:AE291"/>
    <mergeCell ref="AF290:AF291"/>
    <mergeCell ref="AG290:AG291"/>
    <mergeCell ref="AH290:AH291"/>
    <mergeCell ref="AI290:AI291"/>
    <mergeCell ref="AY290:AY291"/>
    <mergeCell ref="AV218:AV219"/>
    <mergeCell ref="AW218:AW219"/>
    <mergeCell ref="G245:H245"/>
    <mergeCell ref="AV242:AV243"/>
    <mergeCell ref="AW242:AW243"/>
    <mergeCell ref="AY242:AY243"/>
    <mergeCell ref="AZ249:AZ250"/>
    <mergeCell ref="AN249:AN250"/>
    <mergeCell ref="AO249:AO250"/>
    <mergeCell ref="AJ220:AK220"/>
    <mergeCell ref="AY218:AY219"/>
    <mergeCell ref="AZ218:AZ219"/>
    <mergeCell ref="AI218:AI219"/>
    <mergeCell ref="AM218:AM219"/>
    <mergeCell ref="AN218:AN219"/>
    <mergeCell ref="AO218:AO219"/>
    <mergeCell ref="AR218:AR219"/>
    <mergeCell ref="AT218:AT219"/>
    <mergeCell ref="AU218:AU219"/>
    <mergeCell ref="AM213:AM214"/>
    <mergeCell ref="AM217:AR217"/>
    <mergeCell ref="AT217:AW217"/>
    <mergeCell ref="AP218:AP219"/>
    <mergeCell ref="AQ218:AQ219"/>
    <mergeCell ref="AP213:AP214"/>
    <mergeCell ref="AQ213:AQ214"/>
    <mergeCell ref="AR213:AR214"/>
    <mergeCell ref="AT213:AT214"/>
    <mergeCell ref="AU213:AU214"/>
    <mergeCell ref="AV213:AV214"/>
    <mergeCell ref="AY230:AY231"/>
    <mergeCell ref="AZ230:AZ231"/>
    <mergeCell ref="AY237:AY238"/>
    <mergeCell ref="AW213:AW214"/>
    <mergeCell ref="AJ244:AK244"/>
    <mergeCell ref="AY223:AY224"/>
    <mergeCell ref="AY249:AY250"/>
    <mergeCell ref="BB223:BB224"/>
    <mergeCell ref="G225:H225"/>
    <mergeCell ref="I225:J225"/>
    <mergeCell ref="K225:L225"/>
    <mergeCell ref="M225:N225"/>
    <mergeCell ref="O225:P225"/>
    <mergeCell ref="AJ225:AK225"/>
    <mergeCell ref="AM223:AM224"/>
    <mergeCell ref="AN223:AN224"/>
    <mergeCell ref="AO223:AO224"/>
    <mergeCell ref="AP223:AP224"/>
    <mergeCell ref="AQ223:AQ224"/>
    <mergeCell ref="AR223:AR224"/>
    <mergeCell ref="AT223:AT224"/>
    <mergeCell ref="AU223:AU224"/>
    <mergeCell ref="AV223:AV224"/>
    <mergeCell ref="AG223:AG224"/>
    <mergeCell ref="AH223:AH224"/>
    <mergeCell ref="AI223:AI224"/>
    <mergeCell ref="AZ223:AZ224"/>
    <mergeCell ref="A222:A224"/>
    <mergeCell ref="B222:R222"/>
    <mergeCell ref="T222:AH222"/>
    <mergeCell ref="AM222:AR222"/>
    <mergeCell ref="AT222:AW222"/>
    <mergeCell ref="B223:B224"/>
    <mergeCell ref="C223:C224"/>
    <mergeCell ref="D223:D224"/>
    <mergeCell ref="E223:E224"/>
    <mergeCell ref="G223:H223"/>
    <mergeCell ref="I223:J223"/>
    <mergeCell ref="K223:L223"/>
    <mergeCell ref="M223:N223"/>
    <mergeCell ref="O223:P223"/>
    <mergeCell ref="Q223:Q224"/>
    <mergeCell ref="R223:R224"/>
    <mergeCell ref="AB223:AB224"/>
    <mergeCell ref="AC223:AC224"/>
    <mergeCell ref="AD223:AD224"/>
    <mergeCell ref="AE223:AE224"/>
    <mergeCell ref="AF223:AF224"/>
    <mergeCell ref="AW223:AW224"/>
    <mergeCell ref="AY19:AY20"/>
    <mergeCell ref="AZ19:AZ20"/>
    <mergeCell ref="I28:J28"/>
    <mergeCell ref="K28:L28"/>
    <mergeCell ref="M28:N28"/>
    <mergeCell ref="O28:P28"/>
    <mergeCell ref="AJ28:AK28"/>
    <mergeCell ref="AT26:AT27"/>
    <mergeCell ref="AU26:AU27"/>
    <mergeCell ref="AV26:AV27"/>
    <mergeCell ref="AB26:AB27"/>
    <mergeCell ref="G29:H29"/>
    <mergeCell ref="AC31:AC32"/>
    <mergeCell ref="AD31:AD32"/>
    <mergeCell ref="AE31:AE32"/>
    <mergeCell ref="I31:J31"/>
    <mergeCell ref="AZ213:AZ214"/>
    <mergeCell ref="AW63:AW64"/>
    <mergeCell ref="AY63:AY64"/>
    <mergeCell ref="AE63:AE64"/>
    <mergeCell ref="AF63:AF64"/>
    <mergeCell ref="G63:H63"/>
    <mergeCell ref="I63:J63"/>
    <mergeCell ref="K63:L63"/>
    <mergeCell ref="M63:N63"/>
    <mergeCell ref="O63:P63"/>
    <mergeCell ref="Q63:Q64"/>
    <mergeCell ref="AJ149:AK149"/>
    <mergeCell ref="AY162:AY163"/>
    <mergeCell ref="AZ162:AZ163"/>
    <mergeCell ref="AV152:AV153"/>
    <mergeCell ref="AW152:AW153"/>
    <mergeCell ref="BB19:BB20"/>
    <mergeCell ref="G21:H21"/>
    <mergeCell ref="I21:J21"/>
    <mergeCell ref="K21:L21"/>
    <mergeCell ref="M21:N21"/>
    <mergeCell ref="O21:P21"/>
    <mergeCell ref="G218:H218"/>
    <mergeCell ref="I218:J218"/>
    <mergeCell ref="K218:L218"/>
    <mergeCell ref="M218:N218"/>
    <mergeCell ref="O218:P218"/>
    <mergeCell ref="AT25:AW25"/>
    <mergeCell ref="AE26:AE27"/>
    <mergeCell ref="AF26:AF27"/>
    <mergeCell ref="G26:H26"/>
    <mergeCell ref="I26:J26"/>
    <mergeCell ref="K26:L26"/>
    <mergeCell ref="M26:N26"/>
    <mergeCell ref="O26:P26"/>
    <mergeCell ref="Q26:Q27"/>
    <mergeCell ref="AW26:AW27"/>
    <mergeCell ref="AY26:AY27"/>
    <mergeCell ref="BB218:BB219"/>
    <mergeCell ref="AY213:AY214"/>
    <mergeCell ref="BB213:BB214"/>
    <mergeCell ref="O215:P215"/>
    <mergeCell ref="AJ215:AK215"/>
    <mergeCell ref="AN213:AN214"/>
    <mergeCell ref="AO213:AO214"/>
    <mergeCell ref="AZ26:AZ27"/>
    <mergeCell ref="BB26:BB27"/>
    <mergeCell ref="G28:H28"/>
    <mergeCell ref="A1:C1"/>
    <mergeCell ref="A3:F3"/>
    <mergeCell ref="H3:R3"/>
    <mergeCell ref="E4:R4"/>
    <mergeCell ref="A11:A13"/>
    <mergeCell ref="B11:R11"/>
    <mergeCell ref="M12:N12"/>
    <mergeCell ref="O12:P12"/>
    <mergeCell ref="Q12:Q13"/>
    <mergeCell ref="R12:R13"/>
    <mergeCell ref="AJ21:AK21"/>
    <mergeCell ref="G22:H22"/>
    <mergeCell ref="I19:J19"/>
    <mergeCell ref="K19:L19"/>
    <mergeCell ref="M19:N19"/>
    <mergeCell ref="O19:P19"/>
    <mergeCell ref="Q19:Q20"/>
    <mergeCell ref="A25:A27"/>
    <mergeCell ref="B25:R25"/>
    <mergeCell ref="T25:AH25"/>
    <mergeCell ref="AM25:AR25"/>
    <mergeCell ref="B26:B27"/>
    <mergeCell ref="C26:C27"/>
    <mergeCell ref="D26:D27"/>
    <mergeCell ref="E26:E27"/>
    <mergeCell ref="AC26:AC27"/>
    <mergeCell ref="AD26:AD27"/>
    <mergeCell ref="B12:B13"/>
    <mergeCell ref="C12:C13"/>
    <mergeCell ref="D12:D13"/>
    <mergeCell ref="E12:E13"/>
    <mergeCell ref="G12:H12"/>
    <mergeCell ref="I12:J12"/>
    <mergeCell ref="K12:L12"/>
    <mergeCell ref="G15:H15"/>
    <mergeCell ref="A18:A20"/>
    <mergeCell ref="B18:R18"/>
    <mergeCell ref="T18:AH18"/>
    <mergeCell ref="AM18:AR18"/>
    <mergeCell ref="AP26:AP27"/>
    <mergeCell ref="AQ26:AQ27"/>
    <mergeCell ref="AR26:AR27"/>
    <mergeCell ref="AG26:AG27"/>
    <mergeCell ref="AH26:AH27"/>
    <mergeCell ref="AI26:AI27"/>
    <mergeCell ref="AM26:AM27"/>
    <mergeCell ref="AN26:AN27"/>
    <mergeCell ref="AO26:AO27"/>
    <mergeCell ref="R26:R27"/>
    <mergeCell ref="AT18:AW18"/>
    <mergeCell ref="B19:B20"/>
    <mergeCell ref="C19:C20"/>
    <mergeCell ref="D19:D20"/>
    <mergeCell ref="E19:E20"/>
    <mergeCell ref="AC19:AC20"/>
    <mergeCell ref="AD19:AD20"/>
    <mergeCell ref="AE19:AE20"/>
    <mergeCell ref="AF19:AF20"/>
    <mergeCell ref="AP19:AP20"/>
    <mergeCell ref="AQ19:AQ20"/>
    <mergeCell ref="AR19:AR20"/>
    <mergeCell ref="AT19:AT20"/>
    <mergeCell ref="AU19:AU20"/>
    <mergeCell ref="AV19:AV20"/>
    <mergeCell ref="AG19:AG20"/>
    <mergeCell ref="AH19:AH20"/>
    <mergeCell ref="AI19:AI20"/>
    <mergeCell ref="AM19:AM20"/>
    <mergeCell ref="AN19:AN20"/>
    <mergeCell ref="AO19:AO20"/>
    <mergeCell ref="R19:R20"/>
    <mergeCell ref="AB19:AB20"/>
    <mergeCell ref="G19:H19"/>
    <mergeCell ref="AW19:AW20"/>
    <mergeCell ref="AY12:AY13"/>
    <mergeCell ref="AE12:AE13"/>
    <mergeCell ref="AF12:AF13"/>
    <mergeCell ref="AG12:AG13"/>
    <mergeCell ref="T11:AH11"/>
    <mergeCell ref="AZ12:AZ13"/>
    <mergeCell ref="BB12:BB13"/>
    <mergeCell ref="G14:H14"/>
    <mergeCell ref="I14:J14"/>
    <mergeCell ref="K14:L14"/>
    <mergeCell ref="M14:N14"/>
    <mergeCell ref="O14:P14"/>
    <mergeCell ref="AJ14:AK14"/>
    <mergeCell ref="AQ12:AQ13"/>
    <mergeCell ref="AR12:AR13"/>
    <mergeCell ref="AT12:AT13"/>
    <mergeCell ref="AU12:AU13"/>
    <mergeCell ref="AV12:AV13"/>
    <mergeCell ref="AW12:AW13"/>
    <mergeCell ref="AH12:AH13"/>
    <mergeCell ref="AI12:AI13"/>
    <mergeCell ref="AM12:AM13"/>
    <mergeCell ref="AN12:AN13"/>
    <mergeCell ref="AO12:AO13"/>
    <mergeCell ref="AP12:AP13"/>
    <mergeCell ref="AB12:AB13"/>
    <mergeCell ref="AC12:AC13"/>
    <mergeCell ref="AD12:AD13"/>
    <mergeCell ref="AT11:AW11"/>
    <mergeCell ref="AM11:AR11"/>
    <mergeCell ref="A35:A37"/>
    <mergeCell ref="B35:R35"/>
    <mergeCell ref="AR56:AR57"/>
    <mergeCell ref="AT56:AT57"/>
    <mergeCell ref="AU56:AU57"/>
    <mergeCell ref="AV56:AV57"/>
    <mergeCell ref="AG56:AG57"/>
    <mergeCell ref="AH56:AH57"/>
    <mergeCell ref="AI56:AI57"/>
    <mergeCell ref="AM56:AM57"/>
    <mergeCell ref="AN56:AN57"/>
    <mergeCell ref="AO56:AO57"/>
    <mergeCell ref="R56:R57"/>
    <mergeCell ref="AB56:AB57"/>
    <mergeCell ref="A55:A57"/>
    <mergeCell ref="B55:R55"/>
    <mergeCell ref="T55:AH55"/>
    <mergeCell ref="AM55:AR55"/>
    <mergeCell ref="AT55:AW55"/>
    <mergeCell ref="B56:B57"/>
    <mergeCell ref="C56:C57"/>
    <mergeCell ref="D56:D57"/>
    <mergeCell ref="E56:E57"/>
    <mergeCell ref="AC56:AC57"/>
    <mergeCell ref="AD56:AD57"/>
    <mergeCell ref="AE56:AE57"/>
    <mergeCell ref="AF56:AF57"/>
    <mergeCell ref="G56:H56"/>
    <mergeCell ref="I56:J56"/>
    <mergeCell ref="K56:L56"/>
    <mergeCell ref="M56:N56"/>
    <mergeCell ref="O56:P56"/>
    <mergeCell ref="A62:A64"/>
    <mergeCell ref="B62:R62"/>
    <mergeCell ref="T62:AH62"/>
    <mergeCell ref="AM62:AR62"/>
    <mergeCell ref="AT62:AW62"/>
    <mergeCell ref="B63:B64"/>
    <mergeCell ref="C63:C64"/>
    <mergeCell ref="D63:D64"/>
    <mergeCell ref="E63:E64"/>
    <mergeCell ref="AZ63:AZ64"/>
    <mergeCell ref="BB63:BB64"/>
    <mergeCell ref="G65:H65"/>
    <mergeCell ref="I65:J65"/>
    <mergeCell ref="K65:L65"/>
    <mergeCell ref="M65:N65"/>
    <mergeCell ref="O65:P65"/>
    <mergeCell ref="AJ65:AK65"/>
    <mergeCell ref="AP63:AP64"/>
    <mergeCell ref="AQ63:AQ64"/>
    <mergeCell ref="AR63:AR64"/>
    <mergeCell ref="AT63:AT64"/>
    <mergeCell ref="AU63:AU64"/>
    <mergeCell ref="AV63:AV64"/>
    <mergeCell ref="AG63:AG64"/>
    <mergeCell ref="AH63:AH64"/>
    <mergeCell ref="AI63:AI64"/>
    <mergeCell ref="AM63:AM64"/>
    <mergeCell ref="AN63:AN64"/>
    <mergeCell ref="AO63:AO64"/>
    <mergeCell ref="R63:R64"/>
    <mergeCell ref="AB63:AB64"/>
    <mergeCell ref="AC63:AC64"/>
    <mergeCell ref="AY111:AY112"/>
    <mergeCell ref="G66:H66"/>
    <mergeCell ref="AV73:AV74"/>
    <mergeCell ref="AW73:AW74"/>
    <mergeCell ref="AY73:AY74"/>
    <mergeCell ref="AI80:AI81"/>
    <mergeCell ref="AM80:AM81"/>
    <mergeCell ref="AN80:AN81"/>
    <mergeCell ref="AO80:AO81"/>
    <mergeCell ref="AP80:AP81"/>
    <mergeCell ref="AQ80:AQ81"/>
    <mergeCell ref="AR80:AR81"/>
    <mergeCell ref="AT80:AT81"/>
    <mergeCell ref="G89:H89"/>
    <mergeCell ref="I89:J89"/>
    <mergeCell ref="G104:H104"/>
    <mergeCell ref="AY101:AY102"/>
    <mergeCell ref="AO111:AO112"/>
    <mergeCell ref="R111:R112"/>
    <mergeCell ref="AB111:AB112"/>
    <mergeCell ref="AC111:AC112"/>
    <mergeCell ref="AF111:AF112"/>
    <mergeCell ref="G111:H111"/>
    <mergeCell ref="I111:J111"/>
    <mergeCell ref="K111:L111"/>
    <mergeCell ref="M111:N111"/>
    <mergeCell ref="O111:P111"/>
    <mergeCell ref="T110:AH110"/>
    <mergeCell ref="AM110:AR110"/>
    <mergeCell ref="AT110:AW110"/>
    <mergeCell ref="G97:H97"/>
    <mergeCell ref="AY94:AY95"/>
    <mergeCell ref="B111:B112"/>
    <mergeCell ref="C111:C112"/>
    <mergeCell ref="D111:D112"/>
    <mergeCell ref="E111:E112"/>
    <mergeCell ref="B128:B129"/>
    <mergeCell ref="C128:C129"/>
    <mergeCell ref="D128:D129"/>
    <mergeCell ref="E128:E129"/>
    <mergeCell ref="AC128:AC129"/>
    <mergeCell ref="AD128:AD129"/>
    <mergeCell ref="AE128:AE129"/>
    <mergeCell ref="AF128:AF129"/>
    <mergeCell ref="G128:H128"/>
    <mergeCell ref="I128:J128"/>
    <mergeCell ref="K128:L128"/>
    <mergeCell ref="M128:N128"/>
    <mergeCell ref="O128:P128"/>
    <mergeCell ref="Q128:Q129"/>
    <mergeCell ref="M118:N118"/>
    <mergeCell ref="O118:P118"/>
    <mergeCell ref="E121:E122"/>
    <mergeCell ref="G121:H121"/>
    <mergeCell ref="I121:J121"/>
    <mergeCell ref="K121:L121"/>
    <mergeCell ref="M121:N121"/>
    <mergeCell ref="O121:P121"/>
    <mergeCell ref="Q121:Q122"/>
    <mergeCell ref="R121:R122"/>
    <mergeCell ref="AB121:AB122"/>
    <mergeCell ref="AC121:AC122"/>
    <mergeCell ref="AD121:AD122"/>
    <mergeCell ref="AE121:AE122"/>
    <mergeCell ref="AW128:AW129"/>
    <mergeCell ref="BB111:BB112"/>
    <mergeCell ref="G113:H113"/>
    <mergeCell ref="I113:J113"/>
    <mergeCell ref="K113:L113"/>
    <mergeCell ref="M113:N113"/>
    <mergeCell ref="O113:P113"/>
    <mergeCell ref="AJ113:AK113"/>
    <mergeCell ref="AP111:AP112"/>
    <mergeCell ref="AQ111:AQ112"/>
    <mergeCell ref="AR111:AR112"/>
    <mergeCell ref="AT111:AT112"/>
    <mergeCell ref="AU111:AU112"/>
    <mergeCell ref="AV111:AV112"/>
    <mergeCell ref="AG111:AG112"/>
    <mergeCell ref="AH111:AH112"/>
    <mergeCell ref="AI111:AI112"/>
    <mergeCell ref="AM111:AM112"/>
    <mergeCell ref="AH128:AH129"/>
    <mergeCell ref="AI128:AI129"/>
    <mergeCell ref="AM128:AM129"/>
    <mergeCell ref="AN128:AN129"/>
    <mergeCell ref="AO128:AO129"/>
    <mergeCell ref="R128:R129"/>
    <mergeCell ref="AB128:AB129"/>
    <mergeCell ref="AM127:AR127"/>
    <mergeCell ref="AT127:AW127"/>
    <mergeCell ref="AN111:AN112"/>
    <mergeCell ref="BB116:BB117"/>
    <mergeCell ref="G118:H118"/>
    <mergeCell ref="I118:J118"/>
    <mergeCell ref="K118:L118"/>
    <mergeCell ref="AR135:AR136"/>
    <mergeCell ref="AT135:AT136"/>
    <mergeCell ref="AU135:AU136"/>
    <mergeCell ref="AV135:AV136"/>
    <mergeCell ref="AG135:AG136"/>
    <mergeCell ref="AH135:AH136"/>
    <mergeCell ref="AI135:AI136"/>
    <mergeCell ref="AM135:AM136"/>
    <mergeCell ref="AN135:AN136"/>
    <mergeCell ref="AO135:AO136"/>
    <mergeCell ref="AC135:AC136"/>
    <mergeCell ref="AD135:AD136"/>
    <mergeCell ref="AE135:AE136"/>
    <mergeCell ref="AF135:AF136"/>
    <mergeCell ref="G135:H135"/>
    <mergeCell ref="I135:J135"/>
    <mergeCell ref="K135:L135"/>
    <mergeCell ref="M135:N135"/>
    <mergeCell ref="O135:P135"/>
    <mergeCell ref="Q135:Q136"/>
    <mergeCell ref="AB135:AB136"/>
    <mergeCell ref="A207:A209"/>
    <mergeCell ref="B207:R207"/>
    <mergeCell ref="T207:AH207"/>
    <mergeCell ref="AM207:AR207"/>
    <mergeCell ref="AT207:AW207"/>
    <mergeCell ref="B208:B209"/>
    <mergeCell ref="C208:C209"/>
    <mergeCell ref="D208:D209"/>
    <mergeCell ref="E208:E209"/>
    <mergeCell ref="AC208:AC209"/>
    <mergeCell ref="AD208:AD209"/>
    <mergeCell ref="AE208:AE209"/>
    <mergeCell ref="AF208:AF209"/>
    <mergeCell ref="G208:H208"/>
    <mergeCell ref="I208:J208"/>
    <mergeCell ref="K208:L208"/>
    <mergeCell ref="M208:N208"/>
    <mergeCell ref="O208:P208"/>
    <mergeCell ref="Q208:Q209"/>
    <mergeCell ref="AW208:AW209"/>
    <mergeCell ref="BB208:BB209"/>
    <mergeCell ref="G210:H210"/>
    <mergeCell ref="I210:J210"/>
    <mergeCell ref="K210:L210"/>
    <mergeCell ref="M210:N210"/>
    <mergeCell ref="O210:P210"/>
    <mergeCell ref="AJ210:AK210"/>
    <mergeCell ref="AP208:AP209"/>
    <mergeCell ref="AQ208:AQ209"/>
    <mergeCell ref="AR208:AR209"/>
    <mergeCell ref="AT208:AT209"/>
    <mergeCell ref="AU208:AU209"/>
    <mergeCell ref="AV208:AV209"/>
    <mergeCell ref="AG208:AG209"/>
    <mergeCell ref="AH208:AH209"/>
    <mergeCell ref="AI208:AI209"/>
    <mergeCell ref="AM208:AM209"/>
    <mergeCell ref="AN208:AN209"/>
    <mergeCell ref="AO208:AO209"/>
    <mergeCell ref="R208:R209"/>
    <mergeCell ref="AB208:AB209"/>
    <mergeCell ref="AY208:AY209"/>
    <mergeCell ref="AZ208:AZ209"/>
    <mergeCell ref="A229:A231"/>
    <mergeCell ref="B229:R229"/>
    <mergeCell ref="T229:AH229"/>
    <mergeCell ref="AM229:AR229"/>
    <mergeCell ref="AT229:AW229"/>
    <mergeCell ref="B230:B231"/>
    <mergeCell ref="C230:C231"/>
    <mergeCell ref="D230:D231"/>
    <mergeCell ref="E230:E231"/>
    <mergeCell ref="AC230:AC231"/>
    <mergeCell ref="AD230:AD231"/>
    <mergeCell ref="AE230:AE231"/>
    <mergeCell ref="AF230:AF231"/>
    <mergeCell ref="G230:H230"/>
    <mergeCell ref="I230:J230"/>
    <mergeCell ref="K230:L230"/>
    <mergeCell ref="M230:N230"/>
    <mergeCell ref="O230:P230"/>
    <mergeCell ref="Q230:Q231"/>
    <mergeCell ref="AW230:AW231"/>
    <mergeCell ref="A217:A219"/>
    <mergeCell ref="B217:R217"/>
    <mergeCell ref="T217:AH217"/>
    <mergeCell ref="B218:B219"/>
    <mergeCell ref="C218:C219"/>
    <mergeCell ref="D218:D219"/>
    <mergeCell ref="E218:E219"/>
    <mergeCell ref="A212:A214"/>
    <mergeCell ref="AM212:AR212"/>
    <mergeCell ref="AT212:AW212"/>
    <mergeCell ref="B213:B214"/>
    <mergeCell ref="BB230:BB231"/>
    <mergeCell ref="G232:H232"/>
    <mergeCell ref="I232:J232"/>
    <mergeCell ref="K232:L232"/>
    <mergeCell ref="M232:N232"/>
    <mergeCell ref="O232:P232"/>
    <mergeCell ref="AJ232:AK232"/>
    <mergeCell ref="AP230:AP231"/>
    <mergeCell ref="AQ230:AQ231"/>
    <mergeCell ref="AR230:AR231"/>
    <mergeCell ref="AT230:AT231"/>
    <mergeCell ref="AU230:AU231"/>
    <mergeCell ref="AV230:AV231"/>
    <mergeCell ref="AG230:AG231"/>
    <mergeCell ref="AH230:AH231"/>
    <mergeCell ref="AI230:AI231"/>
    <mergeCell ref="AM230:AM231"/>
    <mergeCell ref="AN230:AN231"/>
    <mergeCell ref="AO230:AO231"/>
    <mergeCell ref="R230:R231"/>
    <mergeCell ref="AB230:AB231"/>
    <mergeCell ref="A236:A238"/>
    <mergeCell ref="B236:R236"/>
    <mergeCell ref="T236:AH236"/>
    <mergeCell ref="AM236:AR236"/>
    <mergeCell ref="AT236:AW236"/>
    <mergeCell ref="B237:B238"/>
    <mergeCell ref="C237:C238"/>
    <mergeCell ref="D237:D238"/>
    <mergeCell ref="E237:E238"/>
    <mergeCell ref="AC237:AC238"/>
    <mergeCell ref="AD237:AD238"/>
    <mergeCell ref="AE237:AE238"/>
    <mergeCell ref="AF237:AF238"/>
    <mergeCell ref="G237:H237"/>
    <mergeCell ref="I237:J237"/>
    <mergeCell ref="K237:L237"/>
    <mergeCell ref="M237:N237"/>
    <mergeCell ref="O237:P237"/>
    <mergeCell ref="Q237:Q238"/>
    <mergeCell ref="AW237:AW238"/>
    <mergeCell ref="BB237:BB238"/>
    <mergeCell ref="G239:H239"/>
    <mergeCell ref="I239:J239"/>
    <mergeCell ref="K239:L239"/>
    <mergeCell ref="M239:N239"/>
    <mergeCell ref="O239:P239"/>
    <mergeCell ref="AJ239:AK239"/>
    <mergeCell ref="AP237:AP238"/>
    <mergeCell ref="AQ237:AQ238"/>
    <mergeCell ref="AR237:AR238"/>
    <mergeCell ref="AT237:AT238"/>
    <mergeCell ref="AU237:AU238"/>
    <mergeCell ref="AV237:AV238"/>
    <mergeCell ref="AG237:AG238"/>
    <mergeCell ref="AH237:AH238"/>
    <mergeCell ref="AI237:AI238"/>
    <mergeCell ref="AM237:AM238"/>
    <mergeCell ref="AN237:AN238"/>
    <mergeCell ref="AO237:AO238"/>
    <mergeCell ref="R237:R238"/>
    <mergeCell ref="AB237:AB238"/>
    <mergeCell ref="AZ237:AZ238"/>
    <mergeCell ref="BB242:BB243"/>
    <mergeCell ref="AI242:AI243"/>
    <mergeCell ref="AM242:AM243"/>
    <mergeCell ref="AN242:AN243"/>
    <mergeCell ref="AO242:AO243"/>
    <mergeCell ref="AP242:AP243"/>
    <mergeCell ref="AQ242:AQ243"/>
    <mergeCell ref="AR242:AR243"/>
    <mergeCell ref="AT242:AT243"/>
    <mergeCell ref="AU242:AU243"/>
    <mergeCell ref="A241:A243"/>
    <mergeCell ref="B241:R241"/>
    <mergeCell ref="T241:AH241"/>
    <mergeCell ref="AM241:AR241"/>
    <mergeCell ref="AT241:AW241"/>
    <mergeCell ref="B242:B243"/>
    <mergeCell ref="C242:C243"/>
    <mergeCell ref="D242:D243"/>
    <mergeCell ref="E242:E243"/>
    <mergeCell ref="G242:H242"/>
    <mergeCell ref="I242:J242"/>
    <mergeCell ref="K242:L242"/>
    <mergeCell ref="M242:N242"/>
    <mergeCell ref="O242:P242"/>
    <mergeCell ref="AZ242:AZ243"/>
    <mergeCell ref="AH242:AH243"/>
    <mergeCell ref="R242:R243"/>
    <mergeCell ref="AB242:AB243"/>
    <mergeCell ref="AC242:AC243"/>
    <mergeCell ref="AD242:AD243"/>
    <mergeCell ref="AE242:AE243"/>
    <mergeCell ref="BB249:BB250"/>
    <mergeCell ref="A248:A250"/>
    <mergeCell ref="B248:R248"/>
    <mergeCell ref="T248:AH248"/>
    <mergeCell ref="AM248:AR248"/>
    <mergeCell ref="AT248:AW248"/>
    <mergeCell ref="B249:B250"/>
    <mergeCell ref="C249:C250"/>
    <mergeCell ref="D249:D250"/>
    <mergeCell ref="E249:E250"/>
    <mergeCell ref="AC249:AC250"/>
    <mergeCell ref="AD249:AD250"/>
    <mergeCell ref="AE249:AE250"/>
    <mergeCell ref="AF249:AF250"/>
    <mergeCell ref="G249:H249"/>
    <mergeCell ref="I249:J249"/>
    <mergeCell ref="G251:H251"/>
    <mergeCell ref="I251:J251"/>
    <mergeCell ref="K251:L251"/>
    <mergeCell ref="M251:N251"/>
    <mergeCell ref="O251:P251"/>
    <mergeCell ref="AJ251:AK251"/>
    <mergeCell ref="AP249:AP250"/>
    <mergeCell ref="AQ249:AQ250"/>
    <mergeCell ref="AR249:AR250"/>
    <mergeCell ref="AT249:AT250"/>
    <mergeCell ref="AU249:AU250"/>
    <mergeCell ref="AV249:AV250"/>
    <mergeCell ref="AG249:AG250"/>
    <mergeCell ref="AH249:AH250"/>
    <mergeCell ref="AI249:AI250"/>
    <mergeCell ref="AM249:AM250"/>
    <mergeCell ref="A255:A257"/>
    <mergeCell ref="B255:R255"/>
    <mergeCell ref="T255:AH255"/>
    <mergeCell ref="AM255:AR255"/>
    <mergeCell ref="AT255:AW255"/>
    <mergeCell ref="B256:B257"/>
    <mergeCell ref="C256:C257"/>
    <mergeCell ref="D256:D257"/>
    <mergeCell ref="E256:E257"/>
    <mergeCell ref="AC256:AC257"/>
    <mergeCell ref="AD256:AD257"/>
    <mergeCell ref="AE256:AE257"/>
    <mergeCell ref="AF256:AF257"/>
    <mergeCell ref="G256:H256"/>
    <mergeCell ref="I256:J256"/>
    <mergeCell ref="K256:L256"/>
    <mergeCell ref="M256:N256"/>
    <mergeCell ref="O256:P256"/>
    <mergeCell ref="Q256:Q257"/>
    <mergeCell ref="AW256:AW257"/>
    <mergeCell ref="AY256:AY257"/>
    <mergeCell ref="AZ256:AZ257"/>
    <mergeCell ref="BB256:BB257"/>
    <mergeCell ref="G258:H258"/>
    <mergeCell ref="I258:J258"/>
    <mergeCell ref="K258:L258"/>
    <mergeCell ref="M258:N258"/>
    <mergeCell ref="O258:P258"/>
    <mergeCell ref="AJ258:AK258"/>
    <mergeCell ref="AP256:AP257"/>
    <mergeCell ref="AQ256:AQ257"/>
    <mergeCell ref="AR256:AR257"/>
    <mergeCell ref="AT256:AT257"/>
    <mergeCell ref="AU256:AU257"/>
    <mergeCell ref="AV256:AV257"/>
    <mergeCell ref="AG256:AG257"/>
    <mergeCell ref="AH256:AH257"/>
    <mergeCell ref="AI256:AI257"/>
    <mergeCell ref="AM256:AM257"/>
    <mergeCell ref="AN256:AN257"/>
    <mergeCell ref="AO256:AO257"/>
    <mergeCell ref="R256:R257"/>
    <mergeCell ref="AB256:AB257"/>
    <mergeCell ref="A262:A264"/>
    <mergeCell ref="B262:R262"/>
    <mergeCell ref="T262:AH262"/>
    <mergeCell ref="AM262:AR262"/>
    <mergeCell ref="AT262:AW262"/>
    <mergeCell ref="B263:B264"/>
    <mergeCell ref="C263:C264"/>
    <mergeCell ref="D263:D264"/>
    <mergeCell ref="E263:E264"/>
    <mergeCell ref="AC263:AC264"/>
    <mergeCell ref="AD263:AD264"/>
    <mergeCell ref="AE263:AE264"/>
    <mergeCell ref="AF263:AF264"/>
    <mergeCell ref="G263:H263"/>
    <mergeCell ref="I263:J263"/>
    <mergeCell ref="K263:L263"/>
    <mergeCell ref="M263:N263"/>
    <mergeCell ref="O263:P263"/>
    <mergeCell ref="Q263:Q264"/>
    <mergeCell ref="AW263:AW264"/>
    <mergeCell ref="AY263:AY264"/>
    <mergeCell ref="AZ263:AZ264"/>
    <mergeCell ref="BB263:BB264"/>
    <mergeCell ref="G265:H265"/>
    <mergeCell ref="I265:J265"/>
    <mergeCell ref="K265:L265"/>
    <mergeCell ref="M265:N265"/>
    <mergeCell ref="O265:P265"/>
    <mergeCell ref="AJ265:AK265"/>
    <mergeCell ref="AP263:AP264"/>
    <mergeCell ref="AQ263:AQ264"/>
    <mergeCell ref="AR263:AR264"/>
    <mergeCell ref="AT263:AT264"/>
    <mergeCell ref="AU263:AU264"/>
    <mergeCell ref="AV263:AV264"/>
    <mergeCell ref="AG263:AG264"/>
    <mergeCell ref="AH263:AH264"/>
    <mergeCell ref="AI263:AI264"/>
    <mergeCell ref="AM263:AM264"/>
    <mergeCell ref="AN263:AN264"/>
    <mergeCell ref="AO263:AO264"/>
    <mergeCell ref="R263:R264"/>
    <mergeCell ref="AB263:AB264"/>
    <mergeCell ref="A269:A271"/>
    <mergeCell ref="B269:R269"/>
    <mergeCell ref="T269:AH269"/>
    <mergeCell ref="AM269:AR269"/>
    <mergeCell ref="AT269:AW269"/>
    <mergeCell ref="B270:B271"/>
    <mergeCell ref="C270:C271"/>
    <mergeCell ref="D270:D271"/>
    <mergeCell ref="E270:E271"/>
    <mergeCell ref="AC270:AC271"/>
    <mergeCell ref="AD270:AD271"/>
    <mergeCell ref="AE270:AE271"/>
    <mergeCell ref="AF270:AF271"/>
    <mergeCell ref="G270:H270"/>
    <mergeCell ref="I270:J270"/>
    <mergeCell ref="K270:L270"/>
    <mergeCell ref="M270:N270"/>
    <mergeCell ref="O270:P270"/>
    <mergeCell ref="Q270:Q271"/>
    <mergeCell ref="AW270:AW271"/>
    <mergeCell ref="AY270:AY271"/>
    <mergeCell ref="AZ270:AZ271"/>
    <mergeCell ref="BB270:BB271"/>
    <mergeCell ref="G272:H272"/>
    <mergeCell ref="I272:J272"/>
    <mergeCell ref="K272:L272"/>
    <mergeCell ref="M272:N272"/>
    <mergeCell ref="O272:P272"/>
    <mergeCell ref="AJ272:AK272"/>
    <mergeCell ref="AP270:AP271"/>
    <mergeCell ref="AQ270:AQ271"/>
    <mergeCell ref="AR270:AR271"/>
    <mergeCell ref="AT270:AT271"/>
    <mergeCell ref="AU270:AU271"/>
    <mergeCell ref="AV270:AV271"/>
    <mergeCell ref="AG270:AG271"/>
    <mergeCell ref="AH270:AH271"/>
    <mergeCell ref="AI270:AI271"/>
    <mergeCell ref="AM270:AM271"/>
    <mergeCell ref="AN270:AN271"/>
    <mergeCell ref="AO270:AO271"/>
    <mergeCell ref="R270:R271"/>
    <mergeCell ref="AB270:AB271"/>
    <mergeCell ref="BB277:BB278"/>
    <mergeCell ref="G279:H279"/>
    <mergeCell ref="I279:J279"/>
    <mergeCell ref="K279:L279"/>
    <mergeCell ref="M279:N279"/>
    <mergeCell ref="O279:P279"/>
    <mergeCell ref="AJ279:AK279"/>
    <mergeCell ref="AP277:AP278"/>
    <mergeCell ref="AQ277:AQ278"/>
    <mergeCell ref="AR277:AR278"/>
    <mergeCell ref="AT277:AT278"/>
    <mergeCell ref="AU277:AU278"/>
    <mergeCell ref="AV277:AV278"/>
    <mergeCell ref="AG277:AG278"/>
    <mergeCell ref="AH277:AH278"/>
    <mergeCell ref="AI277:AI278"/>
    <mergeCell ref="AM277:AM278"/>
    <mergeCell ref="AN277:AN278"/>
    <mergeCell ref="AO277:AO278"/>
    <mergeCell ref="R277:R278"/>
    <mergeCell ref="AY277:AY278"/>
    <mergeCell ref="AZ277:AZ278"/>
    <mergeCell ref="C284:C285"/>
    <mergeCell ref="D284:D285"/>
    <mergeCell ref="E284:E285"/>
    <mergeCell ref="M284:N284"/>
    <mergeCell ref="O284:P284"/>
    <mergeCell ref="Q284:Q285"/>
    <mergeCell ref="G280:H280"/>
    <mergeCell ref="A276:A278"/>
    <mergeCell ref="B276:R276"/>
    <mergeCell ref="T276:AH276"/>
    <mergeCell ref="AM276:AR276"/>
    <mergeCell ref="AT276:AW276"/>
    <mergeCell ref="B277:B278"/>
    <mergeCell ref="C277:C278"/>
    <mergeCell ref="D277:D278"/>
    <mergeCell ref="E277:E278"/>
    <mergeCell ref="AW277:AW278"/>
    <mergeCell ref="R284:R285"/>
    <mergeCell ref="AC277:AC278"/>
    <mergeCell ref="AF277:AF278"/>
    <mergeCell ref="G277:H277"/>
    <mergeCell ref="I277:J277"/>
    <mergeCell ref="K277:L277"/>
    <mergeCell ref="M277:N277"/>
    <mergeCell ref="O277:P277"/>
    <mergeCell ref="Q277:Q278"/>
    <mergeCell ref="AD277:AD278"/>
    <mergeCell ref="AE277:AE278"/>
    <mergeCell ref="AB284:AB285"/>
    <mergeCell ref="AC284:AC285"/>
    <mergeCell ref="AM283:AR283"/>
    <mergeCell ref="AT283:AW283"/>
    <mergeCell ref="AY284:AY285"/>
    <mergeCell ref="AZ284:AZ285"/>
    <mergeCell ref="AT115:AW115"/>
    <mergeCell ref="B116:B117"/>
    <mergeCell ref="C116:C117"/>
    <mergeCell ref="D116:D117"/>
    <mergeCell ref="E116:E117"/>
    <mergeCell ref="G114:H114"/>
    <mergeCell ref="AW111:AW112"/>
    <mergeCell ref="AD111:AD112"/>
    <mergeCell ref="AE111:AE112"/>
    <mergeCell ref="B284:B285"/>
    <mergeCell ref="A283:A285"/>
    <mergeCell ref="B283:R283"/>
    <mergeCell ref="T283:AH283"/>
    <mergeCell ref="BB284:BB285"/>
    <mergeCell ref="G286:H286"/>
    <mergeCell ref="I286:J286"/>
    <mergeCell ref="K286:L286"/>
    <mergeCell ref="M286:N286"/>
    <mergeCell ref="O286:P286"/>
    <mergeCell ref="AJ286:AK286"/>
    <mergeCell ref="AP284:AP285"/>
    <mergeCell ref="AQ284:AQ285"/>
    <mergeCell ref="AR284:AR285"/>
    <mergeCell ref="AT284:AT285"/>
    <mergeCell ref="AU284:AU285"/>
    <mergeCell ref="AV284:AV285"/>
    <mergeCell ref="AG284:AG285"/>
    <mergeCell ref="AH284:AH285"/>
    <mergeCell ref="AI284:AI285"/>
    <mergeCell ref="AM284:AM285"/>
    <mergeCell ref="AN284:AN285"/>
    <mergeCell ref="AO284:AO285"/>
    <mergeCell ref="AM31:AM32"/>
    <mergeCell ref="AN31:AN32"/>
    <mergeCell ref="AO31:AO32"/>
    <mergeCell ref="R31:R32"/>
    <mergeCell ref="AB31:AB32"/>
    <mergeCell ref="AF31:AF32"/>
    <mergeCell ref="G31:H31"/>
    <mergeCell ref="AY31:AY32"/>
    <mergeCell ref="T134:AH134"/>
    <mergeCell ref="AM134:AR134"/>
    <mergeCell ref="G287:H287"/>
    <mergeCell ref="A30:A32"/>
    <mergeCell ref="B30:R30"/>
    <mergeCell ref="T30:AH30"/>
    <mergeCell ref="AM30:AR30"/>
    <mergeCell ref="AT30:AW30"/>
    <mergeCell ref="B31:B32"/>
    <mergeCell ref="C31:C32"/>
    <mergeCell ref="D31:D32"/>
    <mergeCell ref="E31:E32"/>
    <mergeCell ref="AW284:AW285"/>
    <mergeCell ref="AD284:AD285"/>
    <mergeCell ref="AE284:AE285"/>
    <mergeCell ref="AF284:AF285"/>
    <mergeCell ref="G284:H284"/>
    <mergeCell ref="I284:J284"/>
    <mergeCell ref="K284:L284"/>
    <mergeCell ref="G34:H34"/>
    <mergeCell ref="A115:A117"/>
    <mergeCell ref="B115:R115"/>
    <mergeCell ref="AZ116:AZ117"/>
    <mergeCell ref="AZ111:AZ112"/>
    <mergeCell ref="Q111:Q112"/>
    <mergeCell ref="A134:A136"/>
    <mergeCell ref="B134:R134"/>
    <mergeCell ref="G123:H123"/>
    <mergeCell ref="I123:J123"/>
    <mergeCell ref="K123:L123"/>
    <mergeCell ref="M123:N123"/>
    <mergeCell ref="O123:P123"/>
    <mergeCell ref="AJ123:AK123"/>
    <mergeCell ref="G124:H124"/>
    <mergeCell ref="A120:A122"/>
    <mergeCell ref="B120:R120"/>
    <mergeCell ref="T120:AH120"/>
    <mergeCell ref="AM120:AR120"/>
    <mergeCell ref="AT120:AW120"/>
    <mergeCell ref="B121:B122"/>
    <mergeCell ref="C121:C122"/>
    <mergeCell ref="D121:D122"/>
    <mergeCell ref="AT134:AW134"/>
    <mergeCell ref="B135:B136"/>
    <mergeCell ref="C135:C136"/>
    <mergeCell ref="D135:D136"/>
    <mergeCell ref="E135:E136"/>
    <mergeCell ref="AW135:AW136"/>
    <mergeCell ref="O130:P130"/>
    <mergeCell ref="AJ130:AK130"/>
    <mergeCell ref="M130:N130"/>
    <mergeCell ref="T127:AH127"/>
    <mergeCell ref="AP135:AP136"/>
    <mergeCell ref="AQ135:AQ136"/>
    <mergeCell ref="AZ31:AZ32"/>
    <mergeCell ref="BB31:BB32"/>
    <mergeCell ref="G33:H33"/>
    <mergeCell ref="I33:J33"/>
    <mergeCell ref="K33:L33"/>
    <mergeCell ref="M33:N33"/>
    <mergeCell ref="O33:P33"/>
    <mergeCell ref="AJ33:AK33"/>
    <mergeCell ref="AP31:AP32"/>
    <mergeCell ref="AQ31:AQ32"/>
    <mergeCell ref="AR31:AR32"/>
    <mergeCell ref="AT31:AT32"/>
    <mergeCell ref="AU31:AU32"/>
    <mergeCell ref="AV31:AV32"/>
    <mergeCell ref="AG31:AG32"/>
    <mergeCell ref="AH31:AH32"/>
    <mergeCell ref="AI31:AI32"/>
    <mergeCell ref="K31:L31"/>
    <mergeCell ref="M31:N31"/>
    <mergeCell ref="O31:P31"/>
    <mergeCell ref="Q31:Q32"/>
    <mergeCell ref="AW31:AW32"/>
    <mergeCell ref="AY128:AY129"/>
    <mergeCell ref="AZ128:AZ129"/>
    <mergeCell ref="BB128:BB129"/>
    <mergeCell ref="G130:H130"/>
    <mergeCell ref="I130:J130"/>
    <mergeCell ref="K130:L130"/>
    <mergeCell ref="A110:A112"/>
    <mergeCell ref="B110:R110"/>
    <mergeCell ref="AB116:AB117"/>
    <mergeCell ref="AC116:AC117"/>
    <mergeCell ref="AD116:AD117"/>
    <mergeCell ref="AE116:AE117"/>
    <mergeCell ref="AF116:AF117"/>
    <mergeCell ref="G116:H116"/>
    <mergeCell ref="I116:J116"/>
    <mergeCell ref="K116:L116"/>
    <mergeCell ref="M116:N116"/>
    <mergeCell ref="O116:P116"/>
    <mergeCell ref="Q116:Q117"/>
    <mergeCell ref="G119:H119"/>
    <mergeCell ref="AW116:AW117"/>
    <mergeCell ref="AY116:AY117"/>
    <mergeCell ref="AP128:AP129"/>
    <mergeCell ref="AQ128:AQ129"/>
    <mergeCell ref="AR128:AR129"/>
    <mergeCell ref="AT128:AT129"/>
    <mergeCell ref="AU128:AU129"/>
    <mergeCell ref="AV128:AV129"/>
    <mergeCell ref="T115:AH115"/>
    <mergeCell ref="AM115:AR115"/>
    <mergeCell ref="AG128:AG129"/>
    <mergeCell ref="A127:A129"/>
    <mergeCell ref="AM116:AM117"/>
    <mergeCell ref="AN116:AN117"/>
    <mergeCell ref="AO116:AO117"/>
    <mergeCell ref="R116:R117"/>
    <mergeCell ref="B167:B168"/>
    <mergeCell ref="C167:C168"/>
    <mergeCell ref="D167:D168"/>
    <mergeCell ref="E167:E168"/>
    <mergeCell ref="G167:H167"/>
    <mergeCell ref="I167:J167"/>
    <mergeCell ref="K167:L167"/>
    <mergeCell ref="M167:N167"/>
    <mergeCell ref="O167:P167"/>
    <mergeCell ref="Q167:Q168"/>
    <mergeCell ref="R167:R168"/>
    <mergeCell ref="AB167:AB168"/>
    <mergeCell ref="AC167:AC168"/>
    <mergeCell ref="AD167:AD168"/>
    <mergeCell ref="AG167:AG168"/>
    <mergeCell ref="AH167:AH168"/>
    <mergeCell ref="AI167:AI168"/>
    <mergeCell ref="AF167:AF168"/>
    <mergeCell ref="G131:H131"/>
    <mergeCell ref="B127:R127"/>
    <mergeCell ref="G137:H137"/>
    <mergeCell ref="I137:J137"/>
    <mergeCell ref="K137:L137"/>
    <mergeCell ref="M137:N137"/>
    <mergeCell ref="O137:P137"/>
    <mergeCell ref="AJ137:AK137"/>
    <mergeCell ref="G138:H138"/>
    <mergeCell ref="R135:R136"/>
    <mergeCell ref="A301:A303"/>
    <mergeCell ref="B301:R301"/>
    <mergeCell ref="T301:AH301"/>
    <mergeCell ref="AM301:AR301"/>
    <mergeCell ref="AT301:AW301"/>
    <mergeCell ref="B302:B303"/>
    <mergeCell ref="C302:C303"/>
    <mergeCell ref="D302:D303"/>
    <mergeCell ref="E302:E303"/>
    <mergeCell ref="G302:H302"/>
    <mergeCell ref="I302:J302"/>
    <mergeCell ref="K302:L302"/>
    <mergeCell ref="M302:N302"/>
    <mergeCell ref="O302:P302"/>
    <mergeCell ref="Q302:Q303"/>
    <mergeCell ref="R302:R303"/>
    <mergeCell ref="AB302:AB303"/>
    <mergeCell ref="AC302:AC303"/>
    <mergeCell ref="AD302:AD303"/>
    <mergeCell ref="AE302:AE303"/>
    <mergeCell ref="AF302:AF303"/>
    <mergeCell ref="AG302:AG303"/>
    <mergeCell ref="AH302:AH303"/>
    <mergeCell ref="AI302:AI303"/>
    <mergeCell ref="AM302:AM303"/>
    <mergeCell ref="AN302:AN303"/>
    <mergeCell ref="AO302:AO303"/>
    <mergeCell ref="AP302:AP303"/>
    <mergeCell ref="AQ302:AQ303"/>
    <mergeCell ref="AR302:AR303"/>
    <mergeCell ref="AT302:AT303"/>
    <mergeCell ref="AU302:AU303"/>
    <mergeCell ref="AQ314:AQ315"/>
    <mergeCell ref="AR314:AR315"/>
    <mergeCell ref="AT314:AT315"/>
    <mergeCell ref="AU314:AU315"/>
    <mergeCell ref="AV302:AV303"/>
    <mergeCell ref="AW302:AW303"/>
    <mergeCell ref="AY302:AY303"/>
    <mergeCell ref="AZ302:AZ303"/>
    <mergeCell ref="BB302:BB303"/>
    <mergeCell ref="G304:H304"/>
    <mergeCell ref="I304:J304"/>
    <mergeCell ref="K304:L304"/>
    <mergeCell ref="M304:N304"/>
    <mergeCell ref="O304:P304"/>
    <mergeCell ref="AJ304:AK304"/>
    <mergeCell ref="G305:H305"/>
    <mergeCell ref="G310:H310"/>
    <mergeCell ref="I310:J310"/>
    <mergeCell ref="K310:L310"/>
    <mergeCell ref="M310:N310"/>
    <mergeCell ref="O310:P310"/>
    <mergeCell ref="AJ310:AK310"/>
    <mergeCell ref="G311:H311"/>
    <mergeCell ref="AO314:AO315"/>
    <mergeCell ref="AP314:AP315"/>
    <mergeCell ref="G316:H316"/>
    <mergeCell ref="I316:J316"/>
    <mergeCell ref="K316:L316"/>
    <mergeCell ref="M316:N316"/>
    <mergeCell ref="O316:P316"/>
    <mergeCell ref="AJ316:AK316"/>
    <mergeCell ref="G317:H317"/>
    <mergeCell ref="A313:A315"/>
    <mergeCell ref="B313:R313"/>
    <mergeCell ref="T313:AH313"/>
    <mergeCell ref="AM313:AR313"/>
    <mergeCell ref="AT313:AW313"/>
    <mergeCell ref="B314:B315"/>
    <mergeCell ref="C314:C315"/>
    <mergeCell ref="D314:D315"/>
    <mergeCell ref="E314:E315"/>
    <mergeCell ref="G314:H314"/>
    <mergeCell ref="I314:J314"/>
    <mergeCell ref="K314:L314"/>
    <mergeCell ref="M314:N314"/>
    <mergeCell ref="O314:P314"/>
    <mergeCell ref="Q314:Q315"/>
    <mergeCell ref="R314:R315"/>
    <mergeCell ref="AB314:AB315"/>
    <mergeCell ref="AC314:AC315"/>
    <mergeCell ref="AD314:AD315"/>
    <mergeCell ref="AE314:AE315"/>
    <mergeCell ref="AF314:AF315"/>
    <mergeCell ref="AG314:AG315"/>
    <mergeCell ref="AH314:AH315"/>
    <mergeCell ref="AI314:AI315"/>
    <mergeCell ref="AM314:AM315"/>
    <mergeCell ref="A86:A88"/>
    <mergeCell ref="B86:R86"/>
    <mergeCell ref="T86:AH86"/>
    <mergeCell ref="AM86:AR86"/>
    <mergeCell ref="AT86:AW86"/>
    <mergeCell ref="B87:B88"/>
    <mergeCell ref="C87:C88"/>
    <mergeCell ref="D87:D88"/>
    <mergeCell ref="E87:E88"/>
    <mergeCell ref="G87:H87"/>
    <mergeCell ref="I87:J87"/>
    <mergeCell ref="K87:L87"/>
    <mergeCell ref="M87:N87"/>
    <mergeCell ref="O87:P87"/>
    <mergeCell ref="Q87:Q88"/>
    <mergeCell ref="R87:R88"/>
    <mergeCell ref="AB87:AB88"/>
    <mergeCell ref="AC87:AC88"/>
    <mergeCell ref="AD87:AD88"/>
    <mergeCell ref="AE87:AE88"/>
    <mergeCell ref="AF87:AF88"/>
    <mergeCell ref="AG87:AG88"/>
    <mergeCell ref="AH87:AH88"/>
    <mergeCell ref="AI87:AI88"/>
    <mergeCell ref="AM87:AM88"/>
    <mergeCell ref="AN87:AN88"/>
    <mergeCell ref="AO87:AO88"/>
    <mergeCell ref="AP87:AP88"/>
    <mergeCell ref="AQ87:AQ88"/>
    <mergeCell ref="AR87:AR88"/>
    <mergeCell ref="AT87:AT88"/>
    <mergeCell ref="AU87:AU88"/>
    <mergeCell ref="A93:A95"/>
    <mergeCell ref="B93:R93"/>
    <mergeCell ref="T93:AH93"/>
    <mergeCell ref="AM93:AR93"/>
    <mergeCell ref="AT93:AW93"/>
    <mergeCell ref="B94:B95"/>
    <mergeCell ref="C94:C95"/>
    <mergeCell ref="D94:D95"/>
    <mergeCell ref="E94:E95"/>
    <mergeCell ref="G94:H94"/>
    <mergeCell ref="I94:J94"/>
    <mergeCell ref="K94:L94"/>
    <mergeCell ref="M94:N94"/>
    <mergeCell ref="O94:P94"/>
    <mergeCell ref="Q94:Q95"/>
    <mergeCell ref="R94:R95"/>
    <mergeCell ref="AB94:AB95"/>
    <mergeCell ref="AC94:AC95"/>
    <mergeCell ref="AD94:AD95"/>
    <mergeCell ref="AE94:AE95"/>
    <mergeCell ref="AT94:AT95"/>
    <mergeCell ref="AU94:AU95"/>
    <mergeCell ref="AV94:AV95"/>
    <mergeCell ref="AW94:AW95"/>
    <mergeCell ref="AF94:AF95"/>
    <mergeCell ref="AG94:AG95"/>
    <mergeCell ref="AH94:AH95"/>
    <mergeCell ref="AI94:AI95"/>
    <mergeCell ref="AM94:AM95"/>
    <mergeCell ref="K169:L169"/>
    <mergeCell ref="M169:N169"/>
    <mergeCell ref="O169:P169"/>
    <mergeCell ref="AJ169:AK169"/>
    <mergeCell ref="G149:H149"/>
    <mergeCell ref="I149:J149"/>
    <mergeCell ref="K149:L149"/>
    <mergeCell ref="M149:N149"/>
    <mergeCell ref="O149:P149"/>
    <mergeCell ref="G150:H150"/>
    <mergeCell ref="G154:H154"/>
    <mergeCell ref="I154:J154"/>
    <mergeCell ref="AT166:AW166"/>
    <mergeCell ref="AM167:AM168"/>
    <mergeCell ref="AN167:AN168"/>
    <mergeCell ref="AO167:AO168"/>
    <mergeCell ref="AV167:AV168"/>
    <mergeCell ref="AW167:AW168"/>
    <mergeCell ref="AT162:AT163"/>
    <mergeCell ref="AT161:AW161"/>
    <mergeCell ref="AG157:AG158"/>
    <mergeCell ref="AH157:AH158"/>
    <mergeCell ref="AI157:AI158"/>
    <mergeCell ref="AM157:AM158"/>
    <mergeCell ref="I169:J169"/>
    <mergeCell ref="BB167:BB168"/>
    <mergeCell ref="BB162:BB163"/>
    <mergeCell ref="AZ152:AZ153"/>
    <mergeCell ref="BB152:BB153"/>
    <mergeCell ref="K154:L154"/>
    <mergeCell ref="M154:N154"/>
    <mergeCell ref="O154:P154"/>
    <mergeCell ref="AJ154:AK154"/>
    <mergeCell ref="AT152:AT153"/>
    <mergeCell ref="AR162:AR163"/>
    <mergeCell ref="AM166:AR166"/>
    <mergeCell ref="AF121:AF122"/>
    <mergeCell ref="AG121:AG122"/>
    <mergeCell ref="AH121:AH122"/>
    <mergeCell ref="AI121:AI122"/>
    <mergeCell ref="BB188:BB189"/>
    <mergeCell ref="AT188:AT189"/>
    <mergeCell ref="AU188:AU189"/>
    <mergeCell ref="AV121:AV122"/>
    <mergeCell ref="AW121:AW122"/>
    <mergeCell ref="AY121:AY122"/>
    <mergeCell ref="AZ121:AZ122"/>
    <mergeCell ref="BB121:BB122"/>
    <mergeCell ref="AP167:AP168"/>
    <mergeCell ref="AQ167:AQ168"/>
    <mergeCell ref="AR167:AR168"/>
    <mergeCell ref="AM121:AM122"/>
    <mergeCell ref="AN121:AN122"/>
    <mergeCell ref="AO121:AO122"/>
    <mergeCell ref="AP121:AP122"/>
    <mergeCell ref="AQ121:AQ122"/>
    <mergeCell ref="AR121:AR122"/>
    <mergeCell ref="AC188:AC189"/>
    <mergeCell ref="AD188:AD189"/>
    <mergeCell ref="AE188:AE189"/>
    <mergeCell ref="AF188:AF189"/>
    <mergeCell ref="AG188:AG189"/>
    <mergeCell ref="AH188:AH189"/>
    <mergeCell ref="AI188:AI189"/>
    <mergeCell ref="AM188:AM189"/>
    <mergeCell ref="AV188:AV189"/>
    <mergeCell ref="AW188:AW189"/>
    <mergeCell ref="AN188:AN189"/>
    <mergeCell ref="AO188:AO189"/>
    <mergeCell ref="AP188:AP189"/>
    <mergeCell ref="AQ188:AQ189"/>
    <mergeCell ref="AR188:AR189"/>
    <mergeCell ref="AY87:AY88"/>
    <mergeCell ref="AZ87:AZ88"/>
    <mergeCell ref="AY188:AY189"/>
    <mergeCell ref="AZ188:AZ189"/>
    <mergeCell ref="AY167:AY168"/>
    <mergeCell ref="AZ167:AZ168"/>
    <mergeCell ref="AT121:AT122"/>
    <mergeCell ref="AJ118:AK118"/>
    <mergeCell ref="AP116:AP117"/>
    <mergeCell ref="AQ116:AQ117"/>
    <mergeCell ref="AR116:AR117"/>
    <mergeCell ref="AT116:AT117"/>
    <mergeCell ref="AU116:AU117"/>
    <mergeCell ref="AV116:AV117"/>
    <mergeCell ref="AG116:AG117"/>
    <mergeCell ref="AH116:AH117"/>
    <mergeCell ref="AI116:AI117"/>
    <mergeCell ref="AV147:AV148"/>
    <mergeCell ref="AW147:AW148"/>
    <mergeCell ref="AZ157:AZ158"/>
    <mergeCell ref="AF200:AF201"/>
    <mergeCell ref="AG200:AG201"/>
    <mergeCell ref="AH200:AH201"/>
    <mergeCell ref="AI200:AI201"/>
    <mergeCell ref="AM200:AM201"/>
    <mergeCell ref="AN200:AN201"/>
    <mergeCell ref="AO200:AO201"/>
    <mergeCell ref="AP200:AP201"/>
    <mergeCell ref="AQ200:AQ201"/>
    <mergeCell ref="AR200:AR201"/>
    <mergeCell ref="AT200:AT201"/>
    <mergeCell ref="AU200:AU201"/>
    <mergeCell ref="A187:A189"/>
    <mergeCell ref="B187:R187"/>
    <mergeCell ref="T187:AH187"/>
    <mergeCell ref="AM187:AR187"/>
    <mergeCell ref="AT187:AW187"/>
    <mergeCell ref="B188:B189"/>
    <mergeCell ref="C188:C189"/>
    <mergeCell ref="D188:D189"/>
    <mergeCell ref="E188:E189"/>
    <mergeCell ref="G188:H188"/>
    <mergeCell ref="I188:J188"/>
    <mergeCell ref="K188:L188"/>
    <mergeCell ref="M188:N188"/>
    <mergeCell ref="O188:P188"/>
    <mergeCell ref="Q188:Q189"/>
    <mergeCell ref="R188:R189"/>
    <mergeCell ref="AB188:AB189"/>
    <mergeCell ref="AU121:AU122"/>
    <mergeCell ref="G191:H191"/>
    <mergeCell ref="G190:H190"/>
    <mergeCell ref="I190:J190"/>
    <mergeCell ref="K190:L190"/>
    <mergeCell ref="M190:N190"/>
    <mergeCell ref="O190:P190"/>
    <mergeCell ref="AJ190:AK190"/>
    <mergeCell ref="AV200:AV201"/>
    <mergeCell ref="AW200:AW201"/>
    <mergeCell ref="AY200:AY201"/>
    <mergeCell ref="AZ200:AZ201"/>
    <mergeCell ref="BB200:BB201"/>
    <mergeCell ref="G202:H202"/>
    <mergeCell ref="I202:J202"/>
    <mergeCell ref="K202:L202"/>
    <mergeCell ref="M202:N202"/>
    <mergeCell ref="O202:P202"/>
    <mergeCell ref="AJ202:AK202"/>
    <mergeCell ref="AT167:AT168"/>
    <mergeCell ref="AU167:AU168"/>
    <mergeCell ref="BB147:BB148"/>
    <mergeCell ref="AU162:AU163"/>
    <mergeCell ref="AV162:AV163"/>
    <mergeCell ref="AO162:AO163"/>
    <mergeCell ref="AP162:AP163"/>
    <mergeCell ref="AQ162:AQ163"/>
    <mergeCell ref="AY135:AY136"/>
    <mergeCell ref="AZ135:AZ136"/>
    <mergeCell ref="BB135:BB136"/>
    <mergeCell ref="AY147:AY148"/>
    <mergeCell ref="AZ147:AZ148"/>
    <mergeCell ref="G203:H203"/>
    <mergeCell ref="A199:A201"/>
    <mergeCell ref="B199:R199"/>
    <mergeCell ref="T199:AH199"/>
    <mergeCell ref="AM199:AR199"/>
    <mergeCell ref="AT199:AW199"/>
    <mergeCell ref="B200:B201"/>
    <mergeCell ref="C200:C201"/>
    <mergeCell ref="D200:D201"/>
    <mergeCell ref="E200:E201"/>
    <mergeCell ref="G200:H200"/>
    <mergeCell ref="I200:J200"/>
    <mergeCell ref="K200:L200"/>
    <mergeCell ref="M200:N200"/>
    <mergeCell ref="O200:P200"/>
    <mergeCell ref="Q200:Q201"/>
    <mergeCell ref="R200:R201"/>
    <mergeCell ref="AB200:AB201"/>
    <mergeCell ref="AC200:AC201"/>
    <mergeCell ref="AD200:AD201"/>
    <mergeCell ref="AE200:AE201"/>
  </mergeCells>
  <phoneticPr fontId="3" type="noConversion"/>
  <dataValidations disablePrompts="1" count="1">
    <dataValidation type="list" allowBlank="1" showInputMessage="1" showErrorMessage="1" sqref="C21 C58 C65 C210 C232 C286 C239 C272 C28 C279 C14 C251 C258 C265 C113 C130 C137 C33 C118 C244 C220 C215 C225 C292 C299 C149 C154 C164 C159 C169 C179 C174 C185 C304 C310 C322 C316 C82 C75 C96 C89 C103 C190 C38 C123 C196 C43 C48 C327 C202" xr:uid="{B522C9B1-22B6-41B5-B4A4-6A7E208A8ED5}">
      <formula1>카테고리</formula1>
    </dataValidation>
  </dataValidations>
  <pageMargins left="0.7" right="0.7" top="0.75" bottom="0.75" header="0.3" footer="0.3"/>
  <pageSetup paperSize="9" orientation="portrait" r:id="rId1"/>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13F384-22A3-45F2-AF1C-534825EC7DB5}">
  <dimension ref="A1:BB48"/>
  <sheetViews>
    <sheetView topLeftCell="A13" zoomScale="85" zoomScaleNormal="85" workbookViewId="0">
      <pane xSplit="1" topLeftCell="B1" activePane="topRight" state="frozen"/>
      <selection activeCell="E44" sqref="E44"/>
      <selection pane="topRight" activeCell="K37" sqref="K37"/>
    </sheetView>
  </sheetViews>
  <sheetFormatPr defaultColWidth="9" defaultRowHeight="16.5" x14ac:dyDescent="0.3"/>
  <cols>
    <col min="1" max="1" width="22.25" style="1" customWidth="1"/>
    <col min="2" max="2" width="7" style="1" bestFit="1" customWidth="1"/>
    <col min="3" max="3" width="8.25" style="1" bestFit="1" customWidth="1"/>
    <col min="4" max="4" width="11.25" style="1" bestFit="1" customWidth="1"/>
    <col min="5" max="5" width="10.625" style="1" customWidth="1"/>
    <col min="6" max="6" width="10" style="1" bestFit="1" customWidth="1"/>
    <col min="7" max="7" width="6.125" style="1" customWidth="1"/>
    <col min="8" max="8" width="10" style="1" bestFit="1" customWidth="1"/>
    <col min="9" max="9" width="7.25" style="1" bestFit="1" customWidth="1"/>
    <col min="10" max="10" width="8.625" style="1" customWidth="1"/>
    <col min="11" max="11" width="7.25" style="1" bestFit="1" customWidth="1"/>
    <col min="12" max="12" width="10" style="1" bestFit="1" customWidth="1"/>
    <col min="13" max="13" width="5.375" style="1" customWidth="1"/>
    <col min="14" max="14" width="8.625" style="1" customWidth="1"/>
    <col min="15" max="15" width="5.375" style="1" hidden="1" customWidth="1"/>
    <col min="16" max="16" width="8.625" style="1" hidden="1" customWidth="1"/>
    <col min="17" max="17" width="12.75" style="1" bestFit="1" customWidth="1"/>
    <col min="18" max="18" width="22.125" style="1" customWidth="1"/>
    <col min="19" max="19" width="2.625" style="1" customWidth="1"/>
    <col min="20" max="20" width="9.375" style="1" bestFit="1" customWidth="1"/>
    <col min="21" max="21" width="10.625" style="1" hidden="1" customWidth="1"/>
    <col min="22" max="22" width="11" style="1" customWidth="1"/>
    <col min="23" max="23" width="12.75" style="1" customWidth="1"/>
    <col min="24" max="24" width="10.625" style="1" customWidth="1"/>
    <col min="25" max="25" width="11.5" style="1" customWidth="1"/>
    <col min="26" max="26" width="12.75" style="1" customWidth="1"/>
    <col min="27" max="27" width="10.625" style="1" customWidth="1"/>
    <col min="28" max="28" width="5.375" style="1" customWidth="1"/>
    <col min="29" max="29" width="8.75" style="1" bestFit="1" customWidth="1"/>
    <col min="30" max="30" width="10.25" style="1" bestFit="1" customWidth="1"/>
    <col min="31" max="31" width="13.375" style="1" customWidth="1"/>
    <col min="32" max="32" width="8.625" style="1" bestFit="1" customWidth="1"/>
    <col min="33" max="33" width="9.625" style="1" customWidth="1"/>
    <col min="34" max="34" width="7.375" style="2" bestFit="1" customWidth="1"/>
    <col min="35" max="35" width="7.375" style="2" customWidth="1"/>
    <col min="36" max="37" width="6.875" style="2" bestFit="1" customWidth="1"/>
    <col min="38" max="38" width="1.875" style="1" customWidth="1"/>
    <col min="39" max="39" width="9.375" style="1" customWidth="1"/>
    <col min="40" max="40" width="7.75" style="1" customWidth="1"/>
    <col min="41" max="41" width="9.5" style="1" hidden="1" customWidth="1"/>
    <col min="42" max="42" width="6.125" style="1" hidden="1" customWidth="1"/>
    <col min="43" max="43" width="9.875" style="1" bestFit="1" customWidth="1"/>
    <col min="44" max="44" width="7.375" style="1" bestFit="1" customWidth="1"/>
    <col min="45" max="45" width="2.625" style="1" customWidth="1"/>
    <col min="46" max="46" width="16.625" style="1" customWidth="1"/>
    <col min="47" max="47" width="9" style="1"/>
    <col min="48" max="48" width="12" style="1" customWidth="1"/>
    <col min="49" max="49" width="13.375" style="1" customWidth="1"/>
    <col min="50" max="50" width="2.875" style="1" customWidth="1"/>
    <col min="51" max="51" width="38.25" style="1" customWidth="1"/>
    <col min="52" max="52" width="5.375" style="1" bestFit="1" customWidth="1"/>
    <col min="53" max="53" width="1.375" style="1" customWidth="1"/>
    <col min="54" max="54" width="39.125" style="1" customWidth="1"/>
    <col min="55" max="55" width="1.125" style="1" customWidth="1"/>
    <col min="56" max="16384" width="9" style="1"/>
  </cols>
  <sheetData>
    <row r="1" spans="1:54" ht="45.75" customHeight="1" x14ac:dyDescent="0.3">
      <c r="A1" s="145"/>
      <c r="B1" s="145"/>
      <c r="C1" s="145"/>
      <c r="D1" s="44"/>
      <c r="E1" s="44"/>
      <c r="F1" s="44"/>
      <c r="G1" s="44"/>
      <c r="H1" s="44"/>
      <c r="I1" s="44"/>
      <c r="J1" s="44"/>
      <c r="K1" s="44"/>
      <c r="L1" s="44"/>
      <c r="M1" s="44"/>
      <c r="N1" s="44"/>
      <c r="O1" s="44"/>
      <c r="P1" s="44"/>
      <c r="Q1" s="44"/>
      <c r="R1" s="44"/>
      <c r="T1" s="44"/>
      <c r="U1" s="44"/>
      <c r="V1" s="44"/>
      <c r="W1" s="44"/>
      <c r="X1" s="44"/>
      <c r="Y1" s="44"/>
      <c r="Z1" s="44"/>
      <c r="AA1" s="44"/>
      <c r="AB1" s="44"/>
    </row>
    <row r="2" spans="1:54" ht="45.75" customHeight="1" x14ac:dyDescent="0.3">
      <c r="A2" s="45"/>
      <c r="B2" s="45"/>
      <c r="C2" s="45"/>
      <c r="D2" s="44"/>
      <c r="E2" s="44"/>
      <c r="F2" s="44"/>
      <c r="G2" s="44"/>
      <c r="H2" s="44"/>
      <c r="I2" s="44"/>
      <c r="J2" s="44"/>
      <c r="K2" s="44"/>
      <c r="L2" s="44"/>
      <c r="M2" s="44"/>
      <c r="N2" s="44"/>
      <c r="O2" s="44"/>
      <c r="P2" s="44"/>
      <c r="Q2" s="44"/>
      <c r="R2" s="44"/>
      <c r="T2" s="44"/>
      <c r="U2" s="44"/>
      <c r="V2" s="44"/>
      <c r="W2" s="44"/>
      <c r="X2" s="45"/>
      <c r="Y2" s="44"/>
      <c r="Z2" s="44"/>
      <c r="AA2" s="44"/>
      <c r="AB2" s="44"/>
    </row>
    <row r="3" spans="1:54" s="45" customFormat="1" ht="319.5" customHeight="1" x14ac:dyDescent="0.3">
      <c r="A3" s="146" t="s">
        <v>67</v>
      </c>
      <c r="B3" s="146"/>
      <c r="C3" s="146"/>
      <c r="D3" s="146"/>
      <c r="E3" s="146"/>
      <c r="F3" s="146"/>
      <c r="H3" s="146"/>
      <c r="I3" s="146"/>
      <c r="J3" s="146"/>
      <c r="K3" s="146"/>
      <c r="L3" s="146"/>
      <c r="M3" s="146"/>
      <c r="N3" s="146"/>
      <c r="O3" s="146"/>
      <c r="P3" s="146"/>
      <c r="Q3" s="146"/>
      <c r="R3" s="146"/>
      <c r="U3" s="46"/>
    </row>
    <row r="4" spans="1:54" s="45" customFormat="1" ht="18" customHeight="1" x14ac:dyDescent="0.3">
      <c r="E4" s="147"/>
      <c r="F4" s="147"/>
      <c r="G4" s="147"/>
      <c r="H4" s="147"/>
      <c r="I4" s="147"/>
      <c r="J4" s="147"/>
      <c r="K4" s="147"/>
      <c r="L4" s="147"/>
      <c r="M4" s="147"/>
      <c r="N4" s="147"/>
      <c r="O4" s="147"/>
      <c r="P4" s="147"/>
      <c r="Q4" s="147"/>
      <c r="R4" s="147"/>
    </row>
    <row r="5" spans="1:54" x14ac:dyDescent="0.3">
      <c r="A5" s="43"/>
      <c r="B5" s="43"/>
      <c r="C5" s="43"/>
      <c r="D5" s="43"/>
    </row>
    <row r="6" spans="1:54" x14ac:dyDescent="0.3">
      <c r="S6" s="41"/>
      <c r="AG6" s="41"/>
      <c r="AH6" s="40"/>
      <c r="AI6" s="40"/>
      <c r="AJ6" s="40"/>
      <c r="AK6" s="40"/>
    </row>
    <row r="7" spans="1:54" x14ac:dyDescent="0.3">
      <c r="A7" s="43"/>
      <c r="B7" s="43"/>
      <c r="C7" s="43"/>
      <c r="D7" s="43"/>
      <c r="E7" s="5"/>
    </row>
    <row r="8" spans="1:54" x14ac:dyDescent="0.3">
      <c r="A8" s="43"/>
      <c r="B8" s="43"/>
      <c r="C8" s="43"/>
      <c r="D8" s="43"/>
      <c r="E8" s="5"/>
    </row>
    <row r="9" spans="1:54" s="59" customFormat="1" ht="19.5" x14ac:dyDescent="0.3">
      <c r="A9" s="58" t="s">
        <v>46</v>
      </c>
      <c r="AH9" s="60"/>
      <c r="AI9" s="60"/>
      <c r="AJ9" s="60"/>
      <c r="AK9" s="60"/>
    </row>
    <row r="12" spans="1:54" ht="27" customHeight="1" x14ac:dyDescent="0.3">
      <c r="A12" s="124" t="s">
        <v>34</v>
      </c>
      <c r="B12" s="139" t="s">
        <v>82</v>
      </c>
      <c r="C12" s="140"/>
      <c r="D12" s="140"/>
      <c r="E12" s="140"/>
      <c r="F12" s="140"/>
      <c r="G12" s="140"/>
      <c r="H12" s="140"/>
      <c r="I12" s="140"/>
      <c r="J12" s="140"/>
      <c r="K12" s="140"/>
      <c r="L12" s="140"/>
      <c r="M12" s="140"/>
      <c r="N12" s="140"/>
      <c r="O12" s="140"/>
      <c r="P12" s="140"/>
      <c r="Q12" s="140"/>
      <c r="R12" s="141"/>
      <c r="T12" s="130" t="s">
        <v>33</v>
      </c>
      <c r="U12" s="131"/>
      <c r="V12" s="131"/>
      <c r="W12" s="131"/>
      <c r="X12" s="131"/>
      <c r="Y12" s="131"/>
      <c r="Z12" s="131"/>
      <c r="AA12" s="131"/>
      <c r="AB12" s="131"/>
      <c r="AC12" s="131"/>
      <c r="AD12" s="131"/>
      <c r="AE12" s="131"/>
      <c r="AF12" s="131"/>
      <c r="AG12" s="131"/>
      <c r="AH12" s="132"/>
      <c r="AI12" s="37"/>
      <c r="AM12" s="130" t="s">
        <v>32</v>
      </c>
      <c r="AN12" s="131"/>
      <c r="AO12" s="131"/>
      <c r="AP12" s="131"/>
      <c r="AQ12" s="131"/>
      <c r="AR12" s="132"/>
      <c r="AT12" s="130" t="s">
        <v>31</v>
      </c>
      <c r="AU12" s="131"/>
      <c r="AV12" s="131"/>
      <c r="AW12" s="132"/>
      <c r="AY12" s="36" t="s">
        <v>36</v>
      </c>
      <c r="AZ12" s="48"/>
      <c r="BA12" s="52"/>
      <c r="BB12" s="36"/>
    </row>
    <row r="13" spans="1:54" ht="32.25" customHeight="1" x14ac:dyDescent="0.3">
      <c r="A13" s="125"/>
      <c r="B13" s="133" t="s">
        <v>30</v>
      </c>
      <c r="C13" s="133" t="s">
        <v>29</v>
      </c>
      <c r="D13" s="116" t="s">
        <v>28</v>
      </c>
      <c r="E13" s="116" t="s">
        <v>27</v>
      </c>
      <c r="F13" s="34" t="s">
        <v>26</v>
      </c>
      <c r="G13" s="122" t="s">
        <v>63</v>
      </c>
      <c r="H13" s="123"/>
      <c r="I13" s="122" t="s">
        <v>50</v>
      </c>
      <c r="J13" s="123"/>
      <c r="K13" s="122" t="s">
        <v>62</v>
      </c>
      <c r="L13" s="123"/>
      <c r="M13" s="122" t="s">
        <v>25</v>
      </c>
      <c r="N13" s="123"/>
      <c r="O13" s="122" t="s">
        <v>24</v>
      </c>
      <c r="P13" s="123"/>
      <c r="Q13" s="106" t="s">
        <v>23</v>
      </c>
      <c r="R13" s="106" t="s">
        <v>22</v>
      </c>
      <c r="S13" s="21"/>
      <c r="T13" s="34" t="s">
        <v>21</v>
      </c>
      <c r="U13" s="34" t="s">
        <v>20</v>
      </c>
      <c r="V13" s="34" t="s">
        <v>77</v>
      </c>
      <c r="W13" s="34" t="s">
        <v>19</v>
      </c>
      <c r="X13" s="34" t="s">
        <v>18</v>
      </c>
      <c r="Y13" s="34" t="s">
        <v>48</v>
      </c>
      <c r="Z13" s="34" t="s">
        <v>49</v>
      </c>
      <c r="AA13" s="34" t="s">
        <v>17</v>
      </c>
      <c r="AB13" s="106" t="s">
        <v>16</v>
      </c>
      <c r="AC13" s="106" t="s">
        <v>15</v>
      </c>
      <c r="AD13" s="106" t="s">
        <v>14</v>
      </c>
      <c r="AE13" s="106" t="s">
        <v>13</v>
      </c>
      <c r="AF13" s="106" t="s">
        <v>12</v>
      </c>
      <c r="AG13" s="116" t="s">
        <v>11</v>
      </c>
      <c r="AH13" s="118" t="s">
        <v>10</v>
      </c>
      <c r="AI13" s="120" t="s">
        <v>9</v>
      </c>
      <c r="AJ13" s="35">
        <f>(1-R15/F15)</f>
        <v>0.29923371647509578</v>
      </c>
      <c r="AK13" s="35">
        <f>1-(AD15+AM15)/F15</f>
        <v>0.27579872286079188</v>
      </c>
      <c r="AM13" s="106" t="s">
        <v>8</v>
      </c>
      <c r="AN13" s="106" t="s">
        <v>7</v>
      </c>
      <c r="AO13" s="106" t="s">
        <v>37</v>
      </c>
      <c r="AP13" s="106" t="s">
        <v>38</v>
      </c>
      <c r="AQ13" s="106" t="s">
        <v>6</v>
      </c>
      <c r="AR13" s="106" t="s">
        <v>5</v>
      </c>
      <c r="AT13" s="106" t="s">
        <v>4</v>
      </c>
      <c r="AU13" s="106" t="s">
        <v>3</v>
      </c>
      <c r="AV13" s="106" t="s">
        <v>2</v>
      </c>
      <c r="AW13" s="106" t="s">
        <v>1</v>
      </c>
      <c r="AY13" s="106"/>
      <c r="AZ13" s="108"/>
      <c r="BA13" s="52"/>
      <c r="BB13" s="106"/>
    </row>
    <row r="14" spans="1:54" ht="27" customHeight="1" x14ac:dyDescent="0.3">
      <c r="A14" s="126"/>
      <c r="B14" s="134"/>
      <c r="C14" s="134"/>
      <c r="D14" s="117"/>
      <c r="E14" s="117"/>
      <c r="F14" s="31">
        <v>0</v>
      </c>
      <c r="G14" s="33">
        <v>0.1</v>
      </c>
      <c r="H14" s="32">
        <v>1000000</v>
      </c>
      <c r="I14" s="31">
        <v>1</v>
      </c>
      <c r="J14" s="32">
        <v>26000</v>
      </c>
      <c r="K14" s="31">
        <v>1</v>
      </c>
      <c r="L14" s="32">
        <v>130000</v>
      </c>
      <c r="M14" s="31">
        <v>0</v>
      </c>
      <c r="N14" s="32">
        <v>70000</v>
      </c>
      <c r="O14" s="31">
        <v>0</v>
      </c>
      <c r="P14" s="32">
        <v>0</v>
      </c>
      <c r="Q14" s="107"/>
      <c r="R14" s="107"/>
      <c r="S14" s="21"/>
      <c r="T14" s="31">
        <f>IF(C15="노트북",7%,IF(C15="저장&amp;주변기기",9%,IF(C15="모니터",7%)))</f>
        <v>7.0000000000000007E-2</v>
      </c>
      <c r="U14" s="31">
        <v>0</v>
      </c>
      <c r="V14" s="31">
        <v>0.02</v>
      </c>
      <c r="W14" s="31">
        <f>IF(G14=0%,20%,0%)</f>
        <v>0</v>
      </c>
      <c r="X14" s="30">
        <v>0</v>
      </c>
      <c r="Y14" s="30">
        <v>1</v>
      </c>
      <c r="Z14" s="53">
        <v>0.92308000000000001</v>
      </c>
      <c r="AA14" s="29">
        <v>0.5</v>
      </c>
      <c r="AB14" s="107"/>
      <c r="AC14" s="107"/>
      <c r="AD14" s="107"/>
      <c r="AE14" s="107"/>
      <c r="AF14" s="107"/>
      <c r="AG14" s="117"/>
      <c r="AH14" s="119"/>
      <c r="AI14" s="121"/>
      <c r="AJ14" s="55" t="s">
        <v>52</v>
      </c>
      <c r="AK14" s="56">
        <f>AJ13-AK13</f>
        <v>2.3434993614303901E-2</v>
      </c>
      <c r="AM14" s="107"/>
      <c r="AN14" s="107"/>
      <c r="AO14" s="107"/>
      <c r="AP14" s="107"/>
      <c r="AQ14" s="107"/>
      <c r="AR14" s="107"/>
      <c r="AS14" s="39"/>
      <c r="AT14" s="107"/>
      <c r="AU14" s="107"/>
      <c r="AV14" s="107"/>
      <c r="AW14" s="107"/>
      <c r="AY14" s="107"/>
      <c r="AZ14" s="109"/>
      <c r="BA14" s="52"/>
      <c r="BB14" s="107"/>
    </row>
    <row r="15" spans="1:54" ht="27" customHeight="1" x14ac:dyDescent="0.3">
      <c r="A15" s="51" t="s">
        <v>76</v>
      </c>
      <c r="B15" s="38" t="s">
        <v>35</v>
      </c>
      <c r="C15" s="27" t="s">
        <v>0</v>
      </c>
      <c r="D15" s="26">
        <v>4608884708</v>
      </c>
      <c r="E15" s="25">
        <v>783000</v>
      </c>
      <c r="F15" s="24">
        <f>ROUNDDOWN(E15/(1-F14),-1)</f>
        <v>783000</v>
      </c>
      <c r="G15" s="110">
        <f>ROUNDDOWN(IF(F15*G14&gt;H14,H14,F15*G14),-1)</f>
        <v>78300</v>
      </c>
      <c r="H15" s="111"/>
      <c r="I15" s="112">
        <f>ROUNDDOWN(IF(F15*I14&gt;J14,J14,F15*I14),-1)</f>
        <v>26000</v>
      </c>
      <c r="J15" s="113"/>
      <c r="K15" s="112">
        <f>ROUNDDOWN(IF(F15*K14&gt;L14,L14,F15*K14),-1)</f>
        <v>130000</v>
      </c>
      <c r="L15" s="113"/>
      <c r="M15" s="110">
        <f>ROUNDDOWN(IF(Q15*M14&gt;N14,N14,Q15*M14),-1)</f>
        <v>0</v>
      </c>
      <c r="N15" s="111"/>
      <c r="O15" s="110">
        <f>ROUNDDOWN(IF(F15*O14&gt;P14,P14,F15*O14),-1)</f>
        <v>0</v>
      </c>
      <c r="P15" s="111"/>
      <c r="Q15" s="23">
        <f>F15-G15-I15-K15</f>
        <v>548700</v>
      </c>
      <c r="R15" s="22">
        <f>F15-G15-I15-K15-M15-O15</f>
        <v>548700</v>
      </c>
      <c r="S15" s="21"/>
      <c r="T15" s="20">
        <f>F15*T14</f>
        <v>54810.000000000007</v>
      </c>
      <c r="U15" s="20">
        <f>F15*U14</f>
        <v>0</v>
      </c>
      <c r="V15" s="20">
        <f>(F15-I15)*V14</f>
        <v>15140</v>
      </c>
      <c r="W15" s="19">
        <f>(F15*F14)*W14</f>
        <v>0</v>
      </c>
      <c r="X15" s="19">
        <f>G15*X14</f>
        <v>0</v>
      </c>
      <c r="Y15" s="19">
        <f>I15*Y14</f>
        <v>26000</v>
      </c>
      <c r="Z15" s="19">
        <f>K15*Z14</f>
        <v>120000.40000000001</v>
      </c>
      <c r="AA15" s="19">
        <f>M15*AA14</f>
        <v>0</v>
      </c>
      <c r="AB15" s="19">
        <v>0</v>
      </c>
      <c r="AC15" s="16">
        <v>6000</v>
      </c>
      <c r="AD15" s="18">
        <f>F15-T15-U15-V15-W15-AA15-X15-Y15-Z15-AB15</f>
        <v>567049.6</v>
      </c>
      <c r="AE15" s="18">
        <f>F15-T15-U15-V15-W15-X15-Y15-Z15-AA15-AB15-AC15</f>
        <v>561049.59999999998</v>
      </c>
      <c r="AF15" s="17">
        <f>AE15-AG15</f>
        <v>10049.599999999977</v>
      </c>
      <c r="AG15" s="16">
        <v>551000</v>
      </c>
      <c r="AH15" s="15">
        <f>AF15/AG15</f>
        <v>1.823883847549905E-2</v>
      </c>
      <c r="AI15" s="14">
        <f>1-R15/(AG15-AM15-AN15-AO15)</f>
        <v>4.1742286751361712E-3</v>
      </c>
      <c r="AJ15" s="114">
        <f>(1-R15/F15)-(1-(AD15)/F15)</f>
        <v>2.3434993614303901E-2</v>
      </c>
      <c r="AK15" s="115"/>
      <c r="AM15" s="13"/>
      <c r="AN15" s="12"/>
      <c r="AO15" s="12"/>
      <c r="AP15" s="12"/>
      <c r="AQ15" s="11">
        <f>AE15-(AG15-AM15-AN15-AO15-AP15)</f>
        <v>10049.599999999977</v>
      </c>
      <c r="AR15" s="8">
        <f>AQ15/AG15</f>
        <v>1.823883847549905E-2</v>
      </c>
      <c r="AT15" s="10">
        <v>0</v>
      </c>
      <c r="AU15" s="10">
        <v>0</v>
      </c>
      <c r="AV15" s="9">
        <f>AQ15-AT15-AU15</f>
        <v>10049.599999999977</v>
      </c>
      <c r="AW15" s="8">
        <f>AV15/AG15</f>
        <v>1.823883847549905E-2</v>
      </c>
      <c r="AY15" s="7"/>
      <c r="AZ15" s="50"/>
      <c r="BA15" s="52"/>
      <c r="BB15" s="7"/>
    </row>
    <row r="16" spans="1:54" ht="16.5" customHeight="1" x14ac:dyDescent="0.3">
      <c r="C16" s="57"/>
      <c r="D16" s="57"/>
      <c r="E16" s="5">
        <v>699000</v>
      </c>
      <c r="F16" s="4">
        <f>ROUNDDOWN(E16/(1-F14),-1)</f>
        <v>699000</v>
      </c>
      <c r="G16" s="105">
        <f>ROUNDDOWN(IF(F16*G14&gt;H14,H14,F16*G14),-1)</f>
        <v>69900</v>
      </c>
      <c r="H16" s="105"/>
      <c r="J16" s="54">
        <f>F15*4%</f>
        <v>31320</v>
      </c>
      <c r="R16" s="4">
        <v>629000</v>
      </c>
      <c r="X16" s="3">
        <f>G16*X14</f>
        <v>0</v>
      </c>
      <c r="Y16" s="3"/>
      <c r="Z16" s="3"/>
      <c r="AD16" s="4">
        <v>582590</v>
      </c>
      <c r="AG16" s="4"/>
    </row>
    <row r="17" spans="1:54" ht="27" customHeight="1" x14ac:dyDescent="0.3">
      <c r="A17" s="124" t="s">
        <v>34</v>
      </c>
      <c r="B17" s="139" t="s">
        <v>83</v>
      </c>
      <c r="C17" s="140"/>
      <c r="D17" s="140"/>
      <c r="E17" s="140"/>
      <c r="F17" s="140"/>
      <c r="G17" s="140"/>
      <c r="H17" s="140"/>
      <c r="I17" s="140"/>
      <c r="J17" s="140"/>
      <c r="K17" s="140"/>
      <c r="L17" s="140"/>
      <c r="M17" s="140"/>
      <c r="N17" s="140"/>
      <c r="O17" s="140"/>
      <c r="P17" s="140"/>
      <c r="Q17" s="140"/>
      <c r="R17" s="141"/>
      <c r="T17" s="130" t="s">
        <v>33</v>
      </c>
      <c r="U17" s="131"/>
      <c r="V17" s="131"/>
      <c r="W17" s="131"/>
      <c r="X17" s="131"/>
      <c r="Y17" s="131"/>
      <c r="Z17" s="131"/>
      <c r="AA17" s="131"/>
      <c r="AB17" s="131"/>
      <c r="AC17" s="131"/>
      <c r="AD17" s="131"/>
      <c r="AE17" s="131"/>
      <c r="AF17" s="131"/>
      <c r="AG17" s="131"/>
      <c r="AH17" s="132"/>
      <c r="AI17" s="37"/>
      <c r="AM17" s="130" t="s">
        <v>32</v>
      </c>
      <c r="AN17" s="131"/>
      <c r="AO17" s="131"/>
      <c r="AP17" s="131"/>
      <c r="AQ17" s="131"/>
      <c r="AR17" s="132"/>
      <c r="AT17" s="130" t="s">
        <v>31</v>
      </c>
      <c r="AU17" s="131"/>
      <c r="AV17" s="131"/>
      <c r="AW17" s="132"/>
      <c r="AY17" s="36" t="s">
        <v>36</v>
      </c>
      <c r="AZ17" s="48"/>
      <c r="BA17" s="52"/>
      <c r="BB17" s="36"/>
    </row>
    <row r="18" spans="1:54" ht="32.25" customHeight="1" x14ac:dyDescent="0.3">
      <c r="A18" s="125"/>
      <c r="B18" s="133" t="s">
        <v>30</v>
      </c>
      <c r="C18" s="133" t="s">
        <v>29</v>
      </c>
      <c r="D18" s="116" t="s">
        <v>28</v>
      </c>
      <c r="E18" s="116" t="s">
        <v>27</v>
      </c>
      <c r="F18" s="34" t="s">
        <v>26</v>
      </c>
      <c r="G18" s="122" t="s">
        <v>63</v>
      </c>
      <c r="H18" s="123"/>
      <c r="I18" s="122" t="s">
        <v>50</v>
      </c>
      <c r="J18" s="123"/>
      <c r="K18" s="122" t="s">
        <v>62</v>
      </c>
      <c r="L18" s="123"/>
      <c r="M18" s="122" t="s">
        <v>25</v>
      </c>
      <c r="N18" s="123"/>
      <c r="O18" s="122" t="s">
        <v>24</v>
      </c>
      <c r="P18" s="123"/>
      <c r="Q18" s="106" t="s">
        <v>23</v>
      </c>
      <c r="R18" s="106" t="s">
        <v>22</v>
      </c>
      <c r="S18" s="21"/>
      <c r="T18" s="34" t="s">
        <v>21</v>
      </c>
      <c r="U18" s="34" t="s">
        <v>20</v>
      </c>
      <c r="V18" s="34" t="s">
        <v>77</v>
      </c>
      <c r="W18" s="34" t="s">
        <v>19</v>
      </c>
      <c r="X18" s="34" t="s">
        <v>18</v>
      </c>
      <c r="Y18" s="34" t="s">
        <v>48</v>
      </c>
      <c r="Z18" s="34" t="s">
        <v>49</v>
      </c>
      <c r="AA18" s="34" t="s">
        <v>17</v>
      </c>
      <c r="AB18" s="106" t="s">
        <v>16</v>
      </c>
      <c r="AC18" s="106" t="s">
        <v>15</v>
      </c>
      <c r="AD18" s="106" t="s">
        <v>14</v>
      </c>
      <c r="AE18" s="106" t="s">
        <v>13</v>
      </c>
      <c r="AF18" s="106" t="s">
        <v>12</v>
      </c>
      <c r="AG18" s="116" t="s">
        <v>11</v>
      </c>
      <c r="AH18" s="118" t="s">
        <v>10</v>
      </c>
      <c r="AI18" s="120" t="s">
        <v>9</v>
      </c>
      <c r="AJ18" s="35">
        <f>(1-R20/F20)</f>
        <v>0.27241379310344827</v>
      </c>
      <c r="AK18" s="35">
        <f>1-(AD20+AM20)/F20</f>
        <v>0.24915172413793107</v>
      </c>
      <c r="AM18" s="106" t="s">
        <v>8</v>
      </c>
      <c r="AN18" s="106" t="s">
        <v>7</v>
      </c>
      <c r="AO18" s="106" t="s">
        <v>37</v>
      </c>
      <c r="AP18" s="106" t="s">
        <v>38</v>
      </c>
      <c r="AQ18" s="106" t="s">
        <v>6</v>
      </c>
      <c r="AR18" s="106" t="s">
        <v>5</v>
      </c>
      <c r="AT18" s="106" t="s">
        <v>4</v>
      </c>
      <c r="AU18" s="106" t="s">
        <v>3</v>
      </c>
      <c r="AV18" s="106" t="s">
        <v>2</v>
      </c>
      <c r="AW18" s="106" t="s">
        <v>1</v>
      </c>
      <c r="AY18" s="106"/>
      <c r="AZ18" s="108"/>
      <c r="BA18" s="52"/>
      <c r="BB18" s="106"/>
    </row>
    <row r="19" spans="1:54" ht="27" customHeight="1" x14ac:dyDescent="0.3">
      <c r="A19" s="126"/>
      <c r="B19" s="134"/>
      <c r="C19" s="134"/>
      <c r="D19" s="117"/>
      <c r="E19" s="117"/>
      <c r="F19" s="31">
        <v>0</v>
      </c>
      <c r="G19" s="33">
        <v>0.1</v>
      </c>
      <c r="H19" s="32">
        <v>1000000</v>
      </c>
      <c r="I19" s="31">
        <v>1</v>
      </c>
      <c r="J19" s="32">
        <v>0</v>
      </c>
      <c r="K19" s="31">
        <v>1</v>
      </c>
      <c r="L19" s="32">
        <v>130000</v>
      </c>
      <c r="M19" s="31">
        <v>0</v>
      </c>
      <c r="N19" s="32">
        <v>70000</v>
      </c>
      <c r="O19" s="31">
        <v>0</v>
      </c>
      <c r="P19" s="32">
        <v>0</v>
      </c>
      <c r="Q19" s="107"/>
      <c r="R19" s="107"/>
      <c r="S19" s="21"/>
      <c r="T19" s="31">
        <f>IF(C20="노트북",7%,IF(C20="저장&amp;주변기기",9%,IF(C20="모니터",7%)))</f>
        <v>7.0000000000000007E-2</v>
      </c>
      <c r="U19" s="31">
        <v>0</v>
      </c>
      <c r="V19" s="31">
        <v>0.02</v>
      </c>
      <c r="W19" s="31">
        <f>IF(G19=0%,20%,0%)</f>
        <v>0</v>
      </c>
      <c r="X19" s="30">
        <v>0</v>
      </c>
      <c r="Y19" s="30">
        <v>1</v>
      </c>
      <c r="Z19" s="53">
        <v>0.92308000000000001</v>
      </c>
      <c r="AA19" s="29">
        <v>0.5</v>
      </c>
      <c r="AB19" s="107"/>
      <c r="AC19" s="107"/>
      <c r="AD19" s="107"/>
      <c r="AE19" s="107"/>
      <c r="AF19" s="107"/>
      <c r="AG19" s="117"/>
      <c r="AH19" s="119"/>
      <c r="AI19" s="121"/>
      <c r="AJ19" s="55" t="s">
        <v>52</v>
      </c>
      <c r="AK19" s="56">
        <f>AJ18-AK18</f>
        <v>2.3262068965517191E-2</v>
      </c>
      <c r="AM19" s="107"/>
      <c r="AN19" s="107"/>
      <c r="AO19" s="107"/>
      <c r="AP19" s="107"/>
      <c r="AQ19" s="107"/>
      <c r="AR19" s="107"/>
      <c r="AS19" s="39"/>
      <c r="AT19" s="107"/>
      <c r="AU19" s="107"/>
      <c r="AV19" s="107"/>
      <c r="AW19" s="107"/>
      <c r="AY19" s="107"/>
      <c r="AZ19" s="109"/>
      <c r="BA19" s="52"/>
      <c r="BB19" s="107"/>
    </row>
    <row r="20" spans="1:54" ht="27" customHeight="1" x14ac:dyDescent="0.3">
      <c r="A20" s="51" t="s">
        <v>76</v>
      </c>
      <c r="B20" s="38" t="s">
        <v>35</v>
      </c>
      <c r="C20" s="27" t="s">
        <v>0</v>
      </c>
      <c r="D20" s="26">
        <v>4608884708</v>
      </c>
      <c r="E20" s="25">
        <v>754000</v>
      </c>
      <c r="F20" s="24">
        <f>ROUNDDOWN(E20/(1-F19),-1)</f>
        <v>754000</v>
      </c>
      <c r="G20" s="110">
        <f>ROUNDDOWN(IF(F20*G19&gt;H19,H19,F20*G19),-1)</f>
        <v>75400</v>
      </c>
      <c r="H20" s="111"/>
      <c r="I20" s="112">
        <f>ROUNDDOWN(IF(F20*I19&gt;J19,J19,F20*I19),-1)</f>
        <v>0</v>
      </c>
      <c r="J20" s="113"/>
      <c r="K20" s="112">
        <f>ROUNDDOWN(IF(F20*K19&gt;L19,L19,F20*K19),-1)</f>
        <v>130000</v>
      </c>
      <c r="L20" s="113"/>
      <c r="M20" s="110">
        <f>ROUNDDOWN(IF(Q20*M19&gt;N19,N19,Q20*M19),-1)</f>
        <v>0</v>
      </c>
      <c r="N20" s="111"/>
      <c r="O20" s="110">
        <f>ROUNDDOWN(IF(F20*O19&gt;P19,P19,F20*O19),-1)</f>
        <v>0</v>
      </c>
      <c r="P20" s="111"/>
      <c r="Q20" s="23">
        <f>F20-G20-I20-K20</f>
        <v>548600</v>
      </c>
      <c r="R20" s="22">
        <f>F20-G20-I20-K20-M20-O20</f>
        <v>548600</v>
      </c>
      <c r="S20" s="21"/>
      <c r="T20" s="20">
        <f>F20*T19</f>
        <v>52780.000000000007</v>
      </c>
      <c r="U20" s="20">
        <f>F20*U19</f>
        <v>0</v>
      </c>
      <c r="V20" s="20">
        <f>(F20-I20)*V19</f>
        <v>15080</v>
      </c>
      <c r="W20" s="19">
        <f>(F20*F19)*W19</f>
        <v>0</v>
      </c>
      <c r="X20" s="19">
        <f>G20*X19</f>
        <v>0</v>
      </c>
      <c r="Y20" s="19">
        <f>I20*Y19</f>
        <v>0</v>
      </c>
      <c r="Z20" s="19">
        <f>K20*Z19</f>
        <v>120000.40000000001</v>
      </c>
      <c r="AA20" s="19">
        <f>M20*AA19</f>
        <v>0</v>
      </c>
      <c r="AB20" s="19">
        <v>0</v>
      </c>
      <c r="AC20" s="16">
        <v>6000</v>
      </c>
      <c r="AD20" s="18">
        <f>F20-T20-U20-V20-W20-AA20-X20-Y20-Z20-AB20</f>
        <v>566139.6</v>
      </c>
      <c r="AE20" s="18">
        <f>F20-T20-U20-V20-W20-X20-Y20-Z20-AA20-AB20-AC20</f>
        <v>560139.6</v>
      </c>
      <c r="AF20" s="17">
        <f>AE20-AG20</f>
        <v>9139.5999999999767</v>
      </c>
      <c r="AG20" s="16">
        <v>551000</v>
      </c>
      <c r="AH20" s="15">
        <f>AF20/AG20</f>
        <v>1.6587295825771283E-2</v>
      </c>
      <c r="AI20" s="14">
        <f>1-R20/(AG20-AM20-AN20-AO20)</f>
        <v>4.3557168784028599E-3</v>
      </c>
      <c r="AJ20" s="114">
        <f>(1-R20/F20)-(1-(AD20)/F20)</f>
        <v>2.3262068965517191E-2</v>
      </c>
      <c r="AK20" s="115"/>
      <c r="AM20" s="13"/>
      <c r="AN20" s="12"/>
      <c r="AO20" s="12"/>
      <c r="AP20" s="12"/>
      <c r="AQ20" s="11">
        <f>AE20-(AG20-AM20-AN20-AO20-AP20)</f>
        <v>9139.5999999999767</v>
      </c>
      <c r="AR20" s="8">
        <f>AQ20/AG20</f>
        <v>1.6587295825771283E-2</v>
      </c>
      <c r="AT20" s="10">
        <v>0</v>
      </c>
      <c r="AU20" s="10">
        <v>0</v>
      </c>
      <c r="AV20" s="9">
        <f>AQ20-AT20-AU20</f>
        <v>9139.5999999999767</v>
      </c>
      <c r="AW20" s="8">
        <f>AV20/AG20</f>
        <v>1.6587295825771283E-2</v>
      </c>
      <c r="AY20" s="7"/>
      <c r="AZ20" s="50"/>
      <c r="BA20" s="52"/>
      <c r="BB20" s="7"/>
    </row>
    <row r="21" spans="1:54" ht="16.5" customHeight="1" x14ac:dyDescent="0.3">
      <c r="C21" s="57"/>
      <c r="D21" s="57"/>
      <c r="E21" s="5">
        <v>699000</v>
      </c>
      <c r="F21" s="4">
        <f>ROUNDDOWN(E21/(1-F19),-1)</f>
        <v>699000</v>
      </c>
      <c r="G21" s="105">
        <f>ROUNDDOWN(IF(F21*G19&gt;H19,H19,F21*G19),-1)</f>
        <v>69900</v>
      </c>
      <c r="H21" s="105"/>
      <c r="J21" s="54">
        <f>F20*4%</f>
        <v>30160</v>
      </c>
      <c r="R21" s="4">
        <v>629000</v>
      </c>
      <c r="X21" s="3">
        <f>G21*X19</f>
        <v>0</v>
      </c>
      <c r="Y21" s="3"/>
      <c r="Z21" s="3"/>
      <c r="AG21" s="4"/>
    </row>
    <row r="22" spans="1:54" ht="27" customHeight="1" x14ac:dyDescent="0.3">
      <c r="A22" s="124" t="s">
        <v>34</v>
      </c>
      <c r="B22" s="139" t="s">
        <v>83</v>
      </c>
      <c r="C22" s="140"/>
      <c r="D22" s="140"/>
      <c r="E22" s="140"/>
      <c r="F22" s="140"/>
      <c r="G22" s="140"/>
      <c r="H22" s="140"/>
      <c r="I22" s="140"/>
      <c r="J22" s="140"/>
      <c r="K22" s="140"/>
      <c r="L22" s="140"/>
      <c r="M22" s="140"/>
      <c r="N22" s="140"/>
      <c r="O22" s="140"/>
      <c r="P22" s="140"/>
      <c r="Q22" s="140"/>
      <c r="R22" s="141"/>
      <c r="T22" s="130" t="s">
        <v>33</v>
      </c>
      <c r="U22" s="131"/>
      <c r="V22" s="131"/>
      <c r="W22" s="131"/>
      <c r="X22" s="131"/>
      <c r="Y22" s="131"/>
      <c r="Z22" s="131"/>
      <c r="AA22" s="131"/>
      <c r="AB22" s="131"/>
      <c r="AC22" s="131"/>
      <c r="AD22" s="131"/>
      <c r="AE22" s="131"/>
      <c r="AF22" s="131"/>
      <c r="AG22" s="131"/>
      <c r="AH22" s="132"/>
      <c r="AI22" s="37"/>
      <c r="AM22" s="130" t="s">
        <v>32</v>
      </c>
      <c r="AN22" s="131"/>
      <c r="AO22" s="131"/>
      <c r="AP22" s="131"/>
      <c r="AQ22" s="131"/>
      <c r="AR22" s="132"/>
      <c r="AT22" s="130" t="s">
        <v>31</v>
      </c>
      <c r="AU22" s="131"/>
      <c r="AV22" s="131"/>
      <c r="AW22" s="132"/>
      <c r="AY22" s="36" t="s">
        <v>36</v>
      </c>
      <c r="AZ22" s="48"/>
      <c r="BA22" s="52"/>
      <c r="BB22" s="36"/>
    </row>
    <row r="23" spans="1:54" ht="32.25" customHeight="1" x14ac:dyDescent="0.3">
      <c r="A23" s="125"/>
      <c r="B23" s="133" t="s">
        <v>30</v>
      </c>
      <c r="C23" s="133" t="s">
        <v>29</v>
      </c>
      <c r="D23" s="116" t="s">
        <v>28</v>
      </c>
      <c r="E23" s="116" t="s">
        <v>27</v>
      </c>
      <c r="F23" s="34" t="s">
        <v>26</v>
      </c>
      <c r="G23" s="122" t="s">
        <v>63</v>
      </c>
      <c r="H23" s="123"/>
      <c r="I23" s="122" t="s">
        <v>50</v>
      </c>
      <c r="J23" s="123"/>
      <c r="K23" s="122" t="s">
        <v>62</v>
      </c>
      <c r="L23" s="123"/>
      <c r="M23" s="122" t="s">
        <v>25</v>
      </c>
      <c r="N23" s="123"/>
      <c r="O23" s="122" t="s">
        <v>24</v>
      </c>
      <c r="P23" s="123"/>
      <c r="Q23" s="106" t="s">
        <v>23</v>
      </c>
      <c r="R23" s="106" t="s">
        <v>22</v>
      </c>
      <c r="S23" s="21"/>
      <c r="T23" s="34" t="s">
        <v>21</v>
      </c>
      <c r="U23" s="34" t="s">
        <v>20</v>
      </c>
      <c r="V23" s="34" t="s">
        <v>77</v>
      </c>
      <c r="W23" s="34" t="s">
        <v>19</v>
      </c>
      <c r="X23" s="34" t="s">
        <v>18</v>
      </c>
      <c r="Y23" s="34" t="s">
        <v>48</v>
      </c>
      <c r="Z23" s="34" t="s">
        <v>49</v>
      </c>
      <c r="AA23" s="34" t="s">
        <v>17</v>
      </c>
      <c r="AB23" s="106" t="s">
        <v>16</v>
      </c>
      <c r="AC23" s="106" t="s">
        <v>15</v>
      </c>
      <c r="AD23" s="106" t="s">
        <v>14</v>
      </c>
      <c r="AE23" s="106" t="s">
        <v>13</v>
      </c>
      <c r="AF23" s="106" t="s">
        <v>12</v>
      </c>
      <c r="AG23" s="116" t="s">
        <v>11</v>
      </c>
      <c r="AH23" s="118" t="s">
        <v>10</v>
      </c>
      <c r="AI23" s="120" t="s">
        <v>9</v>
      </c>
      <c r="AJ23" s="35">
        <f>(1-R25/F25)</f>
        <v>0.28987341772151898</v>
      </c>
      <c r="AK23" s="35">
        <f>1-(AD25+AM25)/F25</f>
        <v>0.16544354430379749</v>
      </c>
      <c r="AM23" s="106" t="s">
        <v>8</v>
      </c>
      <c r="AN23" s="106" t="s">
        <v>7</v>
      </c>
      <c r="AO23" s="106" t="s">
        <v>37</v>
      </c>
      <c r="AP23" s="106" t="s">
        <v>38</v>
      </c>
      <c r="AQ23" s="106" t="s">
        <v>6</v>
      </c>
      <c r="AR23" s="106" t="s">
        <v>5</v>
      </c>
      <c r="AT23" s="106" t="s">
        <v>4</v>
      </c>
      <c r="AU23" s="106" t="s">
        <v>3</v>
      </c>
      <c r="AV23" s="106" t="s">
        <v>2</v>
      </c>
      <c r="AW23" s="106" t="s">
        <v>1</v>
      </c>
      <c r="AY23" s="106"/>
      <c r="AZ23" s="108"/>
      <c r="BA23" s="52"/>
      <c r="BB23" s="106"/>
    </row>
    <row r="24" spans="1:54" ht="27" customHeight="1" x14ac:dyDescent="0.3">
      <c r="A24" s="126"/>
      <c r="B24" s="134"/>
      <c r="C24" s="134"/>
      <c r="D24" s="117"/>
      <c r="E24" s="117"/>
      <c r="F24" s="31">
        <v>0</v>
      </c>
      <c r="G24" s="33">
        <v>0.1</v>
      </c>
      <c r="H24" s="32">
        <v>1000000</v>
      </c>
      <c r="I24" s="31">
        <v>1</v>
      </c>
      <c r="J24" s="32">
        <v>20000</v>
      </c>
      <c r="K24" s="31">
        <v>1</v>
      </c>
      <c r="L24" s="32">
        <v>130000</v>
      </c>
      <c r="M24" s="31">
        <v>0</v>
      </c>
      <c r="N24" s="32">
        <v>70000</v>
      </c>
      <c r="O24" s="31">
        <v>0</v>
      </c>
      <c r="P24" s="32">
        <v>0</v>
      </c>
      <c r="Q24" s="107"/>
      <c r="R24" s="107"/>
      <c r="S24" s="21"/>
      <c r="T24" s="31">
        <f>IF(C25="노트북",7%,IF(C25="저장&amp;주변기기",9%,IF(C25="모니터",7%)))</f>
        <v>7.0000000000000007E-2</v>
      </c>
      <c r="U24" s="31">
        <v>0</v>
      </c>
      <c r="V24" s="31">
        <v>0.02</v>
      </c>
      <c r="W24" s="31">
        <f>IF(G24=0%,20%,0%)</f>
        <v>0</v>
      </c>
      <c r="X24" s="30">
        <v>0</v>
      </c>
      <c r="Y24" s="30">
        <v>1</v>
      </c>
      <c r="Z24" s="53">
        <v>0.92308000000000001</v>
      </c>
      <c r="AA24" s="29">
        <v>0.5</v>
      </c>
      <c r="AB24" s="107"/>
      <c r="AC24" s="107"/>
      <c r="AD24" s="107"/>
      <c r="AE24" s="107"/>
      <c r="AF24" s="107"/>
      <c r="AG24" s="117"/>
      <c r="AH24" s="119"/>
      <c r="AI24" s="121"/>
      <c r="AJ24" s="55" t="s">
        <v>52</v>
      </c>
      <c r="AK24" s="56">
        <f>AJ23-AK23</f>
        <v>0.12442987341772149</v>
      </c>
      <c r="AM24" s="107"/>
      <c r="AN24" s="107"/>
      <c r="AO24" s="107"/>
      <c r="AP24" s="107"/>
      <c r="AQ24" s="107"/>
      <c r="AR24" s="107"/>
      <c r="AS24" s="39"/>
      <c r="AT24" s="107"/>
      <c r="AU24" s="107"/>
      <c r="AV24" s="107"/>
      <c r="AW24" s="107"/>
      <c r="AY24" s="107"/>
      <c r="AZ24" s="109"/>
      <c r="BA24" s="52"/>
      <c r="BB24" s="107"/>
    </row>
    <row r="25" spans="1:54" ht="27" customHeight="1" x14ac:dyDescent="0.3">
      <c r="A25" s="51" t="s">
        <v>76</v>
      </c>
      <c r="B25" s="38" t="s">
        <v>35</v>
      </c>
      <c r="C25" s="27" t="s">
        <v>0</v>
      </c>
      <c r="D25" s="26">
        <v>4608884708</v>
      </c>
      <c r="E25" s="25">
        <v>790000</v>
      </c>
      <c r="F25" s="24">
        <f>ROUNDDOWN(E25/(1-F24),-1)</f>
        <v>790000</v>
      </c>
      <c r="G25" s="110">
        <f>ROUNDDOWN(IF(F25*G24&gt;H24,H24,F25*G24),-1)</f>
        <v>79000</v>
      </c>
      <c r="H25" s="111"/>
      <c r="I25" s="112">
        <f>ROUNDDOWN(IF(F25*I24&gt;J24,J24,F25*I24),-1)</f>
        <v>20000</v>
      </c>
      <c r="J25" s="113"/>
      <c r="K25" s="112">
        <f>ROUNDDOWN(IF(F25*K24&gt;L24,L24,F25*K24),-1)</f>
        <v>130000</v>
      </c>
      <c r="L25" s="113"/>
      <c r="M25" s="110">
        <f>ROUNDDOWN(IF(Q25*M24&gt;N24,N24,Q25*M24),-1)</f>
        <v>0</v>
      </c>
      <c r="N25" s="111"/>
      <c r="O25" s="110">
        <f>ROUNDDOWN(IF(F25*O24&gt;P24,P24,F25*O24),-1)</f>
        <v>0</v>
      </c>
      <c r="P25" s="111"/>
      <c r="Q25" s="23">
        <f>F25-G25-I25-K25</f>
        <v>561000</v>
      </c>
      <c r="R25" s="22">
        <f>F25-G25-I25-K25-M25-O25</f>
        <v>561000</v>
      </c>
      <c r="S25" s="21"/>
      <c r="T25" s="20">
        <f>F25*T24</f>
        <v>55300.000000000007</v>
      </c>
      <c r="U25" s="20">
        <f>F25*U24</f>
        <v>0</v>
      </c>
      <c r="V25" s="20">
        <f>(F25-I25)*V24</f>
        <v>15400</v>
      </c>
      <c r="W25" s="19">
        <f>(F25*F24)*W24</f>
        <v>0</v>
      </c>
      <c r="X25" s="19">
        <f>G25*X24</f>
        <v>0</v>
      </c>
      <c r="Y25" s="19">
        <f>I25*Y24</f>
        <v>20000</v>
      </c>
      <c r="Z25" s="19">
        <f>K25*Z24</f>
        <v>120000.40000000001</v>
      </c>
      <c r="AA25" s="19">
        <f>M25*AA24</f>
        <v>0</v>
      </c>
      <c r="AB25" s="19">
        <v>0</v>
      </c>
      <c r="AC25" s="16">
        <v>6000</v>
      </c>
      <c r="AD25" s="18">
        <f>F25-T25-U25-V25-W25-AA25-X25-Y25-Z25-AB25</f>
        <v>579299.6</v>
      </c>
      <c r="AE25" s="18">
        <f>F25-T25-U25-V25-W25-X25-Y25-Z25-AA25-AB25-AC25</f>
        <v>573299.6</v>
      </c>
      <c r="AF25" s="17">
        <f>AE25-AG25</f>
        <v>-73700.400000000023</v>
      </c>
      <c r="AG25" s="16">
        <v>647000</v>
      </c>
      <c r="AH25" s="15">
        <f>AF25/AG25</f>
        <v>-0.11391097372488411</v>
      </c>
      <c r="AI25" s="14">
        <f>1-R25/(AG25-AM25-AN25-AO25)</f>
        <v>1.0582010582010581E-2</v>
      </c>
      <c r="AJ25" s="114">
        <f>(1-R25/F25)-(1-(AD25)/F25)</f>
        <v>2.3164050632911382E-2</v>
      </c>
      <c r="AK25" s="115"/>
      <c r="AM25" s="13">
        <v>80000</v>
      </c>
      <c r="AN25" s="12"/>
      <c r="AO25" s="12"/>
      <c r="AP25" s="12"/>
      <c r="AQ25" s="11">
        <f>AE25-(AG25-AM25-AN25-AO25-AP25)</f>
        <v>6299.5999999999767</v>
      </c>
      <c r="AR25" s="8">
        <f>AQ25/AG25</f>
        <v>9.7366306027820357E-3</v>
      </c>
      <c r="AT25" s="10">
        <v>0</v>
      </c>
      <c r="AU25" s="10">
        <v>0</v>
      </c>
      <c r="AV25" s="9">
        <f>AQ25-AT25-AU25</f>
        <v>6299.5999999999767</v>
      </c>
      <c r="AW25" s="8">
        <f>AV25/AG25</f>
        <v>9.7366306027820357E-3</v>
      </c>
      <c r="AY25" s="7"/>
      <c r="AZ25" s="50"/>
      <c r="BA25" s="52"/>
      <c r="BB25" s="7"/>
    </row>
    <row r="26" spans="1:54" ht="16.5" customHeight="1" x14ac:dyDescent="0.3">
      <c r="C26" s="57"/>
      <c r="D26" s="57"/>
      <c r="E26" s="5">
        <v>699000</v>
      </c>
      <c r="F26" s="4">
        <f>ROUNDDOWN(E26/(1-F24),-1)</f>
        <v>699000</v>
      </c>
      <c r="G26" s="105">
        <f>ROUNDDOWN(IF(F26*G24&gt;H24,H24,F26*G24),-1)</f>
        <v>69900</v>
      </c>
      <c r="H26" s="105"/>
      <c r="J26" s="54">
        <f>F25*4%</f>
        <v>31600</v>
      </c>
      <c r="R26" s="4">
        <v>629000</v>
      </c>
      <c r="X26" s="3">
        <f>G26*X24</f>
        <v>0</v>
      </c>
      <c r="Y26" s="3"/>
      <c r="Z26" s="3"/>
      <c r="AG26" s="4"/>
    </row>
    <row r="27" spans="1:54" ht="27" customHeight="1" x14ac:dyDescent="0.3">
      <c r="A27" s="124" t="s">
        <v>34</v>
      </c>
      <c r="B27" s="139" t="s">
        <v>90</v>
      </c>
      <c r="C27" s="140"/>
      <c r="D27" s="140"/>
      <c r="E27" s="140"/>
      <c r="F27" s="140"/>
      <c r="G27" s="140"/>
      <c r="H27" s="140"/>
      <c r="I27" s="140"/>
      <c r="J27" s="140"/>
      <c r="K27" s="140"/>
      <c r="L27" s="140"/>
      <c r="M27" s="140"/>
      <c r="N27" s="140"/>
      <c r="O27" s="140"/>
      <c r="P27" s="140"/>
      <c r="Q27" s="140"/>
      <c r="R27" s="141"/>
      <c r="T27" s="130" t="s">
        <v>33</v>
      </c>
      <c r="U27" s="131"/>
      <c r="V27" s="131"/>
      <c r="W27" s="131"/>
      <c r="X27" s="131"/>
      <c r="Y27" s="131"/>
      <c r="Z27" s="131"/>
      <c r="AA27" s="131"/>
      <c r="AB27" s="131"/>
      <c r="AC27" s="131"/>
      <c r="AD27" s="131"/>
      <c r="AE27" s="131"/>
      <c r="AF27" s="131"/>
      <c r="AG27" s="131"/>
      <c r="AH27" s="132"/>
      <c r="AI27" s="37"/>
      <c r="AM27" s="130" t="s">
        <v>32</v>
      </c>
      <c r="AN27" s="131"/>
      <c r="AO27" s="131"/>
      <c r="AP27" s="131"/>
      <c r="AQ27" s="131"/>
      <c r="AR27" s="132"/>
      <c r="AT27" s="130" t="s">
        <v>31</v>
      </c>
      <c r="AU27" s="131"/>
      <c r="AV27" s="131"/>
      <c r="AW27" s="132"/>
      <c r="AY27" s="36" t="s">
        <v>36</v>
      </c>
      <c r="AZ27" s="48"/>
      <c r="BA27" s="52"/>
      <c r="BB27" s="36"/>
    </row>
    <row r="28" spans="1:54" ht="32.25" customHeight="1" x14ac:dyDescent="0.3">
      <c r="A28" s="125"/>
      <c r="B28" s="133" t="s">
        <v>30</v>
      </c>
      <c r="C28" s="133" t="s">
        <v>29</v>
      </c>
      <c r="D28" s="116" t="s">
        <v>28</v>
      </c>
      <c r="E28" s="116" t="s">
        <v>27</v>
      </c>
      <c r="F28" s="34" t="s">
        <v>26</v>
      </c>
      <c r="G28" s="122" t="s">
        <v>63</v>
      </c>
      <c r="H28" s="123"/>
      <c r="I28" s="122" t="s">
        <v>50</v>
      </c>
      <c r="J28" s="123"/>
      <c r="K28" s="122" t="s">
        <v>62</v>
      </c>
      <c r="L28" s="123"/>
      <c r="M28" s="122" t="s">
        <v>25</v>
      </c>
      <c r="N28" s="123"/>
      <c r="O28" s="122" t="s">
        <v>24</v>
      </c>
      <c r="P28" s="123"/>
      <c r="Q28" s="106" t="s">
        <v>23</v>
      </c>
      <c r="R28" s="106" t="s">
        <v>22</v>
      </c>
      <c r="S28" s="21"/>
      <c r="T28" s="34" t="s">
        <v>21</v>
      </c>
      <c r="U28" s="34" t="s">
        <v>20</v>
      </c>
      <c r="V28" s="34" t="s">
        <v>77</v>
      </c>
      <c r="W28" s="34" t="s">
        <v>19</v>
      </c>
      <c r="X28" s="34" t="s">
        <v>18</v>
      </c>
      <c r="Y28" s="34" t="s">
        <v>48</v>
      </c>
      <c r="Z28" s="34" t="s">
        <v>49</v>
      </c>
      <c r="AA28" s="34" t="s">
        <v>17</v>
      </c>
      <c r="AB28" s="106" t="s">
        <v>16</v>
      </c>
      <c r="AC28" s="106" t="s">
        <v>15</v>
      </c>
      <c r="AD28" s="106" t="s">
        <v>14</v>
      </c>
      <c r="AE28" s="106" t="s">
        <v>13</v>
      </c>
      <c r="AF28" s="106" t="s">
        <v>12</v>
      </c>
      <c r="AG28" s="116" t="s">
        <v>11</v>
      </c>
      <c r="AH28" s="118" t="s">
        <v>10</v>
      </c>
      <c r="AI28" s="120" t="s">
        <v>9</v>
      </c>
      <c r="AJ28" s="35">
        <f>(1-R30/F30)</f>
        <v>0.28987341772151898</v>
      </c>
      <c r="AK28" s="35">
        <f>1-(AD30+AM30)/F30</f>
        <v>0.16544354430379749</v>
      </c>
      <c r="AM28" s="106" t="s">
        <v>8</v>
      </c>
      <c r="AN28" s="106" t="s">
        <v>7</v>
      </c>
      <c r="AO28" s="106" t="s">
        <v>37</v>
      </c>
      <c r="AP28" s="106" t="s">
        <v>38</v>
      </c>
      <c r="AQ28" s="106" t="s">
        <v>6</v>
      </c>
      <c r="AR28" s="106" t="s">
        <v>5</v>
      </c>
      <c r="AT28" s="106" t="s">
        <v>4</v>
      </c>
      <c r="AU28" s="106" t="s">
        <v>3</v>
      </c>
      <c r="AV28" s="106" t="s">
        <v>2</v>
      </c>
      <c r="AW28" s="106" t="s">
        <v>1</v>
      </c>
      <c r="AY28" s="106"/>
      <c r="AZ28" s="108"/>
      <c r="BA28" s="52"/>
      <c r="BB28" s="106"/>
    </row>
    <row r="29" spans="1:54" ht="27" customHeight="1" x14ac:dyDescent="0.3">
      <c r="A29" s="126"/>
      <c r="B29" s="134"/>
      <c r="C29" s="134"/>
      <c r="D29" s="117"/>
      <c r="E29" s="117"/>
      <c r="F29" s="31">
        <v>0</v>
      </c>
      <c r="G29" s="33">
        <v>0.1</v>
      </c>
      <c r="H29" s="32">
        <v>1000000</v>
      </c>
      <c r="I29" s="31">
        <v>1</v>
      </c>
      <c r="J29" s="32">
        <v>20000</v>
      </c>
      <c r="K29" s="31">
        <v>1</v>
      </c>
      <c r="L29" s="32">
        <v>130000</v>
      </c>
      <c r="M29" s="31">
        <v>0</v>
      </c>
      <c r="N29" s="32">
        <v>70000</v>
      </c>
      <c r="O29" s="31">
        <v>0</v>
      </c>
      <c r="P29" s="32">
        <v>0</v>
      </c>
      <c r="Q29" s="107"/>
      <c r="R29" s="107"/>
      <c r="S29" s="21"/>
      <c r="T29" s="31">
        <f>IF(C30="노트북",7%,IF(C30="저장&amp;주변기기",9%,IF(C30="모니터",7%)))</f>
        <v>7.0000000000000007E-2</v>
      </c>
      <c r="U29" s="31">
        <v>0</v>
      </c>
      <c r="V29" s="31">
        <v>0.02</v>
      </c>
      <c r="W29" s="31">
        <f>IF(G29=0%,20%,0%)</f>
        <v>0</v>
      </c>
      <c r="X29" s="30">
        <v>0</v>
      </c>
      <c r="Y29" s="30">
        <v>1</v>
      </c>
      <c r="Z29" s="53">
        <v>0.92308000000000001</v>
      </c>
      <c r="AA29" s="29">
        <v>0.5</v>
      </c>
      <c r="AB29" s="107"/>
      <c r="AC29" s="107"/>
      <c r="AD29" s="107"/>
      <c r="AE29" s="107"/>
      <c r="AF29" s="107"/>
      <c r="AG29" s="117"/>
      <c r="AH29" s="119"/>
      <c r="AI29" s="121"/>
      <c r="AJ29" s="55" t="s">
        <v>52</v>
      </c>
      <c r="AK29" s="56">
        <f>AJ28-AK28</f>
        <v>0.12442987341772149</v>
      </c>
      <c r="AM29" s="107"/>
      <c r="AN29" s="107"/>
      <c r="AO29" s="107"/>
      <c r="AP29" s="107"/>
      <c r="AQ29" s="107"/>
      <c r="AR29" s="107"/>
      <c r="AS29" s="39"/>
      <c r="AT29" s="107"/>
      <c r="AU29" s="107"/>
      <c r="AV29" s="107"/>
      <c r="AW29" s="107"/>
      <c r="AY29" s="107"/>
      <c r="AZ29" s="109"/>
      <c r="BA29" s="52"/>
      <c r="BB29" s="107"/>
    </row>
    <row r="30" spans="1:54" ht="27" customHeight="1" x14ac:dyDescent="0.3">
      <c r="A30" s="51" t="s">
        <v>76</v>
      </c>
      <c r="B30" s="38" t="s">
        <v>35</v>
      </c>
      <c r="C30" s="27" t="s">
        <v>0</v>
      </c>
      <c r="D30" s="26">
        <v>4608884708</v>
      </c>
      <c r="E30" s="25">
        <v>790000</v>
      </c>
      <c r="F30" s="24">
        <f>ROUNDDOWN(E30/(1-F29),-1)</f>
        <v>790000</v>
      </c>
      <c r="G30" s="110">
        <f>ROUNDDOWN(IF(F30*G29&gt;H29,H29,F30*G29),-1)</f>
        <v>79000</v>
      </c>
      <c r="H30" s="111"/>
      <c r="I30" s="112">
        <f>ROUNDDOWN(IF(F30*I29&gt;J29,J29,F30*I29),-1)</f>
        <v>20000</v>
      </c>
      <c r="J30" s="113"/>
      <c r="K30" s="112">
        <f>ROUNDDOWN(IF(F30*K29&gt;L29,L29,F30*K29),-1)</f>
        <v>130000</v>
      </c>
      <c r="L30" s="113"/>
      <c r="M30" s="110">
        <f>ROUNDDOWN(IF(Q30*M29&gt;N29,N29,Q30*M29),-1)</f>
        <v>0</v>
      </c>
      <c r="N30" s="111"/>
      <c r="O30" s="110">
        <f>ROUNDDOWN(IF(F30*O29&gt;P29,P29,F30*O29),-1)</f>
        <v>0</v>
      </c>
      <c r="P30" s="111"/>
      <c r="Q30" s="23">
        <f>F30-G30-I30-K30</f>
        <v>561000</v>
      </c>
      <c r="R30" s="22">
        <f>F30-G30-I30-K30-M30-O30</f>
        <v>561000</v>
      </c>
      <c r="S30" s="21"/>
      <c r="T30" s="20">
        <f>F30*T29</f>
        <v>55300.000000000007</v>
      </c>
      <c r="U30" s="20">
        <f>F30*U29</f>
        <v>0</v>
      </c>
      <c r="V30" s="20">
        <f>(F30-I30)*V29</f>
        <v>15400</v>
      </c>
      <c r="W30" s="19">
        <f>(F30*F29)*W29</f>
        <v>0</v>
      </c>
      <c r="X30" s="19">
        <f>G30*X29</f>
        <v>0</v>
      </c>
      <c r="Y30" s="19">
        <f>I30*Y29</f>
        <v>20000</v>
      </c>
      <c r="Z30" s="19">
        <f>K30*Z29</f>
        <v>120000.40000000001</v>
      </c>
      <c r="AA30" s="19">
        <f>M30*AA29</f>
        <v>0</v>
      </c>
      <c r="AB30" s="19">
        <v>0</v>
      </c>
      <c r="AC30" s="16">
        <v>6000</v>
      </c>
      <c r="AD30" s="18">
        <f>F30-T30-U30-V30-W30-AA30-X30-Y30-Z30-AB30</f>
        <v>579299.6</v>
      </c>
      <c r="AE30" s="18">
        <f>F30-T30-U30-V30-W30-X30-Y30-Z30-AA30-AB30-AC30</f>
        <v>573299.6</v>
      </c>
      <c r="AF30" s="17">
        <f>AE30-AG30</f>
        <v>-73700.400000000023</v>
      </c>
      <c r="AG30" s="16">
        <v>647000</v>
      </c>
      <c r="AH30" s="15">
        <f>AF30/AG30</f>
        <v>-0.11391097372488411</v>
      </c>
      <c r="AI30" s="14">
        <f>1-R30/(AG30-AM30-AN30-AO30)</f>
        <v>-3.125E-2</v>
      </c>
      <c r="AJ30" s="114">
        <f>(1-R30/F30)-(1-(AD30)/F30)</f>
        <v>2.3164050632911382E-2</v>
      </c>
      <c r="AK30" s="115"/>
      <c r="AM30" s="13">
        <v>80000</v>
      </c>
      <c r="AN30" s="12">
        <v>23000</v>
      </c>
      <c r="AO30" s="12"/>
      <c r="AP30" s="12"/>
      <c r="AQ30" s="11">
        <f>AE30-(AG30-AM30-AN30-AO30-AP30)</f>
        <v>29299.599999999977</v>
      </c>
      <c r="AR30" s="8">
        <f>AQ30/AG30</f>
        <v>4.5285316846986057E-2</v>
      </c>
      <c r="AT30" s="10">
        <v>0</v>
      </c>
      <c r="AU30" s="10">
        <v>0</v>
      </c>
      <c r="AV30" s="9">
        <f>AQ30-AT30-AU30</f>
        <v>29299.599999999977</v>
      </c>
      <c r="AW30" s="8">
        <f>AV30/AG30</f>
        <v>4.5285316846986057E-2</v>
      </c>
      <c r="AY30" s="7"/>
      <c r="AZ30" s="50"/>
      <c r="BA30" s="52"/>
      <c r="BB30" s="7"/>
    </row>
    <row r="31" spans="1:54" ht="16.5" customHeight="1" x14ac:dyDescent="0.3">
      <c r="C31" s="57"/>
      <c r="D31" s="57"/>
      <c r="E31" s="5">
        <v>699000</v>
      </c>
      <c r="F31" s="4">
        <f>ROUNDDOWN(E31/(1-F29),-1)</f>
        <v>699000</v>
      </c>
      <c r="G31" s="105">
        <f>ROUNDDOWN(IF(F31*G29&gt;H29,H29,F31*G29),-1)</f>
        <v>69900</v>
      </c>
      <c r="H31" s="105"/>
      <c r="J31" s="54">
        <f>F30*4%</f>
        <v>31600</v>
      </c>
      <c r="R31" s="4">
        <v>629000</v>
      </c>
      <c r="X31" s="3">
        <f>G31*X29</f>
        <v>0</v>
      </c>
      <c r="Y31" s="3"/>
      <c r="Z31" s="3"/>
      <c r="AG31" s="4"/>
    </row>
    <row r="32" spans="1:54" ht="27" customHeight="1" x14ac:dyDescent="0.3">
      <c r="A32" s="124" t="s">
        <v>34</v>
      </c>
      <c r="B32" s="127" t="s">
        <v>88</v>
      </c>
      <c r="C32" s="128"/>
      <c r="D32" s="128"/>
      <c r="E32" s="128"/>
      <c r="F32" s="128"/>
      <c r="G32" s="128"/>
      <c r="H32" s="128"/>
      <c r="I32" s="128"/>
      <c r="J32" s="128"/>
      <c r="K32" s="128"/>
      <c r="L32" s="128"/>
      <c r="M32" s="128"/>
      <c r="N32" s="128"/>
      <c r="O32" s="128"/>
      <c r="P32" s="128"/>
      <c r="Q32" s="128"/>
      <c r="R32" s="129"/>
      <c r="T32" s="130" t="s">
        <v>33</v>
      </c>
      <c r="U32" s="131"/>
      <c r="V32" s="131"/>
      <c r="W32" s="131"/>
      <c r="X32" s="131"/>
      <c r="Y32" s="131"/>
      <c r="Z32" s="131"/>
      <c r="AA32" s="131"/>
      <c r="AB32" s="131"/>
      <c r="AC32" s="131"/>
      <c r="AD32" s="131"/>
      <c r="AE32" s="131"/>
      <c r="AF32" s="131"/>
      <c r="AG32" s="131"/>
      <c r="AH32" s="132"/>
      <c r="AI32" s="37"/>
      <c r="AM32" s="130" t="s">
        <v>32</v>
      </c>
      <c r="AN32" s="131"/>
      <c r="AO32" s="131"/>
      <c r="AP32" s="131"/>
      <c r="AQ32" s="131"/>
      <c r="AR32" s="132"/>
      <c r="AT32" s="130" t="s">
        <v>31</v>
      </c>
      <c r="AU32" s="131"/>
      <c r="AV32" s="131"/>
      <c r="AW32" s="132"/>
      <c r="AY32" s="36" t="s">
        <v>36</v>
      </c>
      <c r="AZ32" s="48"/>
      <c r="BA32" s="52"/>
      <c r="BB32" s="36"/>
    </row>
    <row r="33" spans="1:54" ht="32.25" customHeight="1" x14ac:dyDescent="0.3">
      <c r="A33" s="125"/>
      <c r="B33" s="133" t="s">
        <v>30</v>
      </c>
      <c r="C33" s="133" t="s">
        <v>29</v>
      </c>
      <c r="D33" s="116" t="s">
        <v>28</v>
      </c>
      <c r="E33" s="116" t="s">
        <v>27</v>
      </c>
      <c r="F33" s="34" t="s">
        <v>26</v>
      </c>
      <c r="G33" s="122" t="s">
        <v>63</v>
      </c>
      <c r="H33" s="123"/>
      <c r="I33" s="122" t="s">
        <v>50</v>
      </c>
      <c r="J33" s="123"/>
      <c r="K33" s="122" t="s">
        <v>62</v>
      </c>
      <c r="L33" s="123"/>
      <c r="M33" s="122" t="s">
        <v>25</v>
      </c>
      <c r="N33" s="123"/>
      <c r="O33" s="122" t="s">
        <v>24</v>
      </c>
      <c r="P33" s="123"/>
      <c r="Q33" s="106" t="s">
        <v>23</v>
      </c>
      <c r="R33" s="106" t="s">
        <v>22</v>
      </c>
      <c r="S33" s="21"/>
      <c r="T33" s="34" t="s">
        <v>21</v>
      </c>
      <c r="U33" s="34" t="s">
        <v>20</v>
      </c>
      <c r="V33" s="34" t="s">
        <v>77</v>
      </c>
      <c r="W33" s="34" t="s">
        <v>19</v>
      </c>
      <c r="X33" s="34" t="s">
        <v>18</v>
      </c>
      <c r="Y33" s="34" t="s">
        <v>48</v>
      </c>
      <c r="Z33" s="34" t="s">
        <v>49</v>
      </c>
      <c r="AA33" s="34" t="s">
        <v>17</v>
      </c>
      <c r="AB33" s="106" t="s">
        <v>16</v>
      </c>
      <c r="AC33" s="106" t="s">
        <v>15</v>
      </c>
      <c r="AD33" s="106" t="s">
        <v>14</v>
      </c>
      <c r="AE33" s="106" t="s">
        <v>13</v>
      </c>
      <c r="AF33" s="106" t="s">
        <v>12</v>
      </c>
      <c r="AG33" s="116" t="s">
        <v>11</v>
      </c>
      <c r="AH33" s="118" t="s">
        <v>10</v>
      </c>
      <c r="AI33" s="120" t="s">
        <v>9</v>
      </c>
      <c r="AJ33" s="35">
        <f>(1-R35/F35)</f>
        <v>0.28829301075268821</v>
      </c>
      <c r="AK33" s="35">
        <f>1-(AD35+AM35)/F35</f>
        <v>0.15054419354838711</v>
      </c>
      <c r="AM33" s="106" t="s">
        <v>8</v>
      </c>
      <c r="AN33" s="106" t="s">
        <v>7</v>
      </c>
      <c r="AO33" s="106" t="s">
        <v>37</v>
      </c>
      <c r="AP33" s="106" t="s">
        <v>38</v>
      </c>
      <c r="AQ33" s="106" t="s">
        <v>6</v>
      </c>
      <c r="AR33" s="106" t="s">
        <v>5</v>
      </c>
      <c r="AT33" s="106" t="s">
        <v>4</v>
      </c>
      <c r="AU33" s="106" t="s">
        <v>3</v>
      </c>
      <c r="AV33" s="106" t="s">
        <v>2</v>
      </c>
      <c r="AW33" s="106" t="s">
        <v>1</v>
      </c>
      <c r="AY33" s="106"/>
      <c r="AZ33" s="108"/>
      <c r="BA33" s="52"/>
      <c r="BB33" s="106"/>
    </row>
    <row r="34" spans="1:54" ht="27" customHeight="1" x14ac:dyDescent="0.3">
      <c r="A34" s="126"/>
      <c r="B34" s="134"/>
      <c r="C34" s="134"/>
      <c r="D34" s="117"/>
      <c r="E34" s="117"/>
      <c r="F34" s="31">
        <v>0</v>
      </c>
      <c r="G34" s="33">
        <v>0.06</v>
      </c>
      <c r="H34" s="32">
        <v>400000</v>
      </c>
      <c r="I34" s="31">
        <v>1</v>
      </c>
      <c r="J34" s="32">
        <v>0</v>
      </c>
      <c r="K34" s="31">
        <v>1</v>
      </c>
      <c r="L34" s="32">
        <v>130000</v>
      </c>
      <c r="M34" s="31">
        <v>7.0000000000000007E-2</v>
      </c>
      <c r="N34" s="32">
        <v>70000</v>
      </c>
      <c r="O34" s="31">
        <v>0</v>
      </c>
      <c r="P34" s="32">
        <v>0</v>
      </c>
      <c r="Q34" s="107"/>
      <c r="R34" s="107"/>
      <c r="S34" s="21"/>
      <c r="T34" s="31">
        <f>IF(C35="노트북",7%,IF(C35="저장&amp;주변기기",9%,IF(C35="모니터",7%)))</f>
        <v>7.0000000000000007E-2</v>
      </c>
      <c r="U34" s="31">
        <v>0</v>
      </c>
      <c r="V34" s="31">
        <v>0</v>
      </c>
      <c r="W34" s="31">
        <f>IF(G34=0%,20%,0%)</f>
        <v>0</v>
      </c>
      <c r="X34" s="30">
        <v>0</v>
      </c>
      <c r="Y34" s="30">
        <v>1</v>
      </c>
      <c r="Z34" s="53">
        <v>0.92307600000000001</v>
      </c>
      <c r="AA34" s="29">
        <v>0.5</v>
      </c>
      <c r="AB34" s="107"/>
      <c r="AC34" s="107"/>
      <c r="AD34" s="107"/>
      <c r="AE34" s="107"/>
      <c r="AF34" s="107"/>
      <c r="AG34" s="117"/>
      <c r="AH34" s="119"/>
      <c r="AI34" s="121"/>
      <c r="AJ34" s="55" t="s">
        <v>52</v>
      </c>
      <c r="AK34" s="56">
        <f>AJ33-AK33</f>
        <v>0.1377488172043011</v>
      </c>
      <c r="AM34" s="107"/>
      <c r="AN34" s="107"/>
      <c r="AO34" s="107"/>
      <c r="AP34" s="107"/>
      <c r="AQ34" s="107"/>
      <c r="AR34" s="107"/>
      <c r="AS34" s="39"/>
      <c r="AT34" s="107"/>
      <c r="AU34" s="107"/>
      <c r="AV34" s="107"/>
      <c r="AW34" s="107"/>
      <c r="AY34" s="107"/>
      <c r="AZ34" s="109"/>
      <c r="BA34" s="52"/>
      <c r="BB34" s="107"/>
    </row>
    <row r="35" spans="1:54" ht="27" customHeight="1" x14ac:dyDescent="0.3">
      <c r="A35" s="51" t="s">
        <v>76</v>
      </c>
      <c r="B35" s="38" t="s">
        <v>35</v>
      </c>
      <c r="C35" s="27" t="s">
        <v>0</v>
      </c>
      <c r="D35" s="26">
        <v>4608884708</v>
      </c>
      <c r="E35" s="25">
        <v>744000</v>
      </c>
      <c r="F35" s="24">
        <f>ROUNDDOWN(E35/(1-F34),-1)</f>
        <v>744000</v>
      </c>
      <c r="G35" s="110">
        <f>ROUNDDOWN(IF(F35*G34&gt;H34,H34,F35*G34),-1)</f>
        <v>44640</v>
      </c>
      <c r="H35" s="111"/>
      <c r="I35" s="112">
        <f>ROUNDDOWN(IF(F35*I34&gt;J34,J34,F35*I34),-1)</f>
        <v>0</v>
      </c>
      <c r="J35" s="113"/>
      <c r="K35" s="112">
        <f>ROUNDDOWN(IF(F35*K34&gt;L34,L34,F35*K34),-1)</f>
        <v>130000</v>
      </c>
      <c r="L35" s="113"/>
      <c r="M35" s="110">
        <f>ROUNDDOWN(IF(Q35*M34&gt;N34,N34,Q35*M34),-1)</f>
        <v>39850</v>
      </c>
      <c r="N35" s="111"/>
      <c r="O35" s="110">
        <f>ROUNDDOWN(IF(F35*O34&gt;P34,P34,F35*O34),-1)</f>
        <v>0</v>
      </c>
      <c r="P35" s="111"/>
      <c r="Q35" s="23">
        <f>F35-G35-I35-K35</f>
        <v>569360</v>
      </c>
      <c r="R35" s="22">
        <f>F35-G35-I35-K35-M35-O35</f>
        <v>529510</v>
      </c>
      <c r="S35" s="21"/>
      <c r="T35" s="20">
        <f>F35*T34</f>
        <v>52080.000000000007</v>
      </c>
      <c r="U35" s="20">
        <f>F35*U34</f>
        <v>0</v>
      </c>
      <c r="V35" s="20">
        <f>(F35-I35)*V34</f>
        <v>0</v>
      </c>
      <c r="W35" s="19">
        <f>(F35*F34)*W34</f>
        <v>0</v>
      </c>
      <c r="X35" s="19">
        <f>G35*X34</f>
        <v>0</v>
      </c>
      <c r="Y35" s="19">
        <f>I35*Y34</f>
        <v>0</v>
      </c>
      <c r="Z35" s="19">
        <f>K35*Z34</f>
        <v>119999.88</v>
      </c>
      <c r="AA35" s="19">
        <f>M35*AA34</f>
        <v>19925</v>
      </c>
      <c r="AB35" s="19">
        <v>0</v>
      </c>
      <c r="AC35" s="16">
        <v>6000</v>
      </c>
      <c r="AD35" s="18">
        <f>F35-T35-U35-V35-W35-AA35-X35-Y35-Z35-AB35</f>
        <v>551995.12</v>
      </c>
      <c r="AE35" s="18">
        <f>F35-T35-U35-V35-W35-X35-Y35-Z35-AA35-AB35-AC35</f>
        <v>545995.12</v>
      </c>
      <c r="AF35" s="17">
        <f>AE35-AG35</f>
        <v>-101004.88</v>
      </c>
      <c r="AG35" s="16">
        <v>647000</v>
      </c>
      <c r="AH35" s="15">
        <f>AF35/AG35</f>
        <v>-0.15611264296754251</v>
      </c>
      <c r="AI35" s="14">
        <f>1-R35/(AG35-AM35-AN35-AO35)</f>
        <v>6.6119929453262838E-2</v>
      </c>
      <c r="AJ35" s="114">
        <f>(1-R35/F35)-(1-(AD35)/F35)</f>
        <v>3.0221935483870976E-2</v>
      </c>
      <c r="AK35" s="115"/>
      <c r="AM35" s="13">
        <v>80000</v>
      </c>
      <c r="AN35" s="12"/>
      <c r="AO35" s="12"/>
      <c r="AP35" s="12"/>
      <c r="AQ35" s="11">
        <f>AE35-(AG35-AM35-AN35-AO35-AP35)</f>
        <v>-21004.880000000005</v>
      </c>
      <c r="AR35" s="8">
        <f>AQ35/AG35</f>
        <v>-3.2465038639876362E-2</v>
      </c>
      <c r="AT35" s="10">
        <v>0</v>
      </c>
      <c r="AU35" s="10">
        <v>0</v>
      </c>
      <c r="AV35" s="9">
        <f>AQ35-AT35-AU35</f>
        <v>-21004.880000000005</v>
      </c>
      <c r="AW35" s="8">
        <f>AV35/AG35</f>
        <v>-3.2465038639876362E-2</v>
      </c>
      <c r="AY35" s="7"/>
      <c r="AZ35" s="50"/>
      <c r="BA35" s="52"/>
      <c r="BB35" s="7"/>
    </row>
    <row r="36" spans="1:54" ht="16.5" customHeight="1" x14ac:dyDescent="0.3">
      <c r="C36" s="57"/>
      <c r="D36" s="57"/>
      <c r="E36" s="5">
        <v>699000</v>
      </c>
      <c r="F36" s="4">
        <f>ROUNDDOWN(E36/(1-F34),-1)</f>
        <v>699000</v>
      </c>
      <c r="G36" s="105">
        <f>ROUNDDOWN(IF(F36*G34&gt;H34,H34,F36*G34),-1)</f>
        <v>41940</v>
      </c>
      <c r="H36" s="105"/>
      <c r="J36" s="54">
        <f>F35*4%</f>
        <v>29760</v>
      </c>
      <c r="R36" s="4">
        <v>629000</v>
      </c>
      <c r="X36" s="3">
        <f>G36*X34</f>
        <v>0</v>
      </c>
      <c r="Y36" s="3"/>
      <c r="Z36" s="3"/>
      <c r="AG36" s="4"/>
    </row>
    <row r="37" spans="1:54" ht="16.5" customHeight="1" x14ac:dyDescent="0.3">
      <c r="C37" s="57"/>
      <c r="D37" s="57"/>
      <c r="E37" s="5"/>
      <c r="F37" s="4"/>
      <c r="G37" s="42"/>
      <c r="H37" s="42"/>
      <c r="J37" s="54"/>
      <c r="R37" s="4"/>
      <c r="X37" s="3"/>
      <c r="Y37" s="3"/>
      <c r="Z37" s="3"/>
      <c r="AG37" s="4"/>
    </row>
    <row r="39" spans="1:54" ht="27" customHeight="1" x14ac:dyDescent="0.3">
      <c r="A39" s="124" t="s">
        <v>34</v>
      </c>
      <c r="B39" s="139" t="s">
        <v>84</v>
      </c>
      <c r="C39" s="140"/>
      <c r="D39" s="140"/>
      <c r="E39" s="140"/>
      <c r="F39" s="140"/>
      <c r="G39" s="140"/>
      <c r="H39" s="140"/>
      <c r="I39" s="140"/>
      <c r="J39" s="140"/>
      <c r="K39" s="140"/>
      <c r="L39" s="140"/>
      <c r="M39" s="140"/>
      <c r="N39" s="140"/>
      <c r="O39" s="140"/>
      <c r="P39" s="140"/>
      <c r="Q39" s="140"/>
      <c r="R39" s="141"/>
      <c r="T39" s="130" t="s">
        <v>33</v>
      </c>
      <c r="U39" s="131"/>
      <c r="V39" s="131"/>
      <c r="W39" s="131"/>
      <c r="X39" s="131"/>
      <c r="Y39" s="131"/>
      <c r="Z39" s="131"/>
      <c r="AA39" s="131"/>
      <c r="AB39" s="131"/>
      <c r="AC39" s="131"/>
      <c r="AD39" s="131"/>
      <c r="AE39" s="131"/>
      <c r="AF39" s="131"/>
      <c r="AG39" s="131"/>
      <c r="AH39" s="132"/>
      <c r="AI39" s="37"/>
      <c r="AM39" s="130" t="s">
        <v>32</v>
      </c>
      <c r="AN39" s="131"/>
      <c r="AO39" s="131"/>
      <c r="AP39" s="131"/>
      <c r="AQ39" s="131"/>
      <c r="AR39" s="132"/>
      <c r="AT39" s="130" t="s">
        <v>31</v>
      </c>
      <c r="AU39" s="131"/>
      <c r="AV39" s="131"/>
      <c r="AW39" s="132"/>
      <c r="AY39" s="36" t="s">
        <v>36</v>
      </c>
      <c r="AZ39" s="48"/>
      <c r="BA39" s="52"/>
      <c r="BB39" s="36"/>
    </row>
    <row r="40" spans="1:54" ht="32.25" customHeight="1" x14ac:dyDescent="0.3">
      <c r="A40" s="125"/>
      <c r="B40" s="133" t="s">
        <v>30</v>
      </c>
      <c r="C40" s="133" t="s">
        <v>29</v>
      </c>
      <c r="D40" s="116" t="s">
        <v>28</v>
      </c>
      <c r="E40" s="116" t="s">
        <v>27</v>
      </c>
      <c r="F40" s="34" t="s">
        <v>26</v>
      </c>
      <c r="G40" s="122" t="s">
        <v>63</v>
      </c>
      <c r="H40" s="123"/>
      <c r="I40" s="122" t="s">
        <v>50</v>
      </c>
      <c r="J40" s="123"/>
      <c r="K40" s="122" t="s">
        <v>62</v>
      </c>
      <c r="L40" s="123"/>
      <c r="M40" s="122" t="s">
        <v>25</v>
      </c>
      <c r="N40" s="123"/>
      <c r="O40" s="122" t="s">
        <v>24</v>
      </c>
      <c r="P40" s="123"/>
      <c r="Q40" s="106" t="s">
        <v>23</v>
      </c>
      <c r="R40" s="106" t="s">
        <v>22</v>
      </c>
      <c r="S40" s="21"/>
      <c r="T40" s="34" t="s">
        <v>21</v>
      </c>
      <c r="U40" s="34" t="s">
        <v>20</v>
      </c>
      <c r="V40" s="34" t="s">
        <v>77</v>
      </c>
      <c r="W40" s="34" t="s">
        <v>19</v>
      </c>
      <c r="X40" s="34" t="s">
        <v>18</v>
      </c>
      <c r="Y40" s="34" t="s">
        <v>48</v>
      </c>
      <c r="Z40" s="34" t="s">
        <v>49</v>
      </c>
      <c r="AA40" s="34" t="s">
        <v>17</v>
      </c>
      <c r="AB40" s="106" t="s">
        <v>16</v>
      </c>
      <c r="AC40" s="106" t="s">
        <v>15</v>
      </c>
      <c r="AD40" s="106" t="s">
        <v>14</v>
      </c>
      <c r="AE40" s="106" t="s">
        <v>13</v>
      </c>
      <c r="AF40" s="106" t="s">
        <v>12</v>
      </c>
      <c r="AG40" s="116" t="s">
        <v>11</v>
      </c>
      <c r="AH40" s="118" t="s">
        <v>10</v>
      </c>
      <c r="AI40" s="120" t="s">
        <v>9</v>
      </c>
      <c r="AJ40" s="35">
        <f>(1-R42/F42)</f>
        <v>0.31072796934865898</v>
      </c>
      <c r="AK40" s="35">
        <f>1-(AD42+AM42)/F42</f>
        <v>0.28706309067688385</v>
      </c>
      <c r="AM40" s="106" t="s">
        <v>8</v>
      </c>
      <c r="AN40" s="106" t="s">
        <v>7</v>
      </c>
      <c r="AO40" s="106" t="s">
        <v>37</v>
      </c>
      <c r="AP40" s="106" t="s">
        <v>38</v>
      </c>
      <c r="AQ40" s="106" t="s">
        <v>6</v>
      </c>
      <c r="AR40" s="106" t="s">
        <v>5</v>
      </c>
      <c r="AT40" s="106" t="s">
        <v>4</v>
      </c>
      <c r="AU40" s="106" t="s">
        <v>3</v>
      </c>
      <c r="AV40" s="106" t="s">
        <v>2</v>
      </c>
      <c r="AW40" s="106" t="s">
        <v>1</v>
      </c>
      <c r="AY40" s="106"/>
      <c r="AZ40" s="108"/>
      <c r="BA40" s="52"/>
      <c r="BB40" s="106"/>
    </row>
    <row r="41" spans="1:54" ht="27" customHeight="1" x14ac:dyDescent="0.3">
      <c r="A41" s="126"/>
      <c r="B41" s="134"/>
      <c r="C41" s="134"/>
      <c r="D41" s="117"/>
      <c r="E41" s="117"/>
      <c r="F41" s="31">
        <v>0</v>
      </c>
      <c r="G41" s="33">
        <v>0.1</v>
      </c>
      <c r="H41" s="32">
        <v>1000000</v>
      </c>
      <c r="I41" s="31">
        <v>1</v>
      </c>
      <c r="J41" s="32">
        <v>35000</v>
      </c>
      <c r="K41" s="31">
        <v>1</v>
      </c>
      <c r="L41" s="32">
        <v>130000</v>
      </c>
      <c r="M41" s="31">
        <v>0</v>
      </c>
      <c r="N41" s="32">
        <v>70000</v>
      </c>
      <c r="O41" s="31">
        <v>0</v>
      </c>
      <c r="P41" s="32">
        <v>0</v>
      </c>
      <c r="Q41" s="107"/>
      <c r="R41" s="107"/>
      <c r="S41" s="21"/>
      <c r="T41" s="31">
        <f>IF(C42="노트북",7%,IF(C42="저장&amp;주변기기",9%,IF(C42="모니터",7%)))</f>
        <v>7.0000000000000007E-2</v>
      </c>
      <c r="U41" s="31">
        <v>0</v>
      </c>
      <c r="V41" s="31">
        <v>0.02</v>
      </c>
      <c r="W41" s="31">
        <f>IF(G41=0%,20%,0%)</f>
        <v>0</v>
      </c>
      <c r="X41" s="30">
        <v>0</v>
      </c>
      <c r="Y41" s="30">
        <v>1</v>
      </c>
      <c r="Z41" s="53">
        <v>0.92308000000000001</v>
      </c>
      <c r="AA41" s="29">
        <v>0.5</v>
      </c>
      <c r="AB41" s="107"/>
      <c r="AC41" s="107"/>
      <c r="AD41" s="107"/>
      <c r="AE41" s="107"/>
      <c r="AF41" s="107"/>
      <c r="AG41" s="117"/>
      <c r="AH41" s="119"/>
      <c r="AI41" s="121"/>
      <c r="AJ41" s="55" t="s">
        <v>52</v>
      </c>
      <c r="AK41" s="56">
        <f>AJ40-AK40</f>
        <v>2.3664878671775136E-2</v>
      </c>
      <c r="AM41" s="107"/>
      <c r="AN41" s="107"/>
      <c r="AO41" s="107"/>
      <c r="AP41" s="107"/>
      <c r="AQ41" s="107"/>
      <c r="AR41" s="107"/>
      <c r="AS41" s="39"/>
      <c r="AT41" s="107"/>
      <c r="AU41" s="107"/>
      <c r="AV41" s="107"/>
      <c r="AW41" s="107"/>
      <c r="AY41" s="107"/>
      <c r="AZ41" s="109"/>
      <c r="BA41" s="52"/>
      <c r="BB41" s="107"/>
    </row>
    <row r="42" spans="1:54" ht="27" customHeight="1" x14ac:dyDescent="0.3">
      <c r="A42" s="51" t="s">
        <v>76</v>
      </c>
      <c r="B42" s="38" t="s">
        <v>35</v>
      </c>
      <c r="C42" s="27" t="s">
        <v>0</v>
      </c>
      <c r="D42" s="26">
        <v>4608884708</v>
      </c>
      <c r="E42" s="25">
        <v>783000</v>
      </c>
      <c r="F42" s="24">
        <f>ROUNDDOWN(E42/(1-F41),-1)</f>
        <v>783000</v>
      </c>
      <c r="G42" s="110">
        <f>ROUNDDOWN(IF(F42*G41&gt;H41,H41,F42*G41),-1)</f>
        <v>78300</v>
      </c>
      <c r="H42" s="111"/>
      <c r="I42" s="112">
        <f>ROUNDDOWN(IF(F42*I41&gt;J41,J41,F42*I41),-1)</f>
        <v>35000</v>
      </c>
      <c r="J42" s="113"/>
      <c r="K42" s="112">
        <f>ROUNDDOWN(IF(F42*K41&gt;L41,L41,F42*K41),-1)</f>
        <v>130000</v>
      </c>
      <c r="L42" s="113"/>
      <c r="M42" s="110">
        <f>ROUNDDOWN(IF(Q42*M41&gt;N41,N41,Q42*M41),-1)</f>
        <v>0</v>
      </c>
      <c r="N42" s="111"/>
      <c r="O42" s="110">
        <f>ROUNDDOWN(IF(F42*O41&gt;P41,P41,F42*O41),-1)</f>
        <v>0</v>
      </c>
      <c r="P42" s="111"/>
      <c r="Q42" s="23">
        <f>F42-G42-I42-K42</f>
        <v>539700</v>
      </c>
      <c r="R42" s="22">
        <f>F42-G42-I42-K42-M42-O42</f>
        <v>539700</v>
      </c>
      <c r="S42" s="21"/>
      <c r="T42" s="20">
        <f>F42*T41</f>
        <v>54810.000000000007</v>
      </c>
      <c r="U42" s="20">
        <f>F42*U41</f>
        <v>0</v>
      </c>
      <c r="V42" s="20">
        <f>(F42-I42)*V41</f>
        <v>14960</v>
      </c>
      <c r="W42" s="19">
        <f>(F42*F41)*W41</f>
        <v>0</v>
      </c>
      <c r="X42" s="19">
        <f>G42*X41</f>
        <v>0</v>
      </c>
      <c r="Y42" s="19">
        <f>I42*Y41</f>
        <v>35000</v>
      </c>
      <c r="Z42" s="19">
        <f>K42*Z41</f>
        <v>120000.40000000001</v>
      </c>
      <c r="AA42" s="19">
        <f>M42*AA41</f>
        <v>0</v>
      </c>
      <c r="AB42" s="19">
        <v>0</v>
      </c>
      <c r="AC42" s="16">
        <v>6000</v>
      </c>
      <c r="AD42" s="18">
        <f>F42-T42-U42-V42-W42-AA42-X42-Y42-Z42-AB42</f>
        <v>558229.6</v>
      </c>
      <c r="AE42" s="18">
        <f>F42-T42-U42-V42-W42-X42-Y42-Z42-AA42-AB42-AC42</f>
        <v>552229.6</v>
      </c>
      <c r="AF42" s="17">
        <f>AE42-AG42</f>
        <v>1229.5999999999767</v>
      </c>
      <c r="AG42" s="16">
        <v>551000</v>
      </c>
      <c r="AH42" s="15">
        <f>AF42/AG42</f>
        <v>2.2315789473683787E-3</v>
      </c>
      <c r="AI42" s="14">
        <f>1-R42/(AG42-AM42-AN42-AO42)</f>
        <v>2.0508166969147035E-2</v>
      </c>
      <c r="AJ42" s="114">
        <f>(1-R42/F42)-(1-(AD42)/F42)</f>
        <v>2.3664878671775136E-2</v>
      </c>
      <c r="AK42" s="115"/>
      <c r="AM42" s="13"/>
      <c r="AN42" s="12"/>
      <c r="AO42" s="12"/>
      <c r="AP42" s="12"/>
      <c r="AQ42" s="11">
        <f>AE42-(AG42-AM42-AN42-AO42-AP42)</f>
        <v>1229.5999999999767</v>
      </c>
      <c r="AR42" s="8">
        <f>AQ42/AG42</f>
        <v>2.2315789473683787E-3</v>
      </c>
      <c r="AT42" s="10">
        <v>0</v>
      </c>
      <c r="AU42" s="10">
        <v>0</v>
      </c>
      <c r="AV42" s="9">
        <f>AQ42-AT42-AU42</f>
        <v>1229.5999999999767</v>
      </c>
      <c r="AW42" s="8">
        <f>AV42/AG42</f>
        <v>2.2315789473683787E-3</v>
      </c>
      <c r="AY42" s="7"/>
      <c r="AZ42" s="50"/>
      <c r="BA42" s="52"/>
      <c r="BB42" s="7"/>
    </row>
    <row r="43" spans="1:54" ht="16.5" customHeight="1" x14ac:dyDescent="0.3">
      <c r="C43" s="57"/>
      <c r="D43" s="57"/>
      <c r="E43" s="5">
        <v>699000</v>
      </c>
      <c r="F43" s="4">
        <f>ROUNDDOWN(E43/(1-F41),-1)</f>
        <v>699000</v>
      </c>
      <c r="G43" s="105">
        <f>ROUNDDOWN(IF(F43*G41&gt;H41,H41,F43*G41),-1)</f>
        <v>69900</v>
      </c>
      <c r="H43" s="105"/>
      <c r="J43" s="54">
        <f>F42*4%</f>
        <v>31320</v>
      </c>
      <c r="R43" s="4">
        <v>629000</v>
      </c>
      <c r="X43" s="3">
        <f>G43*X41</f>
        <v>0</v>
      </c>
      <c r="Y43" s="3"/>
      <c r="Z43" s="3"/>
      <c r="AG43" s="4"/>
    </row>
    <row r="44" spans="1:54" ht="27" customHeight="1" x14ac:dyDescent="0.3">
      <c r="A44" s="124" t="s">
        <v>34</v>
      </c>
      <c r="B44" s="139" t="s">
        <v>85</v>
      </c>
      <c r="C44" s="140"/>
      <c r="D44" s="140"/>
      <c r="E44" s="140"/>
      <c r="F44" s="140"/>
      <c r="G44" s="140"/>
      <c r="H44" s="140"/>
      <c r="I44" s="140"/>
      <c r="J44" s="140"/>
      <c r="K44" s="140"/>
      <c r="L44" s="140"/>
      <c r="M44" s="140"/>
      <c r="N44" s="140"/>
      <c r="O44" s="140"/>
      <c r="P44" s="140"/>
      <c r="Q44" s="140"/>
      <c r="R44" s="141"/>
      <c r="T44" s="130" t="s">
        <v>33</v>
      </c>
      <c r="U44" s="131"/>
      <c r="V44" s="131"/>
      <c r="W44" s="131"/>
      <c r="X44" s="131"/>
      <c r="Y44" s="131"/>
      <c r="Z44" s="131"/>
      <c r="AA44" s="131"/>
      <c r="AB44" s="131"/>
      <c r="AC44" s="131"/>
      <c r="AD44" s="131"/>
      <c r="AE44" s="131"/>
      <c r="AF44" s="131"/>
      <c r="AG44" s="131"/>
      <c r="AH44" s="132"/>
      <c r="AI44" s="37"/>
      <c r="AM44" s="130" t="s">
        <v>32</v>
      </c>
      <c r="AN44" s="131"/>
      <c r="AO44" s="131"/>
      <c r="AP44" s="131"/>
      <c r="AQ44" s="131"/>
      <c r="AR44" s="132"/>
      <c r="AT44" s="130" t="s">
        <v>31</v>
      </c>
      <c r="AU44" s="131"/>
      <c r="AV44" s="131"/>
      <c r="AW44" s="132"/>
      <c r="AY44" s="36" t="s">
        <v>36</v>
      </c>
      <c r="AZ44" s="48"/>
      <c r="BA44" s="52"/>
      <c r="BB44" s="36"/>
    </row>
    <row r="45" spans="1:54" ht="32.25" customHeight="1" x14ac:dyDescent="0.3">
      <c r="A45" s="125"/>
      <c r="B45" s="133" t="s">
        <v>30</v>
      </c>
      <c r="C45" s="133" t="s">
        <v>29</v>
      </c>
      <c r="D45" s="116" t="s">
        <v>28</v>
      </c>
      <c r="E45" s="116" t="s">
        <v>27</v>
      </c>
      <c r="F45" s="34" t="s">
        <v>26</v>
      </c>
      <c r="G45" s="122" t="s">
        <v>63</v>
      </c>
      <c r="H45" s="123"/>
      <c r="I45" s="122" t="s">
        <v>50</v>
      </c>
      <c r="J45" s="123"/>
      <c r="K45" s="122" t="s">
        <v>62</v>
      </c>
      <c r="L45" s="123"/>
      <c r="M45" s="122" t="s">
        <v>25</v>
      </c>
      <c r="N45" s="123"/>
      <c r="O45" s="122" t="s">
        <v>24</v>
      </c>
      <c r="P45" s="123"/>
      <c r="Q45" s="106" t="s">
        <v>23</v>
      </c>
      <c r="R45" s="106" t="s">
        <v>22</v>
      </c>
      <c r="S45" s="21"/>
      <c r="T45" s="34" t="s">
        <v>21</v>
      </c>
      <c r="U45" s="34" t="s">
        <v>20</v>
      </c>
      <c r="V45" s="34" t="s">
        <v>77</v>
      </c>
      <c r="W45" s="34" t="s">
        <v>19</v>
      </c>
      <c r="X45" s="34" t="s">
        <v>18</v>
      </c>
      <c r="Y45" s="34" t="s">
        <v>48</v>
      </c>
      <c r="Z45" s="34" t="s">
        <v>49</v>
      </c>
      <c r="AA45" s="34" t="s">
        <v>17</v>
      </c>
      <c r="AB45" s="106" t="s">
        <v>16</v>
      </c>
      <c r="AC45" s="106" t="s">
        <v>15</v>
      </c>
      <c r="AD45" s="106" t="s">
        <v>14</v>
      </c>
      <c r="AE45" s="106" t="s">
        <v>13</v>
      </c>
      <c r="AF45" s="106" t="s">
        <v>12</v>
      </c>
      <c r="AG45" s="116" t="s">
        <v>11</v>
      </c>
      <c r="AH45" s="118" t="s">
        <v>10</v>
      </c>
      <c r="AI45" s="120" t="s">
        <v>9</v>
      </c>
      <c r="AJ45" s="35">
        <f>(1-R47/F47)</f>
        <v>0.27473118279569897</v>
      </c>
      <c r="AK45" s="35">
        <f>1-(AD47+AM47)/F47</f>
        <v>0.25129086021505376</v>
      </c>
      <c r="AM45" s="106" t="s">
        <v>8</v>
      </c>
      <c r="AN45" s="106" t="s">
        <v>7</v>
      </c>
      <c r="AO45" s="106" t="s">
        <v>37</v>
      </c>
      <c r="AP45" s="106" t="s">
        <v>38</v>
      </c>
      <c r="AQ45" s="106" t="s">
        <v>6</v>
      </c>
      <c r="AR45" s="106" t="s">
        <v>5</v>
      </c>
      <c r="AT45" s="106" t="s">
        <v>4</v>
      </c>
      <c r="AU45" s="106" t="s">
        <v>3</v>
      </c>
      <c r="AV45" s="106" t="s">
        <v>2</v>
      </c>
      <c r="AW45" s="106" t="s">
        <v>1</v>
      </c>
      <c r="AY45" s="106"/>
      <c r="AZ45" s="108"/>
      <c r="BA45" s="52"/>
      <c r="BB45" s="106"/>
    </row>
    <row r="46" spans="1:54" ht="27" customHeight="1" x14ac:dyDescent="0.3">
      <c r="A46" s="126"/>
      <c r="B46" s="134"/>
      <c r="C46" s="134"/>
      <c r="D46" s="117"/>
      <c r="E46" s="117"/>
      <c r="F46" s="31">
        <v>0</v>
      </c>
      <c r="G46" s="33">
        <v>0.1</v>
      </c>
      <c r="H46" s="32">
        <v>1000000</v>
      </c>
      <c r="I46" s="31">
        <v>1</v>
      </c>
      <c r="J46" s="32">
        <v>0</v>
      </c>
      <c r="K46" s="31">
        <v>1</v>
      </c>
      <c r="L46" s="32">
        <v>130000</v>
      </c>
      <c r="M46" s="31">
        <v>0</v>
      </c>
      <c r="N46" s="32">
        <v>70000</v>
      </c>
      <c r="O46" s="31">
        <v>0</v>
      </c>
      <c r="P46" s="32">
        <v>0</v>
      </c>
      <c r="Q46" s="107"/>
      <c r="R46" s="107"/>
      <c r="S46" s="21"/>
      <c r="T46" s="31">
        <f>IF(C47="노트북",7%,IF(C47="저장&amp;주변기기",9%,IF(C47="모니터",7%)))</f>
        <v>7.0000000000000007E-2</v>
      </c>
      <c r="U46" s="31">
        <v>0</v>
      </c>
      <c r="V46" s="31">
        <v>0.02</v>
      </c>
      <c r="W46" s="31">
        <f>IF(G46=0%,20%,0%)</f>
        <v>0</v>
      </c>
      <c r="X46" s="30">
        <v>0</v>
      </c>
      <c r="Y46" s="30">
        <v>1</v>
      </c>
      <c r="Z46" s="53">
        <v>0.92308000000000001</v>
      </c>
      <c r="AA46" s="29">
        <v>0.5</v>
      </c>
      <c r="AB46" s="107"/>
      <c r="AC46" s="107"/>
      <c r="AD46" s="107"/>
      <c r="AE46" s="107"/>
      <c r="AF46" s="107"/>
      <c r="AG46" s="117"/>
      <c r="AH46" s="119"/>
      <c r="AI46" s="121"/>
      <c r="AJ46" s="55" t="s">
        <v>52</v>
      </c>
      <c r="AK46" s="56">
        <f>AJ45-AK45</f>
        <v>2.3440322580645212E-2</v>
      </c>
      <c r="AM46" s="107"/>
      <c r="AN46" s="107"/>
      <c r="AO46" s="107"/>
      <c r="AP46" s="107"/>
      <c r="AQ46" s="107"/>
      <c r="AR46" s="107"/>
      <c r="AS46" s="39"/>
      <c r="AT46" s="107"/>
      <c r="AU46" s="107"/>
      <c r="AV46" s="107"/>
      <c r="AW46" s="107"/>
      <c r="AY46" s="107"/>
      <c r="AZ46" s="109"/>
      <c r="BA46" s="52"/>
      <c r="BB46" s="107"/>
    </row>
    <row r="47" spans="1:54" ht="27" customHeight="1" x14ac:dyDescent="0.3">
      <c r="A47" s="51" t="s">
        <v>76</v>
      </c>
      <c r="B47" s="38" t="s">
        <v>35</v>
      </c>
      <c r="C47" s="27" t="s">
        <v>0</v>
      </c>
      <c r="D47" s="26">
        <v>4608884708</v>
      </c>
      <c r="E47" s="25">
        <v>744000</v>
      </c>
      <c r="F47" s="24">
        <f>ROUNDDOWN(E47/(1-F46),-1)</f>
        <v>744000</v>
      </c>
      <c r="G47" s="110">
        <f>ROUNDDOWN(IF(F47*G46&gt;H46,H46,F47*G46),-1)</f>
        <v>74400</v>
      </c>
      <c r="H47" s="111"/>
      <c r="I47" s="112">
        <f>ROUNDDOWN(IF(F47*I46&gt;J46,J46,F47*I46),-1)</f>
        <v>0</v>
      </c>
      <c r="J47" s="113"/>
      <c r="K47" s="112">
        <f>ROUNDDOWN(IF(F47*K46&gt;L46,L46,F47*K46),-1)</f>
        <v>130000</v>
      </c>
      <c r="L47" s="113"/>
      <c r="M47" s="110">
        <f>ROUNDDOWN(IF(Q47*M46&gt;N46,N46,Q47*M46),-1)</f>
        <v>0</v>
      </c>
      <c r="N47" s="111"/>
      <c r="O47" s="110">
        <f>ROUNDDOWN(IF(F47*O46&gt;P46,P46,F47*O46),-1)</f>
        <v>0</v>
      </c>
      <c r="P47" s="111"/>
      <c r="Q47" s="23">
        <f>F47-G47-I47-K47</f>
        <v>539600</v>
      </c>
      <c r="R47" s="22">
        <f>F47-G47-I47-K47-M47-O47</f>
        <v>539600</v>
      </c>
      <c r="S47" s="21"/>
      <c r="T47" s="20">
        <f>F47*T46</f>
        <v>52080.000000000007</v>
      </c>
      <c r="U47" s="20">
        <f>F47*U46</f>
        <v>0</v>
      </c>
      <c r="V47" s="20">
        <f>(F47-I47)*V46</f>
        <v>14880</v>
      </c>
      <c r="W47" s="19">
        <f>(F47*F46)*W46</f>
        <v>0</v>
      </c>
      <c r="X47" s="19">
        <f>G47*X46</f>
        <v>0</v>
      </c>
      <c r="Y47" s="19">
        <f>I47*Y46</f>
        <v>0</v>
      </c>
      <c r="Z47" s="19">
        <f>K47*Z46</f>
        <v>120000.40000000001</v>
      </c>
      <c r="AA47" s="19">
        <f>M47*AA46</f>
        <v>0</v>
      </c>
      <c r="AB47" s="19">
        <v>0</v>
      </c>
      <c r="AC47" s="16">
        <v>6000</v>
      </c>
      <c r="AD47" s="18">
        <f>F47-T47-U47-V47-W47-AA47-X47-Y47-Z47-AB47</f>
        <v>557039.6</v>
      </c>
      <c r="AE47" s="18">
        <f>F47-T47-U47-V47-W47-X47-Y47-Z47-AA47-AB47-AC47</f>
        <v>551039.6</v>
      </c>
      <c r="AF47" s="17">
        <f>AE47-AG47</f>
        <v>39.599999999976717</v>
      </c>
      <c r="AG47" s="16">
        <v>551000</v>
      </c>
      <c r="AH47" s="15">
        <f>AF47/AG47</f>
        <v>7.1869328493605661E-5</v>
      </c>
      <c r="AI47" s="14">
        <f>1-R47/(AG47-AM47-AN47-AO47)</f>
        <v>2.0689655172413834E-2</v>
      </c>
      <c r="AJ47" s="114">
        <f>(1-R47/F47)-(1-(AD47)/F47)</f>
        <v>2.3440322580645212E-2</v>
      </c>
      <c r="AK47" s="115"/>
      <c r="AM47" s="13"/>
      <c r="AN47" s="12"/>
      <c r="AO47" s="12"/>
      <c r="AP47" s="12"/>
      <c r="AQ47" s="11">
        <f>AE47-(AG47-AM47-AN47-AO47-AP47)</f>
        <v>39.599999999976717</v>
      </c>
      <c r="AR47" s="8">
        <f>AQ47/AG47</f>
        <v>7.1869328493605661E-5</v>
      </c>
      <c r="AT47" s="10">
        <v>0</v>
      </c>
      <c r="AU47" s="10">
        <v>0</v>
      </c>
      <c r="AV47" s="9">
        <f>AQ47-AT47-AU47</f>
        <v>39.599999999976717</v>
      </c>
      <c r="AW47" s="8">
        <f>AV47/AG47</f>
        <v>7.1869328493605661E-5</v>
      </c>
      <c r="AY47" s="7"/>
      <c r="AZ47" s="50"/>
      <c r="BA47" s="52"/>
      <c r="BB47" s="7"/>
    </row>
    <row r="48" spans="1:54" ht="16.5" customHeight="1" x14ac:dyDescent="0.3">
      <c r="C48" s="57"/>
      <c r="D48" s="57"/>
      <c r="E48" s="5">
        <v>699000</v>
      </c>
      <c r="F48" s="4">
        <f>ROUNDDOWN(E48/(1-F46),-1)</f>
        <v>699000</v>
      </c>
      <c r="G48" s="105">
        <f>ROUNDDOWN(IF(F48*G46&gt;H46,H46,F48*G46),-1)</f>
        <v>69900</v>
      </c>
      <c r="H48" s="105"/>
      <c r="J48" s="54">
        <f>F47*4%</f>
        <v>29760</v>
      </c>
      <c r="R48" s="4">
        <v>629000</v>
      </c>
      <c r="X48" s="3">
        <f>G48*X46</f>
        <v>0</v>
      </c>
      <c r="Y48" s="3"/>
      <c r="Z48" s="3"/>
      <c r="AG48" s="4"/>
    </row>
  </sheetData>
  <mergeCells count="312">
    <mergeCell ref="G36:H36"/>
    <mergeCell ref="AW33:AW34"/>
    <mergeCell ref="AY33:AY34"/>
    <mergeCell ref="AZ33:AZ34"/>
    <mergeCell ref="BB33:BB34"/>
    <mergeCell ref="G35:H35"/>
    <mergeCell ref="I35:J35"/>
    <mergeCell ref="K35:L35"/>
    <mergeCell ref="M35:N35"/>
    <mergeCell ref="O35:P35"/>
    <mergeCell ref="AJ35:AK35"/>
    <mergeCell ref="AM33:AM34"/>
    <mergeCell ref="AN33:AN34"/>
    <mergeCell ref="AO33:AO34"/>
    <mergeCell ref="AP33:AP34"/>
    <mergeCell ref="AQ33:AQ34"/>
    <mergeCell ref="AR33:AR34"/>
    <mergeCell ref="AT33:AT34"/>
    <mergeCell ref="AU33:AU34"/>
    <mergeCell ref="AV33:AV34"/>
    <mergeCell ref="A32:A34"/>
    <mergeCell ref="B32:R32"/>
    <mergeCell ref="T32:AH32"/>
    <mergeCell ref="AM32:AR32"/>
    <mergeCell ref="AT32:AW32"/>
    <mergeCell ref="B33:B34"/>
    <mergeCell ref="C33:C34"/>
    <mergeCell ref="D33:D34"/>
    <mergeCell ref="E33:E34"/>
    <mergeCell ref="G33:H33"/>
    <mergeCell ref="I33:J33"/>
    <mergeCell ref="K33:L33"/>
    <mergeCell ref="M33:N33"/>
    <mergeCell ref="O33:P33"/>
    <mergeCell ref="Q33:Q34"/>
    <mergeCell ref="R33:R34"/>
    <mergeCell ref="AB33:AB34"/>
    <mergeCell ref="AC33:AC34"/>
    <mergeCell ref="AD33:AD34"/>
    <mergeCell ref="AE33:AE34"/>
    <mergeCell ref="AF33:AF34"/>
    <mergeCell ref="AG33:AG34"/>
    <mergeCell ref="AH33:AH34"/>
    <mergeCell ref="AI33:AI34"/>
    <mergeCell ref="A1:C1"/>
    <mergeCell ref="A3:F3"/>
    <mergeCell ref="H3:R3"/>
    <mergeCell ref="E4:R4"/>
    <mergeCell ref="G48:H48"/>
    <mergeCell ref="AP45:AP46"/>
    <mergeCell ref="AQ45:AQ46"/>
    <mergeCell ref="AR45:AR46"/>
    <mergeCell ref="AT45:AT46"/>
    <mergeCell ref="AN45:AN46"/>
    <mergeCell ref="AO45:AO46"/>
    <mergeCell ref="R45:R46"/>
    <mergeCell ref="AB45:AB46"/>
    <mergeCell ref="AC45:AC46"/>
    <mergeCell ref="AD45:AD46"/>
    <mergeCell ref="Q45:Q46"/>
    <mergeCell ref="G47:H47"/>
    <mergeCell ref="I47:J47"/>
    <mergeCell ref="K47:L47"/>
    <mergeCell ref="A12:A14"/>
    <mergeCell ref="B12:R12"/>
    <mergeCell ref="T12:AH12"/>
    <mergeCell ref="AM12:AR12"/>
    <mergeCell ref="AT12:AW12"/>
    <mergeCell ref="B13:B14"/>
    <mergeCell ref="C13:C14"/>
    <mergeCell ref="D13:D14"/>
    <mergeCell ref="E13:E14"/>
    <mergeCell ref="AC13:AC14"/>
    <mergeCell ref="AD13:AD14"/>
    <mergeCell ref="AE13:AE14"/>
    <mergeCell ref="AF13:AF14"/>
    <mergeCell ref="G13:H13"/>
    <mergeCell ref="I13:J13"/>
    <mergeCell ref="K13:L13"/>
    <mergeCell ref="M13:N13"/>
    <mergeCell ref="O13:P13"/>
    <mergeCell ref="Q13:Q14"/>
    <mergeCell ref="AW13:AW14"/>
    <mergeCell ref="AY13:AY14"/>
    <mergeCell ref="AZ13:AZ14"/>
    <mergeCell ref="BB13:BB14"/>
    <mergeCell ref="G15:H15"/>
    <mergeCell ref="I15:J15"/>
    <mergeCell ref="K15:L15"/>
    <mergeCell ref="M15:N15"/>
    <mergeCell ref="O15:P15"/>
    <mergeCell ref="AJ15:AK15"/>
    <mergeCell ref="AP13:AP14"/>
    <mergeCell ref="AQ13:AQ14"/>
    <mergeCell ref="AR13:AR14"/>
    <mergeCell ref="AT13:AT14"/>
    <mergeCell ref="AU13:AU14"/>
    <mergeCell ref="AV13:AV14"/>
    <mergeCell ref="AG13:AG14"/>
    <mergeCell ref="AH13:AH14"/>
    <mergeCell ref="AI13:AI14"/>
    <mergeCell ref="AM13:AM14"/>
    <mergeCell ref="AN13:AN14"/>
    <mergeCell ref="AO13:AO14"/>
    <mergeCell ref="R13:R14"/>
    <mergeCell ref="AB13:AB14"/>
    <mergeCell ref="G16:H16"/>
    <mergeCell ref="A17:A19"/>
    <mergeCell ref="B17:R17"/>
    <mergeCell ref="T17:AH17"/>
    <mergeCell ref="AM17:AR17"/>
    <mergeCell ref="AT17:AW17"/>
    <mergeCell ref="B18:B19"/>
    <mergeCell ref="C18:C19"/>
    <mergeCell ref="D18:D19"/>
    <mergeCell ref="E18:E19"/>
    <mergeCell ref="AC18:AC19"/>
    <mergeCell ref="AD18:AD19"/>
    <mergeCell ref="AE18:AE19"/>
    <mergeCell ref="AF18:AF19"/>
    <mergeCell ref="G18:H18"/>
    <mergeCell ref="I18:J18"/>
    <mergeCell ref="K18:L18"/>
    <mergeCell ref="M18:N18"/>
    <mergeCell ref="O18:P18"/>
    <mergeCell ref="Q18:Q19"/>
    <mergeCell ref="AW18:AW19"/>
    <mergeCell ref="AY18:AY19"/>
    <mergeCell ref="AZ18:AZ19"/>
    <mergeCell ref="BB18:BB19"/>
    <mergeCell ref="G20:H20"/>
    <mergeCell ref="I20:J20"/>
    <mergeCell ref="K20:L20"/>
    <mergeCell ref="M20:N20"/>
    <mergeCell ref="O20:P20"/>
    <mergeCell ref="AJ20:AK20"/>
    <mergeCell ref="AP18:AP19"/>
    <mergeCell ref="AQ18:AQ19"/>
    <mergeCell ref="AR18:AR19"/>
    <mergeCell ref="AT18:AT19"/>
    <mergeCell ref="AU18:AU19"/>
    <mergeCell ref="AV18:AV19"/>
    <mergeCell ref="AG18:AG19"/>
    <mergeCell ref="AH18:AH19"/>
    <mergeCell ref="AI18:AI19"/>
    <mergeCell ref="AM18:AM19"/>
    <mergeCell ref="AN18:AN19"/>
    <mergeCell ref="AO18:AO19"/>
    <mergeCell ref="R18:R19"/>
    <mergeCell ref="AB18:AB19"/>
    <mergeCell ref="G21:H21"/>
    <mergeCell ref="A39:A41"/>
    <mergeCell ref="B39:R39"/>
    <mergeCell ref="T39:AH39"/>
    <mergeCell ref="AM39:AR39"/>
    <mergeCell ref="AT39:AW39"/>
    <mergeCell ref="B40:B41"/>
    <mergeCell ref="C40:C41"/>
    <mergeCell ref="D40:D41"/>
    <mergeCell ref="E40:E41"/>
    <mergeCell ref="AB40:AB41"/>
    <mergeCell ref="AC40:AC41"/>
    <mergeCell ref="AD40:AD41"/>
    <mergeCell ref="AE40:AE41"/>
    <mergeCell ref="AF40:AF41"/>
    <mergeCell ref="G40:H40"/>
    <mergeCell ref="I40:J40"/>
    <mergeCell ref="K40:L40"/>
    <mergeCell ref="M40:N40"/>
    <mergeCell ref="O40:P40"/>
    <mergeCell ref="Q40:Q41"/>
    <mergeCell ref="A22:A24"/>
    <mergeCell ref="B22:R22"/>
    <mergeCell ref="T22:AH22"/>
    <mergeCell ref="G43:H43"/>
    <mergeCell ref="AW40:AW41"/>
    <mergeCell ref="AY40:AY41"/>
    <mergeCell ref="AZ40:AZ41"/>
    <mergeCell ref="BB40:BB41"/>
    <mergeCell ref="G42:H42"/>
    <mergeCell ref="I42:J42"/>
    <mergeCell ref="K42:L42"/>
    <mergeCell ref="M42:N42"/>
    <mergeCell ref="O42:P42"/>
    <mergeCell ref="AJ42:AK42"/>
    <mergeCell ref="AP40:AP41"/>
    <mergeCell ref="AQ40:AQ41"/>
    <mergeCell ref="AR40:AR41"/>
    <mergeCell ref="AT40:AT41"/>
    <mergeCell ref="AU40:AU41"/>
    <mergeCell ref="AV40:AV41"/>
    <mergeCell ref="AG40:AG41"/>
    <mergeCell ref="AH40:AH41"/>
    <mergeCell ref="AI40:AI41"/>
    <mergeCell ref="AM40:AM41"/>
    <mergeCell ref="AN40:AN41"/>
    <mergeCell ref="AO40:AO41"/>
    <mergeCell ref="R40:R41"/>
    <mergeCell ref="A44:A46"/>
    <mergeCell ref="B44:R44"/>
    <mergeCell ref="T44:AH44"/>
    <mergeCell ref="AM44:AR44"/>
    <mergeCell ref="AT44:AW44"/>
    <mergeCell ref="B45:B46"/>
    <mergeCell ref="C45:C46"/>
    <mergeCell ref="D45:D46"/>
    <mergeCell ref="E45:E46"/>
    <mergeCell ref="G45:H45"/>
    <mergeCell ref="I45:J45"/>
    <mergeCell ref="K45:L45"/>
    <mergeCell ref="M45:N45"/>
    <mergeCell ref="O45:P45"/>
    <mergeCell ref="M47:N47"/>
    <mergeCell ref="O47:P47"/>
    <mergeCell ref="AJ47:AK47"/>
    <mergeCell ref="AU45:AU46"/>
    <mergeCell ref="AV45:AV46"/>
    <mergeCell ref="AW45:AW46"/>
    <mergeCell ref="AY45:AY46"/>
    <mergeCell ref="AZ45:AZ46"/>
    <mergeCell ref="BB45:BB46"/>
    <mergeCell ref="AE45:AE46"/>
    <mergeCell ref="AF45:AF46"/>
    <mergeCell ref="AG45:AG46"/>
    <mergeCell ref="AH45:AH46"/>
    <mergeCell ref="AI45:AI46"/>
    <mergeCell ref="AM45:AM46"/>
    <mergeCell ref="AM22:AR22"/>
    <mergeCell ref="AT22:AW22"/>
    <mergeCell ref="B23:B24"/>
    <mergeCell ref="C23:C24"/>
    <mergeCell ref="D23:D24"/>
    <mergeCell ref="E23:E24"/>
    <mergeCell ref="G23:H23"/>
    <mergeCell ref="I23:J23"/>
    <mergeCell ref="K23:L23"/>
    <mergeCell ref="M23:N23"/>
    <mergeCell ref="O23:P23"/>
    <mergeCell ref="Q23:Q24"/>
    <mergeCell ref="R23:R24"/>
    <mergeCell ref="AB23:AB24"/>
    <mergeCell ref="AC23:AC24"/>
    <mergeCell ref="AD23:AD24"/>
    <mergeCell ref="AE23:AE24"/>
    <mergeCell ref="AF23:AF24"/>
    <mergeCell ref="AG23:AG24"/>
    <mergeCell ref="AH23:AH24"/>
    <mergeCell ref="AI23:AI24"/>
    <mergeCell ref="AM23:AM24"/>
    <mergeCell ref="AN23:AN24"/>
    <mergeCell ref="AO23:AO24"/>
    <mergeCell ref="A27:A29"/>
    <mergeCell ref="B27:R27"/>
    <mergeCell ref="T27:AH27"/>
    <mergeCell ref="AM27:AR27"/>
    <mergeCell ref="AT27:AW27"/>
    <mergeCell ref="B28:B29"/>
    <mergeCell ref="C28:C29"/>
    <mergeCell ref="D28:D29"/>
    <mergeCell ref="E28:E29"/>
    <mergeCell ref="G28:H28"/>
    <mergeCell ref="I28:J28"/>
    <mergeCell ref="K28:L28"/>
    <mergeCell ref="M28:N28"/>
    <mergeCell ref="O28:P28"/>
    <mergeCell ref="Q28:Q29"/>
    <mergeCell ref="R28:R29"/>
    <mergeCell ref="AG28:AG29"/>
    <mergeCell ref="AH28:AH29"/>
    <mergeCell ref="AI28:AI29"/>
    <mergeCell ref="AM28:AM29"/>
    <mergeCell ref="BB23:BB24"/>
    <mergeCell ref="G25:H25"/>
    <mergeCell ref="I25:J25"/>
    <mergeCell ref="K25:L25"/>
    <mergeCell ref="M25:N25"/>
    <mergeCell ref="O25:P25"/>
    <mergeCell ref="AJ25:AK25"/>
    <mergeCell ref="G26:H26"/>
    <mergeCell ref="AP23:AP24"/>
    <mergeCell ref="AQ23:AQ24"/>
    <mergeCell ref="AR23:AR24"/>
    <mergeCell ref="AT23:AT24"/>
    <mergeCell ref="AU23:AU24"/>
    <mergeCell ref="AV23:AV24"/>
    <mergeCell ref="AW23:AW24"/>
    <mergeCell ref="AY23:AY24"/>
    <mergeCell ref="AZ23:AZ24"/>
    <mergeCell ref="G31:H31"/>
    <mergeCell ref="AY28:AY29"/>
    <mergeCell ref="AZ28:AZ29"/>
    <mergeCell ref="BB28:BB29"/>
    <mergeCell ref="G30:H30"/>
    <mergeCell ref="I30:J30"/>
    <mergeCell ref="K30:L30"/>
    <mergeCell ref="M30:N30"/>
    <mergeCell ref="O30:P30"/>
    <mergeCell ref="AJ30:AK30"/>
    <mergeCell ref="AN28:AN29"/>
    <mergeCell ref="AO28:AO29"/>
    <mergeCell ref="AP28:AP29"/>
    <mergeCell ref="AQ28:AQ29"/>
    <mergeCell ref="AR28:AR29"/>
    <mergeCell ref="AT28:AT29"/>
    <mergeCell ref="AU28:AU29"/>
    <mergeCell ref="AV28:AV29"/>
    <mergeCell ref="AW28:AW29"/>
    <mergeCell ref="AB28:AB29"/>
    <mergeCell ref="AC28:AC29"/>
    <mergeCell ref="AD28:AD29"/>
    <mergeCell ref="AE28:AE29"/>
    <mergeCell ref="AF28:AF29"/>
  </mergeCells>
  <phoneticPr fontId="3" type="noConversion"/>
  <dataValidations count="1">
    <dataValidation type="list" allowBlank="1" showInputMessage="1" showErrorMessage="1" sqref="C15 C42 C20 C47 C25 C30 C35" xr:uid="{39F5B787-8E54-4922-A188-1980BC881E92}">
      <formula1>카테고리</formula1>
    </dataValidation>
  </dataValidations>
  <pageMargins left="0.7" right="0.7" top="0.75" bottom="0.75" header="0.3" footer="0.3"/>
  <pageSetup paperSize="9"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7</vt:i4>
      </vt:variant>
    </vt:vector>
  </HeadingPairs>
  <TitlesOfParts>
    <vt:vector size="7" baseType="lpstr">
      <vt:lpstr>1번 랜더스행사 26-0330(월)~0408(목)</vt:lpstr>
      <vt:lpstr>2번 디지털 빡세일 26-0413(월)~0428(일)</vt:lpstr>
      <vt:lpstr>1번 빅스마일데이 26-0506(수)~0519(화)</vt:lpstr>
      <vt:lpstr>테스트(빅스)</vt:lpstr>
      <vt:lpstr>XG 모바일 전용</vt:lpstr>
      <vt:lpstr>테스트</vt:lpstr>
      <vt:lpstr>이든-S72002 결제시뮬</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yusang ahn</dc:creator>
  <cp:lastModifiedBy>기호 김</cp:lastModifiedBy>
  <cp:lastPrinted>2024-08-09T01:14:26Z</cp:lastPrinted>
  <dcterms:created xsi:type="dcterms:W3CDTF">2024-03-07T02:40:23Z</dcterms:created>
  <dcterms:modified xsi:type="dcterms:W3CDTF">2026-04-30T10:22:28Z</dcterms:modified>
</cp:coreProperties>
</file>