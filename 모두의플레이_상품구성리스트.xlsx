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일동\0.RAZER\미르게이밍\"/>
    </mc:Choice>
  </mc:AlternateContent>
  <xr:revisionPtr revIDLastSave="0" documentId="13_ncr:1_{E390BA51-A217-4734-B45E-422802BC8DC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H30" i="1" s="1"/>
  <c r="I30" i="1"/>
  <c r="I35" i="1"/>
  <c r="G35" i="1"/>
  <c r="H35" i="1" s="1"/>
  <c r="I34" i="1"/>
  <c r="G34" i="1"/>
  <c r="H34" i="1" s="1"/>
  <c r="I33" i="1"/>
  <c r="G33" i="1"/>
  <c r="H33" i="1" s="1"/>
  <c r="I32" i="1"/>
  <c r="G32" i="1"/>
  <c r="H32" i="1" s="1"/>
  <c r="I31" i="1"/>
  <c r="G31" i="1"/>
  <c r="H31" i="1" s="1"/>
  <c r="I29" i="1"/>
  <c r="G29" i="1"/>
  <c r="H29" i="1" s="1"/>
  <c r="I39" i="1"/>
  <c r="G39" i="1"/>
  <c r="H39" i="1" s="1"/>
  <c r="I38" i="1"/>
  <c r="G38" i="1"/>
  <c r="H38" i="1" s="1"/>
  <c r="I37" i="1"/>
  <c r="G37" i="1"/>
  <c r="H37" i="1" s="1"/>
  <c r="I36" i="1"/>
  <c r="G36" i="1"/>
  <c r="H36" i="1" s="1"/>
  <c r="I28" i="1"/>
  <c r="G28" i="1"/>
  <c r="H28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<sst xmlns="http://schemas.openxmlformats.org/spreadsheetml/2006/main" count="104" uniqueCount="102">
  <si>
    <t>5/23 - 5/29</t>
    <phoneticPr fontId="5" type="noConversion"/>
  </si>
  <si>
    <t>스타필드 고양 모두의 플레e</t>
    <phoneticPr fontId="5" type="noConversion"/>
  </si>
  <si>
    <t>품번</t>
  </si>
  <si>
    <t>품명</t>
  </si>
  <si>
    <t>정상가</t>
  </si>
  <si>
    <t>행사가</t>
  </si>
  <si>
    <t>최종가</t>
    <phoneticPr fontId="5" type="noConversion"/>
  </si>
  <si>
    <t>인하금액</t>
    <phoneticPr fontId="5" type="noConversion"/>
  </si>
  <si>
    <t>인하율</t>
    <phoneticPr fontId="5" type="noConversion"/>
  </si>
  <si>
    <t>입문자 SET</t>
    <phoneticPr fontId="5" type="noConversion"/>
  </si>
  <si>
    <t>RZ01-03850100-R3M1</t>
  </si>
  <si>
    <t>Razer DeathAdder Essential Black</t>
  </si>
  <si>
    <t>RZ01-03850200-R3M1</t>
  </si>
  <si>
    <t>Razer DeathAdder Essential White</t>
  </si>
  <si>
    <t>RZ01-04130100-R3A1</t>
  </si>
  <si>
    <t>Razer DeathAdder V2 X HyperSpeed</t>
  </si>
  <si>
    <t>RZ03-04881300-R3K</t>
  </si>
  <si>
    <t>Razer Ornata V3 TKL KR</t>
    <phoneticPr fontId="5" type="noConversion"/>
  </si>
  <si>
    <t>RZ02-03330400-R3M1</t>
  </si>
  <si>
    <t>Razer Gigantus V2 XXL</t>
    <phoneticPr fontId="5" type="noConversion"/>
  </si>
  <si>
    <t>RZ04-03750300-R3M</t>
  </si>
  <si>
    <t xml:space="preserve">Razer Kraken V3 X Plus </t>
    <phoneticPr fontId="5" type="noConversion"/>
  </si>
  <si>
    <t>PRO SET</t>
    <phoneticPr fontId="5" type="noConversion"/>
  </si>
  <si>
    <t>RZ01-05120100-R3A1</t>
  </si>
  <si>
    <t>Razer Viper V3 Pro</t>
  </si>
  <si>
    <t>RZ01-05120200-R3A1</t>
  </si>
  <si>
    <t>Razer Viper V3 Pro White</t>
  </si>
  <si>
    <t>RZ01-05120500-R3M1</t>
  </si>
  <si>
    <t>Razer Viper V3 Pro Faker Edition</t>
  </si>
  <si>
    <t>RZ01-04620100-R3A1</t>
  </si>
  <si>
    <t xml:space="preserve">Razer Basilisk V3 Pro </t>
  </si>
  <si>
    <t>RZ01-04620200-R3A1</t>
  </si>
  <si>
    <t xml:space="preserve">Razer Basilisk V3 Pro White </t>
  </si>
  <si>
    <t>RZ03-04971400-R3K1</t>
  </si>
  <si>
    <t>Razer Huntsman V3 Pro KR</t>
    <phoneticPr fontId="5" type="noConversion"/>
  </si>
  <si>
    <t>RZ03-04981400-R3K1</t>
  </si>
  <si>
    <t>Razer Huntsman V3 Pro TKL KR</t>
  </si>
  <si>
    <t>RZ03-04981700-R3M1</t>
  </si>
  <si>
    <t>Razer Huntsman V3 Pro TKL White US</t>
  </si>
  <si>
    <t>RZ03-04991400-R3K1</t>
  </si>
  <si>
    <t>Razer Huntsman V3 Pro Mini KR</t>
    <phoneticPr fontId="5" type="noConversion"/>
  </si>
  <si>
    <t>RZ03-04991700-R3M1</t>
  </si>
  <si>
    <t>Razer Huntsman V3 Pro Mini White US</t>
  </si>
  <si>
    <t>RZ02-05490600-R3M1</t>
  </si>
  <si>
    <t>Razer Gigantus V2 PRO L Balance</t>
  </si>
  <si>
    <t>RZ02-05490400-R3M1</t>
  </si>
  <si>
    <t>Razer Gigantus V2 PRO L Control</t>
  </si>
  <si>
    <t>RZ02-05490100-R3M1</t>
  </si>
  <si>
    <t>Razer Gigantus V2 PRO L Max Control</t>
  </si>
  <si>
    <t>RZ02-05490900-R3M1</t>
  </si>
  <si>
    <t>Razer Gigantus V2 PRO L Speed</t>
  </si>
  <si>
    <t>RZ01-04650100-R3M1</t>
  </si>
  <si>
    <t>Razer Cobra</t>
  </si>
  <si>
    <t>RZ01-05330100-R3A1</t>
  </si>
  <si>
    <t>Razer DeathAdder V4 Pro</t>
  </si>
  <si>
    <t>RZ01-05330200-R3A1</t>
  </si>
  <si>
    <t>Razer DeathAdder V4 Pro White</t>
  </si>
  <si>
    <t>RZ03-03931800-R3K1</t>
  </si>
  <si>
    <t>Razer Huntsman V2 Linear KR</t>
  </si>
  <si>
    <t>RZ03-05480700-R3K1</t>
  </si>
  <si>
    <t xml:space="preserve">Razer BlackWidow V4 TKL HyperSpeed KR </t>
    <phoneticPr fontId="5" type="noConversion"/>
  </si>
  <si>
    <t>RZ04-05180100-R3M1</t>
  </si>
  <si>
    <t xml:space="preserve">Razer Kraken V4 X </t>
    <phoneticPr fontId="5" type="noConversion"/>
  </si>
  <si>
    <t>RZ03-05001400-R3K1</t>
  </si>
  <si>
    <t xml:space="preserve">Razer BlackWidow V4 75% </t>
    <phoneticPr fontId="5" type="noConversion"/>
  </si>
  <si>
    <t>RZ03-05003000-R3K1</t>
  </si>
  <si>
    <t>Razer BlackWidow V4 75% White</t>
    <phoneticPr fontId="5" type="noConversion"/>
  </si>
  <si>
    <t>RZ01-04660100-R3A1</t>
  </si>
  <si>
    <t>Razer Cobra Pro</t>
    <phoneticPr fontId="5" type="noConversion"/>
  </si>
  <si>
    <t>RZ01-04660200-R3A1</t>
  </si>
  <si>
    <t>Razer Cobra Pro White</t>
    <phoneticPr fontId="5" type="noConversion"/>
  </si>
  <si>
    <t>RZ01-04640100-R3M1</t>
  </si>
  <si>
    <t>Razer DeathAdder V3</t>
    <phoneticPr fontId="5" type="noConversion"/>
  </si>
  <si>
    <t>RZ04-04530100-R3M1</t>
  </si>
  <si>
    <t>RZ04-04530200-R3M1</t>
  </si>
  <si>
    <t>Razer BlackShark V2 Pro 2023</t>
    <phoneticPr fontId="3" type="noConversion"/>
  </si>
  <si>
    <t>Razer BlackShark V2 Pro White 2023</t>
    <phoneticPr fontId="3" type="noConversion"/>
  </si>
  <si>
    <t>밸런스 SET</t>
    <phoneticPr fontId="5" type="noConversion"/>
  </si>
  <si>
    <t>마스터 SET</t>
    <phoneticPr fontId="3" type="noConversion"/>
  </si>
  <si>
    <t>Z02-03330200-R3M1</t>
  </si>
  <si>
    <t xml:space="preserve">Razer Gigantus V2 Medium </t>
    <phoneticPr fontId="5" type="noConversion"/>
  </si>
  <si>
    <t>↓ 전제품 20% 할인 반반부담 (Viper V4 pro ,토마호크케이스, 체어제외)</t>
    <phoneticPr fontId="5" type="noConversion"/>
  </si>
  <si>
    <r>
      <rPr>
        <sz val="10"/>
        <color theme="1"/>
        <rFont val="맑은 고딕"/>
        <family val="2"/>
        <charset val="129"/>
      </rPr>
      <t xml:space="preserve">바이퍼 </t>
    </r>
    <r>
      <rPr>
        <sz val="10"/>
        <color theme="1"/>
        <rFont val="Arial"/>
        <family val="2"/>
      </rPr>
      <t xml:space="preserve">V3 </t>
    </r>
    <r>
      <rPr>
        <sz val="10"/>
        <color theme="1"/>
        <rFont val="맑은 고딕"/>
        <family val="2"/>
        <charset val="129"/>
      </rPr>
      <t>프로 블랙 / 화이트 / 페이커에디션</t>
    </r>
    <phoneticPr fontId="3" type="noConversion"/>
  </si>
  <si>
    <t>데스에더 에센셜 블랙 / 화이트</t>
    <phoneticPr fontId="3" type="noConversion"/>
  </si>
  <si>
    <t>데스에더 V2 X 하이퍼스피드</t>
  </si>
  <si>
    <t>바실리스크 V3 프로 블랙 / 화이트</t>
    <phoneticPr fontId="3" type="noConversion"/>
  </si>
  <si>
    <t>헌츠맨 V3 프로 풀배열 / 텐키리스 / 미니</t>
    <phoneticPr fontId="3" type="noConversion"/>
  </si>
  <si>
    <t>블랙샤크 V2 프로 2023 블랙 / 화이트</t>
    <phoneticPr fontId="3" type="noConversion"/>
  </si>
  <si>
    <t>기간투스 V2 PRO 4종</t>
    <phoneticPr fontId="3" type="noConversion"/>
  </si>
  <si>
    <t>코브라</t>
    <phoneticPr fontId="3" type="noConversion"/>
  </si>
  <si>
    <t>데스에더 V3</t>
    <phoneticPr fontId="3" type="noConversion"/>
  </si>
  <si>
    <t>블랙위도우 V4 TKL 하이퍼스피드</t>
    <phoneticPr fontId="3" type="noConversion"/>
  </si>
  <si>
    <r>
      <rPr>
        <sz val="10"/>
        <color theme="1"/>
        <rFont val="맑은 고딕"/>
        <family val="2"/>
        <charset val="129"/>
      </rPr>
      <t xml:space="preserve">기간투스 </t>
    </r>
    <r>
      <rPr>
        <sz val="10"/>
        <color theme="1"/>
        <rFont val="Arial"/>
        <family val="2"/>
      </rPr>
      <t xml:space="preserve">V2 </t>
    </r>
    <r>
      <rPr>
        <sz val="10"/>
        <color theme="1"/>
        <rFont val="맑은 고딕"/>
        <family val="2"/>
        <charset val="129"/>
      </rPr>
      <t>미디움</t>
    </r>
    <phoneticPr fontId="3" type="noConversion"/>
  </si>
  <si>
    <t>기간투스 V2 XXL</t>
    <phoneticPr fontId="3" type="noConversion"/>
  </si>
  <si>
    <t>크라켄 V4 X</t>
    <phoneticPr fontId="3" type="noConversion"/>
  </si>
  <si>
    <t>데스에더 V4 프로 블랙 / 화이트</t>
    <phoneticPr fontId="3" type="noConversion"/>
  </si>
  <si>
    <t>코브라 프로 블랙 / 화이트</t>
    <phoneticPr fontId="3" type="noConversion"/>
  </si>
  <si>
    <t>헌츠맨 V2 리니어</t>
    <phoneticPr fontId="3" type="noConversion"/>
  </si>
  <si>
    <t>블랙위도우 V4 75% 블랙 / 화이트</t>
    <phoneticPr fontId="3" type="noConversion"/>
  </si>
  <si>
    <r>
      <rPr>
        <sz val="10"/>
        <color theme="1"/>
        <rFont val="맑은 고딕"/>
        <family val="2"/>
        <charset val="129"/>
      </rPr>
      <t>기간투스</t>
    </r>
    <r>
      <rPr>
        <sz val="10"/>
        <color theme="1"/>
        <rFont val="Arial"/>
        <family val="2"/>
      </rPr>
      <t xml:space="preserve"> V2 XXL</t>
    </r>
    <phoneticPr fontId="3" type="noConversion"/>
  </si>
  <si>
    <t>오나타 V3 TKL</t>
    <phoneticPr fontId="3" type="noConversion"/>
  </si>
  <si>
    <t>크라켄 V3 X 플러스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</si>
</sst>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b/>
      <sz val="10"/>
      <color rgb="FFFFFFFF"/>
      <name val="Arial"/>
      <family val="2"/>
    </font>
    <font>
      <b/>
      <sz val="10"/>
      <color rgb="FFFFFFFF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6"/>
      <color rgb="FFFF0000"/>
      <name val="맑은 고딕"/>
      <family val="3"/>
      <charset val="129"/>
      <scheme val="minor"/>
    </font>
    <font>
      <sz val="10"/>
      <color theme="1"/>
      <name val="Arial"/>
      <family val="2"/>
      <charset val="129"/>
    </font>
    <font>
      <sz val="10"/>
      <color rgb="FFFF0000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3B05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0" fillId="0" borderId="0" xfId="0" applyAlignment="1">
      <alignment vertical="center"/>
    </xf>
    <xf numFmtId="22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3" fontId="7" fillId="0" borderId="2" xfId="0" applyNumberFormat="1" applyFont="1" applyBorder="1" applyAlignment="1">
      <alignment horizontal="right" vertical="center"/>
    </xf>
    <xf numFmtId="3" fontId="13" fillId="5" borderId="2" xfId="0" applyNumberFormat="1" applyFont="1" applyFill="1" applyBorder="1" applyAlignment="1">
      <alignment horizontal="right" vertical="center"/>
    </xf>
    <xf numFmtId="3" fontId="14" fillId="0" borderId="2" xfId="0" applyNumberFormat="1" applyFont="1" applyBorder="1" applyAlignment="1">
      <alignment horizontal="right" vertical="center"/>
    </xf>
    <xf numFmtId="176" fontId="12" fillId="0" borderId="2" xfId="0" applyNumberFormat="1" applyFont="1" applyBorder="1" applyAlignment="1">
      <alignment vertical="center"/>
    </xf>
    <xf numFmtId="9" fontId="12" fillId="0" borderId="2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" fontId="13" fillId="0" borderId="2" xfId="0" applyNumberFormat="1" applyFont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7" fillId="8" borderId="2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</cellXfs>
  <cellStyles count="2">
    <cellStyle name="쉼표 [0] 4" xfId="1" xr:uid="{B80A39DD-1FEF-4670-96EE-AB00C20B146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0"/>
  <sheetViews>
    <sheetView tabSelected="1" workbookViewId="0">
      <selection activeCell="C11" sqref="C11:C13"/>
    </sheetView>
  </sheetViews>
  <sheetFormatPr defaultRowHeight="16.5" x14ac:dyDescent="0.3"/>
  <cols>
    <col min="1" max="1" width="9.875" customWidth="1"/>
    <col min="2" max="2" width="18.625" bestFit="1" customWidth="1"/>
    <col min="3" max="3" width="40.375" customWidth="1"/>
    <col min="4" max="4" width="36.375" bestFit="1" customWidth="1"/>
    <col min="5" max="6" width="14" customWidth="1"/>
  </cols>
  <sheetData>
    <row r="2" spans="1:9" s="1" customFormat="1" x14ac:dyDescent="0.3">
      <c r="B2" s="2" t="s">
        <v>0</v>
      </c>
      <c r="C2" s="2"/>
      <c r="D2" s="3" t="s">
        <v>1</v>
      </c>
      <c r="E2" s="4"/>
      <c r="F2" s="5"/>
      <c r="G2" s="5"/>
      <c r="H2" s="6"/>
      <c r="I2" s="6"/>
    </row>
    <row r="3" spans="1:9" s="7" customFormat="1" x14ac:dyDescent="0.3">
      <c r="B3" s="8"/>
      <c r="C3" s="8"/>
      <c r="D3" s="8"/>
      <c r="E3" s="9"/>
      <c r="F3" s="10"/>
      <c r="G3" s="11"/>
      <c r="H3" s="11"/>
      <c r="I3" s="11"/>
    </row>
    <row r="4" spans="1:9" s="12" customFormat="1" x14ac:dyDescent="0.3">
      <c r="B4" s="13" t="s">
        <v>2</v>
      </c>
      <c r="C4" s="13"/>
      <c r="D4" s="13" t="s">
        <v>3</v>
      </c>
      <c r="E4" s="13" t="s">
        <v>4</v>
      </c>
      <c r="F4" s="13" t="s">
        <v>5</v>
      </c>
      <c r="G4" s="14" t="s">
        <v>6</v>
      </c>
      <c r="H4" s="15" t="s">
        <v>7</v>
      </c>
      <c r="I4" s="15" t="s">
        <v>8</v>
      </c>
    </row>
    <row r="5" spans="1:9" s="22" customFormat="1" ht="15.6" customHeight="1" x14ac:dyDescent="0.3">
      <c r="A5" s="29" t="s">
        <v>9</v>
      </c>
      <c r="B5" s="16" t="s">
        <v>10</v>
      </c>
      <c r="C5" s="45" t="s">
        <v>83</v>
      </c>
      <c r="D5" s="16" t="s">
        <v>11</v>
      </c>
      <c r="E5" s="17">
        <v>25900</v>
      </c>
      <c r="F5" s="18">
        <v>22900</v>
      </c>
      <c r="G5" s="19">
        <f t="shared" ref="G5:G39" si="0">F5</f>
        <v>22900</v>
      </c>
      <c r="H5" s="20">
        <f t="shared" ref="H5:H27" si="1">E5-G5</f>
        <v>3000</v>
      </c>
      <c r="I5" s="21">
        <f t="shared" ref="I5:I27" si="2">1-(F5/E5)</f>
        <v>0.11583011583011582</v>
      </c>
    </row>
    <row r="6" spans="1:9" s="22" customFormat="1" ht="15.6" customHeight="1" x14ac:dyDescent="0.3">
      <c r="A6" s="30"/>
      <c r="B6" s="16" t="s">
        <v>12</v>
      </c>
      <c r="C6" s="46"/>
      <c r="D6" s="16" t="s">
        <v>13</v>
      </c>
      <c r="E6" s="17">
        <v>25900</v>
      </c>
      <c r="F6" s="18">
        <v>22900</v>
      </c>
      <c r="G6" s="19">
        <f t="shared" si="0"/>
        <v>22900</v>
      </c>
      <c r="H6" s="20">
        <f t="shared" si="1"/>
        <v>3000</v>
      </c>
      <c r="I6" s="21">
        <f t="shared" si="2"/>
        <v>0.11583011583011582</v>
      </c>
    </row>
    <row r="7" spans="1:9" s="22" customFormat="1" ht="15.6" customHeight="1" x14ac:dyDescent="0.3">
      <c r="A7" s="30"/>
      <c r="B7" s="16" t="s">
        <v>14</v>
      </c>
      <c r="C7" s="40" t="s">
        <v>84</v>
      </c>
      <c r="D7" s="16" t="s">
        <v>15</v>
      </c>
      <c r="E7" s="17">
        <v>59900</v>
      </c>
      <c r="F7" s="23">
        <v>49900</v>
      </c>
      <c r="G7" s="19">
        <f t="shared" si="0"/>
        <v>49900</v>
      </c>
      <c r="H7" s="20">
        <f t="shared" si="1"/>
        <v>10000</v>
      </c>
      <c r="I7" s="21">
        <f t="shared" si="2"/>
        <v>0.1669449081803005</v>
      </c>
    </row>
    <row r="8" spans="1:9" s="22" customFormat="1" ht="15.6" customHeight="1" x14ac:dyDescent="0.3">
      <c r="A8" s="30"/>
      <c r="B8" s="16" t="s">
        <v>16</v>
      </c>
      <c r="C8" s="40" t="s">
        <v>100</v>
      </c>
      <c r="D8" s="16" t="s">
        <v>17</v>
      </c>
      <c r="E8" s="17">
        <v>104900</v>
      </c>
      <c r="F8" s="23">
        <v>79900</v>
      </c>
      <c r="G8" s="19">
        <f t="shared" si="0"/>
        <v>79900</v>
      </c>
      <c r="H8" s="20">
        <f t="shared" si="1"/>
        <v>25000</v>
      </c>
      <c r="I8" s="21">
        <f t="shared" si="2"/>
        <v>0.2383222116301239</v>
      </c>
    </row>
    <row r="9" spans="1:9" s="22" customFormat="1" ht="15.6" customHeight="1" x14ac:dyDescent="0.3">
      <c r="A9" s="30"/>
      <c r="B9" s="16" t="s">
        <v>18</v>
      </c>
      <c r="C9" s="40" t="s">
        <v>93</v>
      </c>
      <c r="D9" s="16" t="s">
        <v>19</v>
      </c>
      <c r="E9" s="17">
        <v>49900</v>
      </c>
      <c r="F9" s="23">
        <v>39900</v>
      </c>
      <c r="G9" s="19">
        <f t="shared" si="0"/>
        <v>39900</v>
      </c>
      <c r="H9" s="20">
        <f t="shared" si="1"/>
        <v>10000</v>
      </c>
      <c r="I9" s="21">
        <f t="shared" si="2"/>
        <v>0.20040080160320639</v>
      </c>
    </row>
    <row r="10" spans="1:9" s="22" customFormat="1" ht="15.6" customHeight="1" x14ac:dyDescent="0.3">
      <c r="A10" s="31"/>
      <c r="B10" s="16" t="s">
        <v>20</v>
      </c>
      <c r="C10" s="40" t="s">
        <v>101</v>
      </c>
      <c r="D10" s="16" t="s">
        <v>21</v>
      </c>
      <c r="E10" s="17">
        <v>89000</v>
      </c>
      <c r="F10" s="23">
        <v>59000</v>
      </c>
      <c r="G10" s="19">
        <f t="shared" si="0"/>
        <v>59000</v>
      </c>
      <c r="H10" s="20">
        <f t="shared" si="1"/>
        <v>30000</v>
      </c>
      <c r="I10" s="21">
        <f t="shared" si="2"/>
        <v>0.3370786516853933</v>
      </c>
    </row>
    <row r="11" spans="1:9" s="22" customFormat="1" ht="15.6" customHeight="1" x14ac:dyDescent="0.3">
      <c r="A11" s="32" t="s">
        <v>22</v>
      </c>
      <c r="B11" s="24" t="s">
        <v>23</v>
      </c>
      <c r="C11" s="47" t="s">
        <v>82</v>
      </c>
      <c r="D11" s="24" t="s">
        <v>24</v>
      </c>
      <c r="E11" s="17">
        <v>239000</v>
      </c>
      <c r="F11" s="18">
        <v>199000</v>
      </c>
      <c r="G11" s="19">
        <f t="shared" si="0"/>
        <v>199000</v>
      </c>
      <c r="H11" s="20">
        <f t="shared" si="1"/>
        <v>40000</v>
      </c>
      <c r="I11" s="21">
        <f t="shared" si="2"/>
        <v>0.16736401673640167</v>
      </c>
    </row>
    <row r="12" spans="1:9" s="22" customFormat="1" ht="15.6" customHeight="1" x14ac:dyDescent="0.3">
      <c r="A12" s="33"/>
      <c r="B12" s="24" t="s">
        <v>25</v>
      </c>
      <c r="C12" s="48"/>
      <c r="D12" s="24" t="s">
        <v>26</v>
      </c>
      <c r="E12" s="17">
        <v>239000</v>
      </c>
      <c r="F12" s="18">
        <v>199000</v>
      </c>
      <c r="G12" s="19">
        <f t="shared" si="0"/>
        <v>199000</v>
      </c>
      <c r="H12" s="20">
        <f t="shared" si="1"/>
        <v>40000</v>
      </c>
      <c r="I12" s="21">
        <f t="shared" si="2"/>
        <v>0.16736401673640167</v>
      </c>
    </row>
    <row r="13" spans="1:9" s="22" customFormat="1" ht="15.6" customHeight="1" x14ac:dyDescent="0.3">
      <c r="A13" s="33"/>
      <c r="B13" s="24" t="s">
        <v>27</v>
      </c>
      <c r="C13" s="49"/>
      <c r="D13" s="24" t="s">
        <v>28</v>
      </c>
      <c r="E13" s="17">
        <v>279000</v>
      </c>
      <c r="F13" s="18">
        <v>229000</v>
      </c>
      <c r="G13" s="19">
        <f t="shared" si="0"/>
        <v>229000</v>
      </c>
      <c r="H13" s="20">
        <f t="shared" si="1"/>
        <v>50000</v>
      </c>
      <c r="I13" s="21">
        <f t="shared" si="2"/>
        <v>0.17921146953405021</v>
      </c>
    </row>
    <row r="14" spans="1:9" s="22" customFormat="1" ht="15.6" customHeight="1" x14ac:dyDescent="0.3">
      <c r="A14" s="33"/>
      <c r="B14" s="24" t="s">
        <v>29</v>
      </c>
      <c r="C14" s="50" t="s">
        <v>85</v>
      </c>
      <c r="D14" s="24" t="s">
        <v>30</v>
      </c>
      <c r="E14" s="17">
        <v>229000</v>
      </c>
      <c r="F14" s="23">
        <v>149000</v>
      </c>
      <c r="G14" s="19">
        <f t="shared" si="0"/>
        <v>149000</v>
      </c>
      <c r="H14" s="20">
        <f t="shared" si="1"/>
        <v>80000</v>
      </c>
      <c r="I14" s="21">
        <f t="shared" si="2"/>
        <v>0.3493449781659389</v>
      </c>
    </row>
    <row r="15" spans="1:9" s="22" customFormat="1" ht="15.6" customHeight="1" x14ac:dyDescent="0.3">
      <c r="A15" s="33"/>
      <c r="B15" s="24" t="s">
        <v>31</v>
      </c>
      <c r="C15" s="51"/>
      <c r="D15" s="24" t="s">
        <v>32</v>
      </c>
      <c r="E15" s="17">
        <v>229000</v>
      </c>
      <c r="F15" s="23">
        <v>149000</v>
      </c>
      <c r="G15" s="19">
        <f t="shared" si="0"/>
        <v>149000</v>
      </c>
      <c r="H15" s="20">
        <f t="shared" si="1"/>
        <v>80000</v>
      </c>
      <c r="I15" s="21">
        <f t="shared" si="2"/>
        <v>0.3493449781659389</v>
      </c>
    </row>
    <row r="16" spans="1:9" s="22" customFormat="1" ht="15.6" customHeight="1" x14ac:dyDescent="0.3">
      <c r="A16" s="33"/>
      <c r="B16" s="24" t="s">
        <v>33</v>
      </c>
      <c r="C16" s="50" t="s">
        <v>86</v>
      </c>
      <c r="D16" s="24" t="s">
        <v>34</v>
      </c>
      <c r="E16" s="17">
        <v>379000</v>
      </c>
      <c r="F16" s="18">
        <v>279000</v>
      </c>
      <c r="G16" s="19">
        <f t="shared" si="0"/>
        <v>279000</v>
      </c>
      <c r="H16" s="20">
        <f t="shared" si="1"/>
        <v>100000</v>
      </c>
      <c r="I16" s="21">
        <f t="shared" si="2"/>
        <v>0.26385224274406327</v>
      </c>
    </row>
    <row r="17" spans="1:9" s="22" customFormat="1" ht="15.6" customHeight="1" x14ac:dyDescent="0.3">
      <c r="A17" s="33"/>
      <c r="B17" s="24" t="s">
        <v>35</v>
      </c>
      <c r="C17" s="52"/>
      <c r="D17" s="24" t="s">
        <v>36</v>
      </c>
      <c r="E17" s="17">
        <v>329000</v>
      </c>
      <c r="F17" s="18">
        <v>249000</v>
      </c>
      <c r="G17" s="19">
        <f t="shared" si="0"/>
        <v>249000</v>
      </c>
      <c r="H17" s="20">
        <f t="shared" si="1"/>
        <v>80000</v>
      </c>
      <c r="I17" s="21">
        <f t="shared" si="2"/>
        <v>0.24316109422492405</v>
      </c>
    </row>
    <row r="18" spans="1:9" s="22" customFormat="1" ht="15.6" customHeight="1" x14ac:dyDescent="0.3">
      <c r="A18" s="33"/>
      <c r="B18" s="24" t="s">
        <v>37</v>
      </c>
      <c r="C18" s="52"/>
      <c r="D18" s="24" t="s">
        <v>38</v>
      </c>
      <c r="E18" s="17">
        <v>329000</v>
      </c>
      <c r="F18" s="18">
        <v>249000</v>
      </c>
      <c r="G18" s="19">
        <f t="shared" si="0"/>
        <v>249000</v>
      </c>
      <c r="H18" s="20">
        <f t="shared" si="1"/>
        <v>80000</v>
      </c>
      <c r="I18" s="21">
        <f t="shared" si="2"/>
        <v>0.24316109422492405</v>
      </c>
    </row>
    <row r="19" spans="1:9" s="22" customFormat="1" ht="15.6" customHeight="1" x14ac:dyDescent="0.3">
      <c r="A19" s="33"/>
      <c r="B19" s="24" t="s">
        <v>39</v>
      </c>
      <c r="C19" s="52"/>
      <c r="D19" s="24" t="s">
        <v>40</v>
      </c>
      <c r="E19" s="17">
        <v>269000</v>
      </c>
      <c r="F19" s="23">
        <v>199000</v>
      </c>
      <c r="G19" s="19">
        <f t="shared" si="0"/>
        <v>199000</v>
      </c>
      <c r="H19" s="20">
        <f t="shared" si="1"/>
        <v>70000</v>
      </c>
      <c r="I19" s="21">
        <f t="shared" si="2"/>
        <v>0.2602230483271375</v>
      </c>
    </row>
    <row r="20" spans="1:9" s="22" customFormat="1" ht="15.6" customHeight="1" x14ac:dyDescent="0.3">
      <c r="A20" s="33"/>
      <c r="B20" s="24" t="s">
        <v>41</v>
      </c>
      <c r="C20" s="51"/>
      <c r="D20" s="24" t="s">
        <v>42</v>
      </c>
      <c r="E20" s="17">
        <v>269000</v>
      </c>
      <c r="F20" s="23">
        <v>199000</v>
      </c>
      <c r="G20" s="19">
        <f t="shared" si="0"/>
        <v>199000</v>
      </c>
      <c r="H20" s="20">
        <f t="shared" si="1"/>
        <v>70000</v>
      </c>
      <c r="I20" s="21">
        <f t="shared" si="2"/>
        <v>0.2602230483271375</v>
      </c>
    </row>
    <row r="21" spans="1:9" s="22" customFormat="1" ht="15.6" customHeight="1" x14ac:dyDescent="0.3">
      <c r="A21" s="33"/>
      <c r="B21" s="24" t="s">
        <v>73</v>
      </c>
      <c r="C21" s="50" t="s">
        <v>87</v>
      </c>
      <c r="D21" s="24" t="s">
        <v>75</v>
      </c>
      <c r="E21" s="17">
        <v>299000</v>
      </c>
      <c r="F21" s="23">
        <v>199000</v>
      </c>
      <c r="G21" s="19">
        <f t="shared" si="0"/>
        <v>199000</v>
      </c>
      <c r="H21" s="20">
        <f t="shared" si="1"/>
        <v>100000</v>
      </c>
      <c r="I21" s="21">
        <f t="shared" si="2"/>
        <v>0.33444816053511706</v>
      </c>
    </row>
    <row r="22" spans="1:9" s="22" customFormat="1" ht="15.6" customHeight="1" x14ac:dyDescent="0.3">
      <c r="A22" s="33"/>
      <c r="B22" s="24" t="s">
        <v>74</v>
      </c>
      <c r="C22" s="51"/>
      <c r="D22" s="24" t="s">
        <v>76</v>
      </c>
      <c r="E22" s="17">
        <v>299000</v>
      </c>
      <c r="F22" s="23">
        <v>199000</v>
      </c>
      <c r="G22" s="19">
        <f t="shared" si="0"/>
        <v>199000</v>
      </c>
      <c r="H22" s="20">
        <f t="shared" si="1"/>
        <v>100000</v>
      </c>
      <c r="I22" s="21">
        <f t="shared" si="2"/>
        <v>0.33444816053511706</v>
      </c>
    </row>
    <row r="23" spans="1:9" s="22" customFormat="1" ht="15.6" customHeight="1" x14ac:dyDescent="0.3">
      <c r="A23" s="33"/>
      <c r="B23" s="25" t="s">
        <v>43</v>
      </c>
      <c r="C23" s="53" t="s">
        <v>88</v>
      </c>
      <c r="D23" s="25" t="s">
        <v>44</v>
      </c>
      <c r="E23" s="17">
        <v>76900</v>
      </c>
      <c r="F23" s="23">
        <v>69900</v>
      </c>
      <c r="G23" s="19">
        <f t="shared" si="0"/>
        <v>69900</v>
      </c>
      <c r="H23" s="20">
        <f t="shared" si="1"/>
        <v>7000</v>
      </c>
      <c r="I23" s="21">
        <f t="shared" si="2"/>
        <v>9.1027308192457745E-2</v>
      </c>
    </row>
    <row r="24" spans="1:9" s="22" customFormat="1" ht="15.6" customHeight="1" x14ac:dyDescent="0.3">
      <c r="A24" s="33"/>
      <c r="B24" s="25" t="s">
        <v>45</v>
      </c>
      <c r="C24" s="54"/>
      <c r="D24" s="25" t="s">
        <v>46</v>
      </c>
      <c r="E24" s="17">
        <v>76900</v>
      </c>
      <c r="F24" s="23">
        <v>69900</v>
      </c>
      <c r="G24" s="19">
        <f t="shared" si="0"/>
        <v>69900</v>
      </c>
      <c r="H24" s="20">
        <f t="shared" si="1"/>
        <v>7000</v>
      </c>
      <c r="I24" s="21">
        <f t="shared" si="2"/>
        <v>9.1027308192457745E-2</v>
      </c>
    </row>
    <row r="25" spans="1:9" s="22" customFormat="1" ht="15.6" customHeight="1" x14ac:dyDescent="0.3">
      <c r="A25" s="33"/>
      <c r="B25" s="25" t="s">
        <v>47</v>
      </c>
      <c r="C25" s="54"/>
      <c r="D25" s="25" t="s">
        <v>48</v>
      </c>
      <c r="E25" s="17">
        <v>76900</v>
      </c>
      <c r="F25" s="23">
        <v>69900</v>
      </c>
      <c r="G25" s="19">
        <f t="shared" si="0"/>
        <v>69900</v>
      </c>
      <c r="H25" s="20">
        <f t="shared" si="1"/>
        <v>7000</v>
      </c>
      <c r="I25" s="21">
        <f t="shared" si="2"/>
        <v>9.1027308192457745E-2</v>
      </c>
    </row>
    <row r="26" spans="1:9" s="22" customFormat="1" ht="15.6" customHeight="1" x14ac:dyDescent="0.3">
      <c r="A26" s="34"/>
      <c r="B26" s="25" t="s">
        <v>49</v>
      </c>
      <c r="C26" s="55"/>
      <c r="D26" s="25" t="s">
        <v>50</v>
      </c>
      <c r="E26" s="17">
        <v>76900</v>
      </c>
      <c r="F26" s="23">
        <v>69900</v>
      </c>
      <c r="G26" s="19">
        <f t="shared" si="0"/>
        <v>69900</v>
      </c>
      <c r="H26" s="20">
        <f t="shared" si="1"/>
        <v>7000</v>
      </c>
      <c r="I26" s="21">
        <f t="shared" si="2"/>
        <v>9.1027308192457745E-2</v>
      </c>
    </row>
    <row r="27" spans="1:9" s="22" customFormat="1" ht="15.6" customHeight="1" x14ac:dyDescent="0.3">
      <c r="A27" s="37" t="s">
        <v>77</v>
      </c>
      <c r="B27" s="26" t="s">
        <v>51</v>
      </c>
      <c r="C27" s="41" t="s">
        <v>89</v>
      </c>
      <c r="D27" s="26" t="s">
        <v>52</v>
      </c>
      <c r="E27" s="17">
        <v>69000</v>
      </c>
      <c r="F27" s="23">
        <v>39900</v>
      </c>
      <c r="G27" s="19">
        <f t="shared" si="0"/>
        <v>39900</v>
      </c>
      <c r="H27" s="20">
        <f t="shared" si="1"/>
        <v>29100</v>
      </c>
      <c r="I27" s="21">
        <f t="shared" si="2"/>
        <v>0.42173913043478262</v>
      </c>
    </row>
    <row r="28" spans="1:9" s="1" customFormat="1" x14ac:dyDescent="0.3">
      <c r="A28" s="37"/>
      <c r="B28" s="26" t="s">
        <v>71</v>
      </c>
      <c r="C28" s="41" t="s">
        <v>90</v>
      </c>
      <c r="D28" s="26" t="s">
        <v>72</v>
      </c>
      <c r="E28" s="17">
        <v>119000</v>
      </c>
      <c r="F28" s="18">
        <v>79000</v>
      </c>
      <c r="G28" s="19">
        <f t="shared" si="0"/>
        <v>79000</v>
      </c>
      <c r="H28" s="20">
        <f t="shared" ref="H28:H39" si="3">E28-G28</f>
        <v>40000</v>
      </c>
      <c r="I28" s="21">
        <f t="shared" ref="I28:I39" si="4">1-(F28/E28)</f>
        <v>0.33613445378151263</v>
      </c>
    </row>
    <row r="29" spans="1:9" s="22" customFormat="1" ht="15.6" customHeight="1" x14ac:dyDescent="0.3">
      <c r="A29" s="37"/>
      <c r="B29" s="26" t="s">
        <v>59</v>
      </c>
      <c r="C29" s="41" t="s">
        <v>91</v>
      </c>
      <c r="D29" s="26" t="s">
        <v>60</v>
      </c>
      <c r="E29" s="17">
        <v>199000</v>
      </c>
      <c r="F29" s="23">
        <v>159000</v>
      </c>
      <c r="G29" s="19">
        <f t="shared" si="0"/>
        <v>159000</v>
      </c>
      <c r="H29" s="20">
        <f t="shared" si="3"/>
        <v>40000</v>
      </c>
      <c r="I29" s="21">
        <f t="shared" si="4"/>
        <v>0.20100502512562812</v>
      </c>
    </row>
    <row r="30" spans="1:9" s="22" customFormat="1" ht="15.6" customHeight="1" x14ac:dyDescent="0.3">
      <c r="A30" s="37"/>
      <c r="B30" s="26" t="s">
        <v>79</v>
      </c>
      <c r="C30" s="42" t="s">
        <v>92</v>
      </c>
      <c r="D30" s="26" t="s">
        <v>80</v>
      </c>
      <c r="E30" s="17">
        <v>16900</v>
      </c>
      <c r="F30" s="23">
        <v>14900</v>
      </c>
      <c r="G30" s="19">
        <f t="shared" si="0"/>
        <v>14900</v>
      </c>
      <c r="H30" s="20">
        <f t="shared" si="3"/>
        <v>2000</v>
      </c>
      <c r="I30" s="21">
        <f t="shared" si="4"/>
        <v>0.11834319526627224</v>
      </c>
    </row>
    <row r="31" spans="1:9" s="22" customFormat="1" ht="15.6" customHeight="1" x14ac:dyDescent="0.3">
      <c r="A31" s="37"/>
      <c r="B31" s="26" t="s">
        <v>61</v>
      </c>
      <c r="C31" s="41" t="s">
        <v>94</v>
      </c>
      <c r="D31" s="26" t="s">
        <v>62</v>
      </c>
      <c r="E31" s="17">
        <v>139000</v>
      </c>
      <c r="F31" s="23">
        <v>109000</v>
      </c>
      <c r="G31" s="19">
        <f t="shared" si="0"/>
        <v>109000</v>
      </c>
      <c r="H31" s="20">
        <f t="shared" ref="H31:H35" si="5">E31-G31</f>
        <v>30000</v>
      </c>
      <c r="I31" s="21">
        <f t="shared" ref="I31:I35" si="6">1-(F31/E31)</f>
        <v>0.21582733812949639</v>
      </c>
    </row>
    <row r="32" spans="1:9" s="22" customFormat="1" ht="15.6" customHeight="1" x14ac:dyDescent="0.3">
      <c r="A32" s="38" t="s">
        <v>78</v>
      </c>
      <c r="B32" s="28" t="s">
        <v>53</v>
      </c>
      <c r="C32" s="56" t="s">
        <v>95</v>
      </c>
      <c r="D32" s="28" t="s">
        <v>54</v>
      </c>
      <c r="E32" s="17">
        <v>259000</v>
      </c>
      <c r="F32" s="23">
        <v>229000</v>
      </c>
      <c r="G32" s="19">
        <f t="shared" si="0"/>
        <v>229000</v>
      </c>
      <c r="H32" s="20">
        <f t="shared" si="5"/>
        <v>30000</v>
      </c>
      <c r="I32" s="21">
        <f t="shared" si="6"/>
        <v>0.11583011583011582</v>
      </c>
    </row>
    <row r="33" spans="1:9" s="22" customFormat="1" ht="15.6" customHeight="1" x14ac:dyDescent="0.3">
      <c r="A33" s="38"/>
      <c r="B33" s="28" t="s">
        <v>55</v>
      </c>
      <c r="C33" s="57"/>
      <c r="D33" s="28" t="s">
        <v>56</v>
      </c>
      <c r="E33" s="17">
        <v>259000</v>
      </c>
      <c r="F33" s="23">
        <v>229000</v>
      </c>
      <c r="G33" s="19">
        <f t="shared" si="0"/>
        <v>229000</v>
      </c>
      <c r="H33" s="20">
        <f t="shared" si="5"/>
        <v>30000</v>
      </c>
      <c r="I33" s="21">
        <f t="shared" si="6"/>
        <v>0.11583011583011582</v>
      </c>
    </row>
    <row r="34" spans="1:9" s="1" customFormat="1" x14ac:dyDescent="0.3">
      <c r="A34" s="38"/>
      <c r="B34" s="28" t="s">
        <v>67</v>
      </c>
      <c r="C34" s="56" t="s">
        <v>96</v>
      </c>
      <c r="D34" s="28" t="s">
        <v>68</v>
      </c>
      <c r="E34" s="17">
        <v>199000</v>
      </c>
      <c r="F34" s="23">
        <v>149000</v>
      </c>
      <c r="G34" s="19">
        <f t="shared" si="0"/>
        <v>149000</v>
      </c>
      <c r="H34" s="20">
        <f t="shared" si="5"/>
        <v>50000</v>
      </c>
      <c r="I34" s="21">
        <f t="shared" si="6"/>
        <v>0.25125628140703515</v>
      </c>
    </row>
    <row r="35" spans="1:9" s="1" customFormat="1" x14ac:dyDescent="0.3">
      <c r="A35" s="38"/>
      <c r="B35" s="28" t="s">
        <v>69</v>
      </c>
      <c r="C35" s="57"/>
      <c r="D35" s="28" t="s">
        <v>70</v>
      </c>
      <c r="E35" s="17">
        <v>199000</v>
      </c>
      <c r="F35" s="23">
        <v>149000</v>
      </c>
      <c r="G35" s="19">
        <f t="shared" si="0"/>
        <v>149000</v>
      </c>
      <c r="H35" s="20">
        <f t="shared" si="5"/>
        <v>50000</v>
      </c>
      <c r="I35" s="21">
        <f t="shared" si="6"/>
        <v>0.25125628140703515</v>
      </c>
    </row>
    <row r="36" spans="1:9" s="22" customFormat="1" ht="15.6" customHeight="1" x14ac:dyDescent="0.3">
      <c r="A36" s="38"/>
      <c r="B36" s="28" t="s">
        <v>57</v>
      </c>
      <c r="C36" s="43" t="s">
        <v>97</v>
      </c>
      <c r="D36" s="28" t="s">
        <v>58</v>
      </c>
      <c r="E36" s="17">
        <v>229000</v>
      </c>
      <c r="F36" s="23">
        <v>179000</v>
      </c>
      <c r="G36" s="19">
        <f t="shared" si="0"/>
        <v>179000</v>
      </c>
      <c r="H36" s="20">
        <f t="shared" si="3"/>
        <v>50000</v>
      </c>
      <c r="I36" s="21">
        <f t="shared" si="4"/>
        <v>0.21834061135371174</v>
      </c>
    </row>
    <row r="37" spans="1:9" s="1" customFormat="1" x14ac:dyDescent="0.3">
      <c r="A37" s="38"/>
      <c r="B37" s="28" t="s">
        <v>63</v>
      </c>
      <c r="C37" s="56" t="s">
        <v>98</v>
      </c>
      <c r="D37" s="28" t="s">
        <v>64</v>
      </c>
      <c r="E37" s="17">
        <v>289000</v>
      </c>
      <c r="F37" s="18">
        <v>219000</v>
      </c>
      <c r="G37" s="19">
        <f t="shared" si="0"/>
        <v>219000</v>
      </c>
      <c r="H37" s="20">
        <f t="shared" si="3"/>
        <v>70000</v>
      </c>
      <c r="I37" s="21">
        <f t="shared" si="4"/>
        <v>0.24221453287197237</v>
      </c>
    </row>
    <row r="38" spans="1:9" s="1" customFormat="1" x14ac:dyDescent="0.3">
      <c r="A38" s="38"/>
      <c r="B38" s="28" t="s">
        <v>65</v>
      </c>
      <c r="C38" s="57"/>
      <c r="D38" s="28" t="s">
        <v>66</v>
      </c>
      <c r="E38" s="17">
        <v>289000</v>
      </c>
      <c r="F38" s="18">
        <v>219000</v>
      </c>
      <c r="G38" s="19">
        <f t="shared" si="0"/>
        <v>219000</v>
      </c>
      <c r="H38" s="20">
        <f t="shared" si="3"/>
        <v>70000</v>
      </c>
      <c r="I38" s="21">
        <f t="shared" si="4"/>
        <v>0.24221453287197237</v>
      </c>
    </row>
    <row r="39" spans="1:9" s="22" customFormat="1" ht="15.6" customHeight="1" x14ac:dyDescent="0.3">
      <c r="A39" s="38"/>
      <c r="B39" s="28" t="s">
        <v>18</v>
      </c>
      <c r="C39" s="44" t="s">
        <v>99</v>
      </c>
      <c r="D39" s="28" t="s">
        <v>19</v>
      </c>
      <c r="E39" s="17">
        <v>49900</v>
      </c>
      <c r="F39" s="23">
        <v>39900</v>
      </c>
      <c r="G39" s="19">
        <f t="shared" si="0"/>
        <v>39900</v>
      </c>
      <c r="H39" s="20">
        <f t="shared" si="3"/>
        <v>10000</v>
      </c>
      <c r="I39" s="21">
        <f t="shared" si="4"/>
        <v>0.20040080160320639</v>
      </c>
    </row>
    <row r="40" spans="1:9" s="27" customFormat="1" ht="43.5" customHeight="1" x14ac:dyDescent="0.3">
      <c r="B40" s="35" t="s">
        <v>81</v>
      </c>
      <c r="C40" s="39"/>
      <c r="D40" s="36"/>
      <c r="E40" s="36"/>
      <c r="F40" s="36"/>
      <c r="G40" s="36"/>
      <c r="H40" s="36"/>
      <c r="I40" s="36"/>
    </row>
  </sheetData>
  <mergeCells count="14">
    <mergeCell ref="A5:A10"/>
    <mergeCell ref="A11:A26"/>
    <mergeCell ref="B40:I40"/>
    <mergeCell ref="A27:A31"/>
    <mergeCell ref="A32:A39"/>
    <mergeCell ref="C5:C6"/>
    <mergeCell ref="C11:C13"/>
    <mergeCell ref="C14:C15"/>
    <mergeCell ref="C16:C20"/>
    <mergeCell ref="C21:C22"/>
    <mergeCell ref="C23:C26"/>
    <mergeCell ref="C32:C33"/>
    <mergeCell ref="C34:C35"/>
    <mergeCell ref="C37:C3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1dong</dc:creator>
  <cp:lastModifiedBy>일동 김</cp:lastModifiedBy>
  <dcterms:created xsi:type="dcterms:W3CDTF">2015-06-05T18:19:34Z</dcterms:created>
  <dcterms:modified xsi:type="dcterms:W3CDTF">2026-05-19T06:35:59Z</dcterms:modified>
</cp:coreProperties>
</file>